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CarmenE\Downloads\"/>
    </mc:Choice>
  </mc:AlternateContent>
  <xr:revisionPtr revIDLastSave="0" documentId="13_ncr:1_{A32D92C7-90FE-4822-842A-E3F0E74B1491}" xr6:coauthVersionLast="47" xr6:coauthVersionMax="47" xr10:uidLastSave="{00000000-0000-0000-0000-000000000000}"/>
  <bookViews>
    <workbookView xWindow="-57720" yWindow="-120" windowWidth="29040" windowHeight="15720" tabRatio="717" activeTab="2" xr2:uid="{00000000-000D-0000-FFFF-FFFF00000000}"/>
  </bookViews>
  <sheets>
    <sheet name="New Client" sheetId="61" r:id="rId1"/>
    <sheet name="Invoice" sheetId="54" r:id="rId2"/>
    <sheet name="Master" sheetId="50" r:id="rId3"/>
    <sheet name="TAX RATES 2025" sheetId="59" r:id="rId4"/>
    <sheet name="Sell Items" sheetId="68" r:id="rId5"/>
    <sheet name="EMPLOYEES" sheetId="55" r:id="rId6"/>
  </sheets>
  <definedNames>
    <definedName name="_xlnm._FilterDatabase" localSheetId="2" hidden="1">Master!$S$1:$S$1455</definedName>
    <definedName name="ADDRESS">Master!#REF!</definedName>
    <definedName name="CC">Master!$M:$M</definedName>
    <definedName name="CD">Master!#REF!</definedName>
    <definedName name="CITY">Master!#REF!</definedName>
    <definedName name="CLIENT">Master!$A:$A</definedName>
    <definedName name="CONTACT_2">Master!$AC:$AC</definedName>
    <definedName name="COUNTY">Master!#REF!</definedName>
    <definedName name="EQUIP">Master!$B:$B</definedName>
    <definedName name="INSTALL">Master!#REF!</definedName>
    <definedName name="LICENSE">Master!#REF!</definedName>
    <definedName name="NAME">Master!$P:$P</definedName>
    <definedName name="PHONE">Master!$Q:$Q</definedName>
    <definedName name="PHONE_2">Master!$AD:$AD</definedName>
    <definedName name="REC">Master!#REF!</definedName>
    <definedName name="REM">Master!#REF!</definedName>
    <definedName name="STATE">Master!$X:$X</definedName>
    <definedName name="TERMS">Master!#REF!</definedName>
    <definedName name="VERS">Master!#REF!</definedName>
    <definedName name="ZIP">Master!$Y:$Y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54" l="1"/>
  <c r="I10" i="54" l="1"/>
  <c r="K10" i="68" l="1"/>
  <c r="K14" i="68"/>
  <c r="K15" i="68"/>
  <c r="K34" i="68" l="1"/>
  <c r="K24" i="61" l="1"/>
  <c r="K23" i="61"/>
  <c r="K22" i="61"/>
  <c r="K21" i="61"/>
  <c r="B28" i="54"/>
  <c r="K21" i="54" l="1"/>
  <c r="K29" i="68" l="1"/>
  <c r="K34" i="54" l="1"/>
  <c r="K24" i="54" l="1"/>
  <c r="K23" i="54"/>
  <c r="K25" i="61" l="1"/>
  <c r="K38" i="61" l="1"/>
  <c r="K37" i="61"/>
  <c r="K36" i="61"/>
  <c r="K35" i="61"/>
  <c r="K34" i="61"/>
  <c r="K33" i="61"/>
  <c r="K27" i="61"/>
  <c r="K26" i="61"/>
  <c r="K28" i="61"/>
  <c r="J29" i="54"/>
  <c r="I14" i="54"/>
  <c r="K13" i="54"/>
  <c r="J13" i="54"/>
  <c r="I13" i="54"/>
  <c r="I12" i="54"/>
  <c r="C14" i="54"/>
  <c r="F13" i="54"/>
  <c r="E13" i="54"/>
  <c r="C13" i="54"/>
  <c r="C11" i="54"/>
  <c r="AU849" i="50"/>
  <c r="AU846" i="50"/>
  <c r="AU845" i="50"/>
  <c r="AU801" i="50"/>
  <c r="AU780" i="50"/>
  <c r="AU769" i="50"/>
  <c r="AZ690" i="50"/>
  <c r="AU687" i="50"/>
  <c r="AU671" i="50"/>
  <c r="AU636" i="50"/>
  <c r="AU619" i="50"/>
  <c r="AU606" i="50"/>
  <c r="AU595" i="50"/>
  <c r="AU588" i="50"/>
  <c r="AU586" i="50"/>
  <c r="AU576" i="50"/>
  <c r="AU562" i="50"/>
  <c r="AU552" i="50"/>
  <c r="AU549" i="50"/>
  <c r="AZ536" i="50"/>
  <c r="AU536" i="50"/>
  <c r="AU533" i="50"/>
  <c r="AZ529" i="50"/>
  <c r="AU503" i="50"/>
  <c r="AU496" i="50"/>
  <c r="AU393" i="50"/>
  <c r="AU334" i="50"/>
  <c r="AU324" i="50"/>
  <c r="AU318" i="50"/>
  <c r="AU313" i="50"/>
  <c r="AU304" i="50"/>
  <c r="AU289" i="50"/>
  <c r="AU288" i="50"/>
  <c r="AU285" i="50"/>
  <c r="AU281" i="50"/>
  <c r="AU267" i="50"/>
  <c r="AU266" i="50"/>
  <c r="AU258" i="50"/>
  <c r="AU245" i="50"/>
  <c r="AU244" i="50"/>
  <c r="AU242" i="50"/>
  <c r="AU230" i="50"/>
  <c r="AU216" i="50"/>
  <c r="AU169" i="50"/>
  <c r="AU165" i="50"/>
  <c r="AU163" i="50"/>
  <c r="AU146" i="50"/>
  <c r="AU134" i="50"/>
  <c r="AU125" i="50"/>
  <c r="AU109" i="50"/>
  <c r="AU103" i="50"/>
  <c r="AU102" i="50"/>
  <c r="AU95" i="50"/>
  <c r="AU93" i="50"/>
  <c r="AU66" i="50"/>
  <c r="AU47" i="50"/>
  <c r="AU32" i="50"/>
  <c r="AU24" i="50"/>
  <c r="AU23" i="50"/>
  <c r="C12" i="54" l="1"/>
  <c r="K30" i="61"/>
  <c r="K42" i="61" s="1"/>
  <c r="K37" i="54" l="1"/>
  <c r="K36" i="54"/>
  <c r="K25" i="54" l="1"/>
  <c r="K9" i="68" l="1"/>
  <c r="K13" i="68" l="1"/>
  <c r="K26" i="54" l="1"/>
  <c r="K27" i="54" s="1"/>
  <c r="K35" i="54" l="1"/>
  <c r="K254" i="68" l="1"/>
  <c r="K253" i="68"/>
  <c r="K251" i="68"/>
  <c r="K250" i="68"/>
  <c r="K248" i="68"/>
  <c r="K247" i="68"/>
  <c r="K245" i="68"/>
  <c r="K244" i="68"/>
  <c r="K243" i="68"/>
  <c r="K242" i="68"/>
  <c r="K240" i="68"/>
  <c r="K239" i="68"/>
  <c r="K238" i="68"/>
  <c r="K236" i="68"/>
  <c r="K235" i="68"/>
  <c r="K231" i="68"/>
  <c r="K230" i="68"/>
  <c r="K229" i="68"/>
  <c r="K228" i="68"/>
  <c r="K227" i="68"/>
  <c r="K226" i="68"/>
  <c r="K223" i="68"/>
  <c r="K222" i="68"/>
  <c r="K221" i="68"/>
  <c r="K220" i="68"/>
  <c r="K219" i="68"/>
  <c r="K218" i="68"/>
  <c r="K217" i="68"/>
  <c r="K215" i="68"/>
  <c r="K214" i="68"/>
  <c r="K213" i="68"/>
  <c r="K209" i="68"/>
  <c r="K205" i="68"/>
  <c r="K204" i="68"/>
  <c r="K203" i="68"/>
  <c r="K202" i="68"/>
  <c r="K201" i="68"/>
  <c r="K197" i="68"/>
  <c r="K196" i="68"/>
  <c r="K195" i="68"/>
  <c r="K193" i="68"/>
  <c r="K192" i="68"/>
  <c r="K191" i="68"/>
  <c r="K190" i="68"/>
  <c r="K189" i="68"/>
  <c r="K188" i="68"/>
  <c r="K185" i="68"/>
  <c r="K184" i="68"/>
  <c r="K183" i="68"/>
  <c r="K182" i="68"/>
  <c r="K181" i="68"/>
  <c r="K179" i="68"/>
  <c r="K178" i="68"/>
  <c r="K177" i="68"/>
  <c r="K176" i="68"/>
  <c r="K174" i="68"/>
  <c r="K173" i="68"/>
  <c r="K172" i="68"/>
  <c r="K171" i="68"/>
  <c r="K168" i="68"/>
  <c r="K167" i="68"/>
  <c r="K165" i="68"/>
  <c r="K164" i="68"/>
  <c r="K163" i="68"/>
  <c r="K162" i="68"/>
  <c r="K160" i="68"/>
  <c r="K159" i="68"/>
  <c r="K158" i="68"/>
  <c r="K157" i="68"/>
  <c r="K156" i="68"/>
  <c r="K155" i="68"/>
  <c r="K153" i="68"/>
  <c r="K152" i="68"/>
  <c r="K151" i="68"/>
  <c r="K150" i="68"/>
  <c r="K149" i="68"/>
  <c r="K147" i="68"/>
  <c r="K146" i="68"/>
  <c r="K145" i="68"/>
  <c r="K143" i="68"/>
  <c r="K142" i="68"/>
  <c r="K141" i="68"/>
  <c r="K140" i="68"/>
  <c r="K138" i="68"/>
  <c r="K137" i="68"/>
  <c r="K135" i="68"/>
  <c r="K134" i="68"/>
  <c r="K133" i="68"/>
  <c r="K132" i="68"/>
  <c r="K130" i="68"/>
  <c r="K129" i="68"/>
  <c r="K128" i="68"/>
  <c r="K127" i="68"/>
  <c r="K125" i="68"/>
  <c r="K124" i="68"/>
  <c r="K123" i="68"/>
  <c r="K120" i="68"/>
  <c r="K118" i="68"/>
  <c r="K117" i="68"/>
  <c r="K116" i="68"/>
  <c r="K115" i="68"/>
  <c r="K114" i="68"/>
  <c r="K113" i="68"/>
  <c r="K111" i="68"/>
  <c r="K110" i="68"/>
  <c r="K108" i="68"/>
  <c r="K107" i="68"/>
  <c r="K106" i="68"/>
  <c r="K105" i="68"/>
  <c r="K104" i="68"/>
  <c r="K102" i="68"/>
  <c r="K101" i="68"/>
  <c r="K99" i="68"/>
  <c r="K98" i="68"/>
  <c r="K97" i="68"/>
  <c r="K96" i="68"/>
  <c r="K95" i="68"/>
  <c r="K92" i="68"/>
  <c r="K91" i="68"/>
  <c r="K90" i="68"/>
  <c r="K89" i="68"/>
  <c r="K88" i="68"/>
  <c r="K87" i="68"/>
  <c r="K86" i="68"/>
  <c r="K83" i="68"/>
  <c r="K82" i="68"/>
  <c r="K81" i="68"/>
  <c r="K79" i="68"/>
  <c r="K78" i="68"/>
  <c r="K76" i="68"/>
  <c r="K74" i="68"/>
  <c r="K73" i="68"/>
  <c r="K72" i="68"/>
  <c r="K71" i="68"/>
  <c r="K70" i="68"/>
  <c r="K69" i="68"/>
  <c r="K68" i="68"/>
  <c r="K67" i="68"/>
  <c r="K64" i="68"/>
  <c r="K63" i="68"/>
  <c r="K62" i="68"/>
  <c r="K61" i="68"/>
  <c r="K59" i="68"/>
  <c r="K58" i="68"/>
  <c r="K57" i="68"/>
  <c r="K56" i="68"/>
  <c r="K55" i="68"/>
  <c r="K54" i="68"/>
  <c r="K53" i="68"/>
  <c r="K52" i="68"/>
  <c r="K51" i="68"/>
  <c r="K47" i="68"/>
  <c r="K46" i="68"/>
  <c r="K45" i="68"/>
  <c r="K44" i="68"/>
  <c r="K42" i="68"/>
  <c r="K41" i="68"/>
  <c r="K39" i="68"/>
  <c r="K38" i="68"/>
  <c r="K37" i="68"/>
  <c r="K36" i="68"/>
  <c r="K33" i="68"/>
  <c r="K30" i="68"/>
  <c r="K28" i="68"/>
  <c r="K27" i="68"/>
  <c r="K26" i="68"/>
  <c r="K25" i="68"/>
  <c r="K24" i="68"/>
  <c r="K23" i="68"/>
  <c r="K22" i="68"/>
  <c r="K21" i="68"/>
  <c r="K20" i="68"/>
  <c r="K19" i="68"/>
  <c r="K18" i="68"/>
  <c r="K17" i="68"/>
  <c r="K16" i="68"/>
  <c r="K11" i="68"/>
  <c r="K8" i="68"/>
  <c r="K32" i="54" l="1"/>
  <c r="K29" i="54" l="1"/>
  <c r="K41" i="5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PerformancePOS</author>
  </authors>
  <commentList>
    <comment ref="A71" authorId="0" shapeId="0" xr:uid="{00000000-0006-0000-0300-000001000000}">
      <text>
        <r>
          <rPr>
            <b/>
            <sz val="8"/>
            <color indexed="81"/>
            <rFont val="Tahoma"/>
            <family val="2"/>
          </rPr>
          <t>PerformancePOS:</t>
        </r>
        <r>
          <rPr>
            <sz val="8"/>
            <color indexed="81"/>
            <rFont val="Tahoma"/>
            <family val="2"/>
          </rPr>
          <t xml:space="preserve">
Super Duper (10), Uno Dos, The Bird, Delarosa (2), Belga, Flores, Starbelly, Beretta, Lolinda, Techo, Barvale, a Mano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<sst xmlns="http://schemas.openxmlformats.org/spreadsheetml/2006/main" count="19960" uniqueCount="6478">
  <si>
    <t xml:space="preserve"> </t>
  </si>
  <si>
    <t xml:space="preserve">Invoice No: </t>
  </si>
  <si>
    <t>101 Glacier Point, Suite B</t>
  </si>
  <si>
    <t>Date:</t>
  </si>
  <si>
    <t>San Rafael, Ca 94901</t>
  </si>
  <si>
    <t>TERMS:</t>
  </si>
  <si>
    <t>415-451-4861</t>
  </si>
  <si>
    <t>admin@performancepos.com</t>
  </si>
  <si>
    <t>Ordered by:</t>
  </si>
  <si>
    <t>Rep:</t>
  </si>
  <si>
    <t xml:space="preserve"> ************************************************</t>
  </si>
  <si>
    <t>************************************</t>
  </si>
  <si>
    <t xml:space="preserve">         INVOICE</t>
  </si>
  <si>
    <t>*******************************</t>
  </si>
  <si>
    <t>Bill To</t>
  </si>
  <si>
    <t>Deliver To</t>
  </si>
  <si>
    <t>Client:</t>
  </si>
  <si>
    <t>c/o</t>
  </si>
  <si>
    <t>Address:</t>
  </si>
  <si>
    <t>City:</t>
  </si>
  <si>
    <t>Phone:</t>
  </si>
  <si>
    <t>Email:</t>
  </si>
  <si>
    <t>Products:</t>
  </si>
  <si>
    <t>Qty:</t>
  </si>
  <si>
    <t>Description:</t>
  </si>
  <si>
    <t>Unit Price</t>
  </si>
  <si>
    <t>Total</t>
  </si>
  <si>
    <t xml:space="preserve">    Taxable Subtotal:</t>
  </si>
  <si>
    <t xml:space="preserve">     Shipping </t>
  </si>
  <si>
    <t xml:space="preserve">     Sales Tax</t>
  </si>
  <si>
    <t>Services:</t>
  </si>
  <si>
    <t>Unit</t>
  </si>
  <si>
    <t>Rate</t>
  </si>
  <si>
    <t>travel</t>
  </si>
  <si>
    <t>Payment Details</t>
  </si>
  <si>
    <t>TOTAL:</t>
  </si>
  <si>
    <t>office use only:</t>
  </si>
  <si>
    <t>I agree to the above charges and to pay this invoice according to the stated terms</t>
  </si>
  <si>
    <t>Client Signature</t>
  </si>
  <si>
    <t>This is your invoice. Kindly Pay from this invoice</t>
  </si>
  <si>
    <t>Mgr</t>
  </si>
  <si>
    <t>Carmen</t>
  </si>
  <si>
    <t>Uchiwa Ramen</t>
  </si>
  <si>
    <t># 54-230</t>
  </si>
  <si>
    <t>Epson Thermal</t>
  </si>
  <si>
    <t>3 1/8  x 230'</t>
  </si>
  <si>
    <t>0668</t>
  </si>
  <si>
    <t>50 rolls</t>
  </si>
  <si>
    <t>SYSTEM</t>
  </si>
  <si>
    <t>HELP DESK</t>
  </si>
  <si>
    <t>HW MAINT</t>
  </si>
  <si>
    <t xml:space="preserve"> REVENUE TRACKING</t>
  </si>
  <si>
    <t>PRIMARY CONTACT</t>
  </si>
  <si>
    <t>TAX%</t>
  </si>
  <si>
    <t>Tax %</t>
  </si>
  <si>
    <t>Tax Dist</t>
  </si>
  <si>
    <t xml:space="preserve"> STORE ADDRESS</t>
  </si>
  <si>
    <t>Ops Email</t>
  </si>
  <si>
    <t>Billing Email</t>
  </si>
  <si>
    <t>Other Email</t>
  </si>
  <si>
    <t xml:space="preserve">CONTACT #2 </t>
  </si>
  <si>
    <t>CONTACT #3</t>
  </si>
  <si>
    <t>CONTACT #4</t>
  </si>
  <si>
    <t>CONTACT #5</t>
  </si>
  <si>
    <t>FAX</t>
  </si>
  <si>
    <t>website</t>
  </si>
  <si>
    <t>Paper #1</t>
  </si>
  <si>
    <t>Paper #2</t>
  </si>
  <si>
    <t>Paper #3</t>
  </si>
  <si>
    <t>Ribbon #1</t>
  </si>
  <si>
    <t>Ribbon #2</t>
  </si>
  <si>
    <t>Label/Other</t>
  </si>
  <si>
    <t>Other</t>
  </si>
  <si>
    <t>Bill To Name</t>
  </si>
  <si>
    <t>Street</t>
  </si>
  <si>
    <t>City</t>
  </si>
  <si>
    <t>St</t>
  </si>
  <si>
    <t>Zip</t>
  </si>
  <si>
    <t>Phone</t>
  </si>
  <si>
    <t>type</t>
  </si>
  <si>
    <t>AM</t>
  </si>
  <si>
    <t>WS</t>
  </si>
  <si>
    <t>y/n ?</t>
  </si>
  <si>
    <t>$$</t>
  </si>
  <si>
    <t>exp</t>
  </si>
  <si>
    <t>LAST SUPPLY??</t>
  </si>
  <si>
    <t>LAST   T&amp;M     ??</t>
  </si>
  <si>
    <t>Name</t>
  </si>
  <si>
    <t>Cell</t>
  </si>
  <si>
    <t>STREET</t>
  </si>
  <si>
    <t>CITY</t>
  </si>
  <si>
    <t>ST</t>
  </si>
  <si>
    <t>ZIP</t>
  </si>
  <si>
    <t>Store</t>
  </si>
  <si>
    <t>Corp or A/P</t>
  </si>
  <si>
    <t>Supply Info</t>
  </si>
  <si>
    <t>Billing Info</t>
  </si>
  <si>
    <t>16th Street Taco</t>
  </si>
  <si>
    <t>SUPPLY ONLY</t>
  </si>
  <si>
    <t>AH</t>
  </si>
  <si>
    <t>NO</t>
  </si>
  <si>
    <t>Eduardo Jaurez</t>
  </si>
  <si>
    <t>415-725-0715</t>
  </si>
  <si>
    <t>SF</t>
  </si>
  <si>
    <t>980 16th Street</t>
  </si>
  <si>
    <t>San Francisco</t>
  </si>
  <si>
    <t>Ca</t>
  </si>
  <si>
    <t>2 Star Market</t>
  </si>
  <si>
    <t>CASIO</t>
  </si>
  <si>
    <t>LG</t>
  </si>
  <si>
    <t>Qt-6600</t>
  </si>
  <si>
    <t>Ali</t>
  </si>
  <si>
    <t>510-531-3576</t>
  </si>
  <si>
    <t>ALA</t>
  </si>
  <si>
    <t>2020 MacArthur Blvd</t>
  </si>
  <si>
    <t>Oakland</t>
  </si>
  <si>
    <t xml:space="preserve">          </t>
  </si>
  <si>
    <t>22nd &amp; Irving Market</t>
  </si>
  <si>
    <t>SCALE</t>
  </si>
  <si>
    <t>RA</t>
  </si>
  <si>
    <t>LP-1000</t>
  </si>
  <si>
    <t>Chris</t>
  </si>
  <si>
    <t>415-681-5212</t>
  </si>
  <si>
    <t>2101 Irving Street</t>
  </si>
  <si>
    <t>26 Mix</t>
  </si>
  <si>
    <t>ECR</t>
  </si>
  <si>
    <t>Sam4s ER945 raised</t>
  </si>
  <si>
    <t>William Mayorga</t>
  </si>
  <si>
    <t>415-826-7378</t>
  </si>
  <si>
    <t>510-734-5931</t>
  </si>
  <si>
    <t>3024 Mission Street</t>
  </si>
  <si>
    <t xml:space="preserve">   </t>
  </si>
  <si>
    <t xml:space="preserve">                      </t>
  </si>
  <si>
    <t xml:space="preserve">                       </t>
  </si>
  <si>
    <t>3 Star Food &amp; Liquor</t>
  </si>
  <si>
    <t>Casio TE7000</t>
  </si>
  <si>
    <t>Mandeep</t>
  </si>
  <si>
    <t>510-340-1366</t>
  </si>
  <si>
    <t>Concord</t>
  </si>
  <si>
    <t>1140 Meadow Lane</t>
  </si>
  <si>
    <t>Dependu</t>
  </si>
  <si>
    <t>420 Smoke Palace  **c.o.d. prepay**</t>
  </si>
  <si>
    <t>Sam4s SAP-630</t>
  </si>
  <si>
    <t>*COD/PREPAY ONLY**</t>
  </si>
  <si>
    <t>Abassi</t>
  </si>
  <si>
    <t>408-880-4200</t>
  </si>
  <si>
    <t>SanJose</t>
  </si>
  <si>
    <t>396 S. Bascom Avenue</t>
  </si>
  <si>
    <t>San Jose</t>
  </si>
  <si>
    <t xml:space="preserve">54-230 </t>
  </si>
  <si>
    <t>396 S. Bacom Avenue</t>
  </si>
  <si>
    <t>5th Street Steakhouse</t>
  </si>
  <si>
    <t>Traci</t>
  </si>
  <si>
    <t>530-891-6328</t>
  </si>
  <si>
    <t>BUTTE</t>
  </si>
  <si>
    <t>345 W. 5th Street</t>
  </si>
  <si>
    <t>Chico</t>
  </si>
  <si>
    <t>wearschico@yahoo.com</t>
  </si>
  <si>
    <t>Angela</t>
  </si>
  <si>
    <t>530-891-8339</t>
  </si>
  <si>
    <t>65th Street Market</t>
  </si>
  <si>
    <t>Sam4s ER260</t>
  </si>
  <si>
    <t>Murshed Adbul</t>
  </si>
  <si>
    <t>510-655-6838</t>
  </si>
  <si>
    <t>Emery</t>
  </si>
  <si>
    <t>6444 San Pablo Ave</t>
  </si>
  <si>
    <t>Emeryville</t>
  </si>
  <si>
    <t xml:space="preserve">6444 San Pablo Ave </t>
  </si>
  <si>
    <t>76 Auto Care Service</t>
  </si>
  <si>
    <t>Babu</t>
  </si>
  <si>
    <t>510-530-5605</t>
  </si>
  <si>
    <t>4500 Park Blvd</t>
  </si>
  <si>
    <t>88 Sushi &amp; Ramen</t>
  </si>
  <si>
    <t>7 X 24</t>
  </si>
  <si>
    <t>SpotOn</t>
  </si>
  <si>
    <t>J. Decastro</t>
  </si>
  <si>
    <t>650-948-8388</t>
  </si>
  <si>
    <t>SC</t>
  </si>
  <si>
    <t>530 Showers Drive. #4</t>
  </si>
  <si>
    <t>Mountain View</t>
  </si>
  <si>
    <t>15-741</t>
  </si>
  <si>
    <t>530 Showers Drive, #4</t>
  </si>
  <si>
    <t>9th Street Market</t>
  </si>
  <si>
    <t>Nav Singh</t>
  </si>
  <si>
    <t>707-542-5903</t>
  </si>
  <si>
    <t>559-260-5848 cell</t>
  </si>
  <si>
    <t>S.Rosa</t>
  </si>
  <si>
    <t>766 Wilson Street</t>
  </si>
  <si>
    <t>Santa Rosa</t>
  </si>
  <si>
    <t>mail4navsingh.nps@gmail.com</t>
  </si>
  <si>
    <t>a Mano</t>
  </si>
  <si>
    <t>Rodrigo</t>
  </si>
  <si>
    <t>415-506-7401</t>
  </si>
  <si>
    <t>415-271-3947</t>
  </si>
  <si>
    <t>450 Hayes Street</t>
  </si>
  <si>
    <t>info@amanosf.com</t>
  </si>
  <si>
    <t>iberdougo@backofthehouseinc.com</t>
  </si>
  <si>
    <t>rodrigo@backofthehouseinc.com</t>
  </si>
  <si>
    <t xml:space="preserve">CC235 </t>
  </si>
  <si>
    <t>450 Hayes St</t>
  </si>
  <si>
    <t>415-881-7020</t>
  </si>
  <si>
    <t>A Sweet Affair - California</t>
  </si>
  <si>
    <t>Terry Babcock</t>
  </si>
  <si>
    <t>925-943-2253</t>
  </si>
  <si>
    <t>925-785-5931</t>
  </si>
  <si>
    <t>CC</t>
  </si>
  <si>
    <t>1991 N California Blvd</t>
  </si>
  <si>
    <t>Walnut Creek</t>
  </si>
  <si>
    <t>asweetaffairbakery@usa.com</t>
  </si>
  <si>
    <t>idreamofaruba@gmail.com</t>
  </si>
  <si>
    <t>Sarah Torres -&gt;</t>
  </si>
  <si>
    <t>925-395-1695</t>
  </si>
  <si>
    <t>EMAIL IDREAM</t>
  </si>
  <si>
    <t>A Sweet Affair - Ygnacio</t>
  </si>
  <si>
    <t>925-944-1910</t>
  </si>
  <si>
    <t>1815 Ygnacio Valley Road Ste F</t>
  </si>
  <si>
    <t>bakerhot1@aol.com</t>
  </si>
  <si>
    <t>Terry-owner</t>
  </si>
  <si>
    <t>925-947-6000</t>
  </si>
  <si>
    <t>A&amp;W - San Rafael</t>
  </si>
  <si>
    <t>BRINK</t>
  </si>
  <si>
    <t>MB</t>
  </si>
  <si>
    <t>M-F</t>
  </si>
  <si>
    <t>David</t>
  </si>
  <si>
    <t>415-479-9652</t>
  </si>
  <si>
    <t>.;</t>
  </si>
  <si>
    <t>SR</t>
  </si>
  <si>
    <t>3741 Redwood Highway</t>
  </si>
  <si>
    <t>San Rafael</t>
  </si>
  <si>
    <t>bigbromberger@gmail.com</t>
  </si>
  <si>
    <t>brombergerville@hotmail.com</t>
  </si>
  <si>
    <t>Ace Wasabi</t>
  </si>
  <si>
    <t>Ken Lowe</t>
  </si>
  <si>
    <t>415-567-4903</t>
  </si>
  <si>
    <t>415-819-8477</t>
  </si>
  <si>
    <t>3339 Steiner Street</t>
  </si>
  <si>
    <t>klowe1414@yahoo.com</t>
  </si>
  <si>
    <t>klowe1234@gmail.com</t>
  </si>
  <si>
    <t>vicas</t>
  </si>
  <si>
    <t>415-850-7530</t>
  </si>
  <si>
    <t>415-749-1873</t>
  </si>
  <si>
    <t>3339 STEINER STREET</t>
  </si>
  <si>
    <t>415-576-4903</t>
  </si>
  <si>
    <t>Achilles by the Sea</t>
  </si>
  <si>
    <t>SPOT ON</t>
  </si>
  <si>
    <t>Diaa Atali</t>
  </si>
  <si>
    <t>650-476-6663</t>
  </si>
  <si>
    <t>S.Cruz</t>
  </si>
  <si>
    <t>1404 Soquel Ave</t>
  </si>
  <si>
    <t>Santa Cruz</t>
  </si>
  <si>
    <t>achillessantaclara@gmail.com</t>
  </si>
  <si>
    <t>54-230</t>
  </si>
  <si>
    <t>Acre Restaurant</t>
  </si>
  <si>
    <t>Spot On</t>
  </si>
  <si>
    <t>DK</t>
  </si>
  <si>
    <t>Dirk/Kirsten</t>
  </si>
  <si>
    <t>5655 College Ave</t>
  </si>
  <si>
    <t>cc235</t>
  </si>
  <si>
    <t xml:space="preserve">         </t>
  </si>
  <si>
    <t>Agave - Healdsburg</t>
  </si>
  <si>
    <t>Octavio Diaz</t>
  </si>
  <si>
    <t>707-433-2411</t>
  </si>
  <si>
    <t>SON</t>
  </si>
  <si>
    <t>1063 Vine St</t>
  </si>
  <si>
    <t>Healdsburg</t>
  </si>
  <si>
    <t>daisy@merlobiz.com</t>
  </si>
  <si>
    <t>mail@merlobiz.com</t>
  </si>
  <si>
    <t>tishia@merlobiz.com</t>
  </si>
  <si>
    <t>Aguachiles El Tamarindo</t>
  </si>
  <si>
    <t>NCC</t>
  </si>
  <si>
    <t>Edgar</t>
  </si>
  <si>
    <t>510-500-7552</t>
  </si>
  <si>
    <t>510-393-2242 cell</t>
  </si>
  <si>
    <t>3053 International Blvd</t>
  </si>
  <si>
    <t>eg333366@gmail.com</t>
  </si>
  <si>
    <t xml:space="preserve">Alana's - Burlingame </t>
  </si>
  <si>
    <t>DEPOT</t>
  </si>
  <si>
    <t>Francesca</t>
  </si>
  <si>
    <t>650-348-0417</t>
  </si>
  <si>
    <t>650-799-9230</t>
  </si>
  <si>
    <t>Burl</t>
  </si>
  <si>
    <t>1408 Burlingame Avenue</t>
  </si>
  <si>
    <t>Burlingame</t>
  </si>
  <si>
    <t>info@alanascafe.com</t>
  </si>
  <si>
    <t>francesca@alanascafe.com</t>
  </si>
  <si>
    <t>Teresa</t>
  </si>
  <si>
    <t>Tim</t>
  </si>
  <si>
    <t>650-703-9981</t>
  </si>
  <si>
    <t xml:space="preserve">  </t>
  </si>
  <si>
    <t xml:space="preserve">54-230  </t>
  </si>
  <si>
    <t xml:space="preserve">CC235  </t>
  </si>
  <si>
    <t>1408 BURLINGAME AVENUE</t>
  </si>
  <si>
    <t>Alegria's</t>
  </si>
  <si>
    <t>Angelynne</t>
  </si>
  <si>
    <t>415-929-8888</t>
  </si>
  <si>
    <t>2018 Lombard Street</t>
  </si>
  <si>
    <t>info@alegraissf.com</t>
  </si>
  <si>
    <t>Arman</t>
  </si>
  <si>
    <t>2018 LOMBARD STREET</t>
  </si>
  <si>
    <t>Alejandro's Taqueria - Fairfield</t>
  </si>
  <si>
    <t>Sam ER940 flat</t>
  </si>
  <si>
    <t>Lety</t>
  </si>
  <si>
    <t>707-429-2155</t>
  </si>
  <si>
    <t>SOL</t>
  </si>
  <si>
    <t>936 Texas Street</t>
  </si>
  <si>
    <t>Fairfield</t>
  </si>
  <si>
    <t>Alejandro's Taqueria - Sacramento</t>
  </si>
  <si>
    <t>Luis</t>
  </si>
  <si>
    <t>916-459-0924</t>
  </si>
  <si>
    <t>SacCity</t>
  </si>
  <si>
    <t>911 K Street</t>
  </si>
  <si>
    <t>Sacramento</t>
  </si>
  <si>
    <t>lbarr@sbcglobal.net</t>
  </si>
  <si>
    <t>All Star Donut</t>
  </si>
  <si>
    <t>SAM 260</t>
  </si>
  <si>
    <t>Sem</t>
  </si>
  <si>
    <t>510-525-7289</t>
  </si>
  <si>
    <t>El Cerr</t>
  </si>
  <si>
    <t>3070 El Cerrito Plaza</t>
  </si>
  <si>
    <t>El Cerrito</t>
  </si>
  <si>
    <t>Alley &amp; Vine</t>
  </si>
  <si>
    <t>Ricardo</t>
  </si>
  <si>
    <t>510-227-5006</t>
  </si>
  <si>
    <t>1332 Park St Suite D</t>
  </si>
  <si>
    <t>Alameda</t>
  </si>
  <si>
    <t>CC235</t>
  </si>
  <si>
    <t>Alotta's Deli &amp; Catering</t>
  </si>
  <si>
    <t>***   COD/ Prepay only  ONLY **</t>
  </si>
  <si>
    <t>Mike Mansch</t>
  </si>
  <si>
    <t>650-967-0299</t>
  </si>
  <si>
    <t>408-807-0575</t>
  </si>
  <si>
    <t>LosAltos</t>
  </si>
  <si>
    <t>2249 Grant Road</t>
  </si>
  <si>
    <t>Los Altos</t>
  </si>
  <si>
    <t>alottasdeli@aol.com</t>
  </si>
  <si>
    <t>Amakara</t>
  </si>
  <si>
    <t>Myly</t>
  </si>
  <si>
    <t>925-803-8485</t>
  </si>
  <si>
    <t>925-992-9819</t>
  </si>
  <si>
    <t>7568 Dublin Blvd</t>
  </si>
  <si>
    <t>Dublin</t>
  </si>
  <si>
    <t>amakaracompany@gmail.com</t>
  </si>
  <si>
    <t>Eddie (owner)</t>
  </si>
  <si>
    <t>209-601-8923</t>
  </si>
  <si>
    <t>Tae Oh</t>
  </si>
  <si>
    <t>408-981-6142</t>
  </si>
  <si>
    <t>7222 REGIONAL STREET</t>
  </si>
  <si>
    <t>Amal's Deli</t>
  </si>
  <si>
    <t>Rana</t>
  </si>
  <si>
    <t>415-227-3797</t>
  </si>
  <si>
    <t>1416 Haight St</t>
  </si>
  <si>
    <t>American Bull</t>
  </si>
  <si>
    <t>Liz Jones</t>
  </si>
  <si>
    <t>650-652-4908</t>
  </si>
  <si>
    <t>650-504-3947</t>
  </si>
  <si>
    <t>1819 El Camino Real</t>
  </si>
  <si>
    <t>theamericanbullbarandgrill@gmail.com</t>
  </si>
  <si>
    <t>Daniel (Liz's son)</t>
  </si>
  <si>
    <t>650-504-3945</t>
  </si>
  <si>
    <t>650-652-9825</t>
  </si>
  <si>
    <t>1819 EL CAMINO REAL</t>
  </si>
  <si>
    <t>Anaheim White House</t>
  </si>
  <si>
    <t>Sylvano</t>
  </si>
  <si>
    <t>714-772-1381</t>
  </si>
  <si>
    <t>OC</t>
  </si>
  <si>
    <t>887 S. Anaheim Blvd</t>
  </si>
  <si>
    <t>Anaheim</t>
  </si>
  <si>
    <t>katie@anaheimwhitehouse.com</t>
  </si>
  <si>
    <t>Ananda Fuara</t>
  </si>
  <si>
    <t>Golapendu</t>
  </si>
  <si>
    <t>415-621-1994</t>
  </si>
  <si>
    <t>415-812-1327</t>
  </si>
  <si>
    <t>1298 Market Street</t>
  </si>
  <si>
    <t>Anderson Valley Brewing</t>
  </si>
  <si>
    <t>Rebecca</t>
  </si>
  <si>
    <t>707-895-2337</t>
  </si>
  <si>
    <t>Mendo</t>
  </si>
  <si>
    <t>17700 Highway 253</t>
  </si>
  <si>
    <t>Boonville</t>
  </si>
  <si>
    <t>reception@avbc.com</t>
  </si>
  <si>
    <t>rpaez@avbc.com</t>
  </si>
  <si>
    <t>Vicky ( A/P)</t>
  </si>
  <si>
    <t>707-895-2353</t>
  </si>
  <si>
    <t>P.O. Box  505</t>
  </si>
  <si>
    <t>17700 HIGHWAY 253</t>
  </si>
  <si>
    <t>Andi's Market</t>
  </si>
  <si>
    <t>570-2</t>
  </si>
  <si>
    <t>Morris</t>
  </si>
  <si>
    <t>415-648-4656</t>
  </si>
  <si>
    <t>559-960-2025 cell</t>
  </si>
  <si>
    <t>820 Cortland Avenue</t>
  </si>
  <si>
    <t>mlmanji@gmail.com</t>
  </si>
  <si>
    <t>GoDex /roll</t>
  </si>
  <si>
    <t>Andy &amp; Yu's</t>
  </si>
  <si>
    <t>Nicole</t>
  </si>
  <si>
    <t>925-750-8888</t>
  </si>
  <si>
    <t>Pleas</t>
  </si>
  <si>
    <t>348 St.Mary Street</t>
  </si>
  <si>
    <t>Pleasanton</t>
  </si>
  <si>
    <t xml:space="preserve">       </t>
  </si>
  <si>
    <t>348 St. Mary Street</t>
  </si>
  <si>
    <t>Andy's Local Market</t>
  </si>
  <si>
    <t>Paige/Robert</t>
  </si>
  <si>
    <t>415-456-5730</t>
  </si>
  <si>
    <t>75 Loch Lomond Drive</t>
  </si>
  <si>
    <t>18-333</t>
  </si>
  <si>
    <t xml:space="preserve">           </t>
  </si>
  <si>
    <t>Angela's Kitchen</t>
  </si>
  <si>
    <t>Saboor</t>
  </si>
  <si>
    <t>510-263-8788</t>
  </si>
  <si>
    <t>510-333-4874</t>
  </si>
  <si>
    <t>1640 Park Street</t>
  </si>
  <si>
    <t>zboor58@gmail.com</t>
  </si>
  <si>
    <t>Lisa</t>
  </si>
  <si>
    <t>510-864-0803</t>
  </si>
  <si>
    <t>510-522-5822</t>
  </si>
  <si>
    <t>Antigua Cocina</t>
  </si>
  <si>
    <t>SAM4S ER260</t>
  </si>
  <si>
    <t>Marvin</t>
  </si>
  <si>
    <t>415-879-6670</t>
  </si>
  <si>
    <t>Novato</t>
  </si>
  <si>
    <t>1559 S. Novato Blvd, Suite J</t>
  </si>
  <si>
    <t>1559 S. Novato Blvd</t>
  </si>
  <si>
    <t>Antonio's Quick Lunch</t>
  </si>
  <si>
    <t>Antonio</t>
  </si>
  <si>
    <t>530-763-4009</t>
  </si>
  <si>
    <t>530-751-6902</t>
  </si>
  <si>
    <t>SUTTER</t>
  </si>
  <si>
    <t>716 Colusa Avenue</t>
  </si>
  <si>
    <t>Yuba City</t>
  </si>
  <si>
    <t>aql761@hotmail.com</t>
  </si>
  <si>
    <t>Mayra</t>
  </si>
  <si>
    <t xml:space="preserve"> 530-300-3551 cell</t>
  </si>
  <si>
    <t>Armando's Bar &amp; Grill</t>
  </si>
  <si>
    <t>SPOTON</t>
  </si>
  <si>
    <t>JS</t>
  </si>
  <si>
    <t>Armando Alvarez</t>
  </si>
  <si>
    <t>760-346-0744</t>
  </si>
  <si>
    <t>760-972-7118</t>
  </si>
  <si>
    <t>Riverside</t>
  </si>
  <si>
    <t>73260 El Paseo #1A</t>
  </si>
  <si>
    <t>Palm Desert</t>
  </si>
  <si>
    <t>armandononi@hotmail.com</t>
  </si>
  <si>
    <t>amandaalvarez89@gmail.com</t>
  </si>
  <si>
    <t>jysrosales2@msn.com</t>
  </si>
  <si>
    <t>Javier Rosales</t>
  </si>
  <si>
    <t>760-346-0741</t>
  </si>
  <si>
    <t xml:space="preserve">                     </t>
  </si>
  <si>
    <t>Arteaga's Food Center - Lodi</t>
  </si>
  <si>
    <t>Alonzo Lopez</t>
  </si>
  <si>
    <t>209-339-0399</t>
  </si>
  <si>
    <t>510-376-9832</t>
  </si>
  <si>
    <t>Lodi</t>
  </si>
  <si>
    <t>200 E Oak Street</t>
  </si>
  <si>
    <t>alonzo@arteagas.com</t>
  </si>
  <si>
    <t>Claudia</t>
  </si>
  <si>
    <t>707-318-6841</t>
  </si>
  <si>
    <t>408-885-0808</t>
  </si>
  <si>
    <t xml:space="preserve">Lodi </t>
  </si>
  <si>
    <t>Arteaga's Food Center - Newark</t>
  </si>
  <si>
    <t>Geraldo Lopez</t>
  </si>
  <si>
    <t>510-791-1252</t>
  </si>
  <si>
    <t>510-364-8854</t>
  </si>
  <si>
    <t>Newark</t>
  </si>
  <si>
    <t>5524 Thornton Avenue</t>
  </si>
  <si>
    <t>glopez@arteagasfoodcenter.com</t>
  </si>
  <si>
    <t>nelson@arteagas.com</t>
  </si>
  <si>
    <t>Lorena= A/P</t>
  </si>
  <si>
    <t>Jose</t>
  </si>
  <si>
    <t>408-899-6939</t>
  </si>
  <si>
    <t>510-744-0776</t>
  </si>
  <si>
    <t>Arya Steakhouse- Palo Alto</t>
  </si>
  <si>
    <t>NS</t>
  </si>
  <si>
    <t>Fera</t>
  </si>
  <si>
    <t>650-304-3119</t>
  </si>
  <si>
    <t>140 University Ave</t>
  </si>
  <si>
    <t>Palo Alto</t>
  </si>
  <si>
    <t>fera@aryarestaurant.com</t>
  </si>
  <si>
    <t>Asian Box - Palo Alto</t>
  </si>
  <si>
    <t>SO</t>
  </si>
  <si>
    <t>Charles Imerson</t>
  </si>
  <si>
    <t>650-391-9305</t>
  </si>
  <si>
    <t>855 El Camino Real</t>
  </si>
  <si>
    <t>asianbox@info.com</t>
  </si>
  <si>
    <t>Atlas Café</t>
  </si>
  <si>
    <t>Bill Stone</t>
  </si>
  <si>
    <t>415-648-1047</t>
  </si>
  <si>
    <t>415-999-6274</t>
  </si>
  <si>
    <t>3049 20th Street</t>
  </si>
  <si>
    <t>3049 20TH STREET</t>
  </si>
  <si>
    <t>Atwater Tavern</t>
  </si>
  <si>
    <t>John Caine</t>
  </si>
  <si>
    <t>415-512-7153</t>
  </si>
  <si>
    <t>295 Terry A Francois Blvd</t>
  </si>
  <si>
    <t>fanny@atwatertavern.com</t>
  </si>
  <si>
    <t>john@atwatertavern.com</t>
  </si>
  <si>
    <t>EMAIL Debbie invoices!!!!</t>
  </si>
  <si>
    <t>Jameson AP</t>
  </si>
  <si>
    <t>289 Terry A Francois Blvd</t>
  </si>
  <si>
    <t>Augie's French</t>
  </si>
  <si>
    <t>Kim</t>
  </si>
  <si>
    <t>707-531-4400</t>
  </si>
  <si>
    <t>535 4th  Street</t>
  </si>
  <si>
    <t>535 4th Street</t>
  </si>
  <si>
    <t>Aurora - Sausalito</t>
  </si>
  <si>
    <t>Vanessa Romero</t>
  </si>
  <si>
    <t>415-339-8930</t>
  </si>
  <si>
    <t>Saus</t>
  </si>
  <si>
    <t>300 Valley St Ste 207</t>
  </si>
  <si>
    <t>Sausalito</t>
  </si>
  <si>
    <t>info@aurorasausalito.com</t>
  </si>
  <si>
    <t>Auto City</t>
  </si>
  <si>
    <t>Roberto</t>
  </si>
  <si>
    <t>415-713-5409</t>
  </si>
  <si>
    <t>501 South Van Ness Avenue</t>
  </si>
  <si>
    <t>61085 $6ea</t>
  </si>
  <si>
    <t>Avenue Liquor</t>
  </si>
  <si>
    <t>Sam4s</t>
  </si>
  <si>
    <t>6600</t>
  </si>
  <si>
    <t>Gurmeet</t>
  </si>
  <si>
    <t>650-368-8864</t>
  </si>
  <si>
    <t>415-571-5609</t>
  </si>
  <si>
    <t>RWC</t>
  </si>
  <si>
    <t>2147 Roosevelt Ave</t>
  </si>
  <si>
    <t>Redwood City</t>
  </si>
  <si>
    <t>Baan Thai Restaurant</t>
  </si>
  <si>
    <t>Carlos</t>
  </si>
  <si>
    <t>831-394-2996</t>
  </si>
  <si>
    <t>831-521-3365</t>
  </si>
  <si>
    <t>Monterey</t>
  </si>
  <si>
    <t>1760 Fremont Blvd #F1</t>
  </si>
  <si>
    <t>Seaside</t>
  </si>
  <si>
    <t xml:space="preserve">                  </t>
  </si>
  <si>
    <t>Baan Thai- San Anselmo</t>
  </si>
  <si>
    <t>Jackie</t>
  </si>
  <si>
    <t>415-457-9470</t>
  </si>
  <si>
    <t>S.Ansel</t>
  </si>
  <si>
    <t>726 San Anselmo Ave</t>
  </si>
  <si>
    <t>San Anselmo</t>
  </si>
  <si>
    <t xml:space="preserve">            </t>
  </si>
  <si>
    <t>Bacco Ristorante Italiano</t>
  </si>
  <si>
    <t>Shari</t>
  </si>
  <si>
    <t>415-370-2191</t>
  </si>
  <si>
    <t>3913 24th Street</t>
  </si>
  <si>
    <t>sipdominici@yahoo.com</t>
  </si>
  <si>
    <t>13-305</t>
  </si>
  <si>
    <t>Baker St Café</t>
  </si>
  <si>
    <t>Kevin</t>
  </si>
  <si>
    <t>650-593-0103</t>
  </si>
  <si>
    <t>254 Redwood Shores Pkwy</t>
  </si>
  <si>
    <t>Baltic Spice House</t>
  </si>
  <si>
    <t>Harjinder Singh</t>
  </si>
  <si>
    <t>916-465-5925</t>
  </si>
  <si>
    <t>Richmond</t>
  </si>
  <si>
    <t>135 Park Pl</t>
  </si>
  <si>
    <t>harjindersingh4414@yahoo.com</t>
  </si>
  <si>
    <t>Banzai Japanese Bar &amp; Grill</t>
  </si>
  <si>
    <t>David Rasavong</t>
  </si>
  <si>
    <t>FresCity</t>
  </si>
  <si>
    <t>609 E Olive Ave Suite C</t>
  </si>
  <si>
    <t>Fresno</t>
  </si>
  <si>
    <t>Elev8tehospitality@gmail.con</t>
  </si>
  <si>
    <t>Bar Bocce</t>
  </si>
  <si>
    <t>RF</t>
  </si>
  <si>
    <t>Gary Newman</t>
  </si>
  <si>
    <t>415-331-0555</t>
  </si>
  <si>
    <t>1250 Bridgeway Blvd</t>
  </si>
  <si>
    <t>gary@barbocce.com</t>
  </si>
  <si>
    <t>info@barbocce.com</t>
  </si>
  <si>
    <t xml:space="preserve">Lauren GM </t>
  </si>
  <si>
    <t>415-342-1668</t>
  </si>
  <si>
    <t>www.barbocce.com</t>
  </si>
  <si>
    <t>P. Schumaker</t>
  </si>
  <si>
    <t>Bar Cava</t>
  </si>
  <si>
    <t>Hailey</t>
  </si>
  <si>
    <t>925-957-6030</t>
  </si>
  <si>
    <t>Martinez</t>
  </si>
  <si>
    <t>718 Main Street</t>
  </si>
  <si>
    <t>Barbacco Entrattoria</t>
  </si>
  <si>
    <t>DO</t>
  </si>
  <si>
    <t>Umberto Gibin</t>
  </si>
  <si>
    <t>415-955-1919</t>
  </si>
  <si>
    <t>220 California St</t>
  </si>
  <si>
    <t>umberto+1@perbaccosf.com</t>
  </si>
  <si>
    <t>Barrel Head Brewhouse</t>
  </si>
  <si>
    <t>Natasha Gatto</t>
  </si>
  <si>
    <t>415-416-6989</t>
  </si>
  <si>
    <t>1785 Fulton Street</t>
  </si>
  <si>
    <t>natasha@barrelheadsf.com</t>
  </si>
  <si>
    <t xml:space="preserve">             </t>
  </si>
  <si>
    <t>Barrel House Tavern</t>
  </si>
  <si>
    <t>Christian Henry</t>
  </si>
  <si>
    <t>415-729-9593</t>
  </si>
  <si>
    <t>415-260-1293</t>
  </si>
  <si>
    <t>660 Bridgeway</t>
  </si>
  <si>
    <t>jaredpfeldman@gmail.com</t>
  </si>
  <si>
    <t>chenry39@comcast.net</t>
  </si>
  <si>
    <t>Batika India Cuisine</t>
  </si>
  <si>
    <t>7 x 24</t>
  </si>
  <si>
    <t>Arun</t>
  </si>
  <si>
    <t>415-897-5757</t>
  </si>
  <si>
    <t>Nov</t>
  </si>
  <si>
    <t>868 Grant Street</t>
  </si>
  <si>
    <t>868 Grant Avenue</t>
  </si>
  <si>
    <t>Bay Area Market &amp; Liquor</t>
  </si>
  <si>
    <t>Yassir</t>
  </si>
  <si>
    <t>510-658-4539</t>
  </si>
  <si>
    <t>3148 San Pablo Avenue</t>
  </si>
  <si>
    <t xml:space="preserve">                    </t>
  </si>
  <si>
    <t>Bellam Produce</t>
  </si>
  <si>
    <t>Er-945</t>
  </si>
  <si>
    <t>Thomas</t>
  </si>
  <si>
    <t>415-256-8086</t>
  </si>
  <si>
    <t>415-902-8812</t>
  </si>
  <si>
    <t>151 Bellam Blvd</t>
  </si>
  <si>
    <t>Tom</t>
  </si>
  <si>
    <t>151 BELLAM BLVD</t>
  </si>
  <si>
    <t>415-256-9837</t>
  </si>
  <si>
    <t>Bellam Self Storage</t>
  </si>
  <si>
    <t>Andree</t>
  </si>
  <si>
    <t>415-454-1983</t>
  </si>
  <si>
    <t>24 Bellam Blvd</t>
  </si>
  <si>
    <t>PO Box 10788</t>
  </si>
  <si>
    <t>Ben Franklin</t>
  </si>
  <si>
    <t>Jennifer</t>
  </si>
  <si>
    <t>530-273-1348</t>
  </si>
  <si>
    <t>Grass Val</t>
  </si>
  <si>
    <t>598 Sutton Way</t>
  </si>
  <si>
    <t>Grass Valley</t>
  </si>
  <si>
    <t>Jeannie DeGruccio</t>
  </si>
  <si>
    <t>530-272-6452</t>
  </si>
  <si>
    <t>Beretta</t>
  </si>
  <si>
    <t>Marko</t>
  </si>
  <si>
    <t>415-695-1199</t>
  </si>
  <si>
    <t>1199 Valencia Street</t>
  </si>
  <si>
    <t>info@berettasf.com</t>
  </si>
  <si>
    <t>Berkeley Bagel</t>
  </si>
  <si>
    <t>Sam Chea</t>
  </si>
  <si>
    <t>510-524-3104</t>
  </si>
  <si>
    <t>408-823-8999 cell</t>
  </si>
  <si>
    <t>1281 Gilman St</t>
  </si>
  <si>
    <t>Berkeley</t>
  </si>
  <si>
    <t>Beso</t>
  </si>
  <si>
    <t>Michelle</t>
  </si>
  <si>
    <t>415-883-6700</t>
  </si>
  <si>
    <t>615-419-4003</t>
  </si>
  <si>
    <t>502 S. Palm Drive</t>
  </si>
  <si>
    <t>beso@fe.fake</t>
  </si>
  <si>
    <t xml:space="preserve">Beyond the Glory </t>
  </si>
  <si>
    <t>Colby- MGR</t>
  </si>
  <si>
    <t>707-971-8366</t>
  </si>
  <si>
    <t>707-338-3211</t>
  </si>
  <si>
    <t>1371 N McDowell Blvd Suite 130</t>
  </si>
  <si>
    <t>Petaluma</t>
  </si>
  <si>
    <t>Jeffrey Inglin- owner</t>
  </si>
  <si>
    <t>623-518-0818</t>
  </si>
  <si>
    <t>Bird &amp; The Bottle</t>
  </si>
  <si>
    <t>Sam</t>
  </si>
  <si>
    <t>707-568-4000</t>
  </si>
  <si>
    <t>1055 4th St</t>
  </si>
  <si>
    <t>info@birdandthebottle.com</t>
  </si>
  <si>
    <t>Bistro 45</t>
  </si>
  <si>
    <t xml:space="preserve">SNBC </t>
  </si>
  <si>
    <t>Robert Simon</t>
  </si>
  <si>
    <t>626-795-2478</t>
  </si>
  <si>
    <t>626-644-9387 cell</t>
  </si>
  <si>
    <t>Pasa</t>
  </si>
  <si>
    <t>45 South Mentor Avenue</t>
  </si>
  <si>
    <t>Pasadena</t>
  </si>
  <si>
    <t>edward@welldonebooks.com</t>
  </si>
  <si>
    <t xml:space="preserve">                   </t>
  </si>
  <si>
    <t>Black &amp; White Market</t>
  </si>
  <si>
    <t>Casio Te-2200</t>
  </si>
  <si>
    <t>Judy/Hung</t>
  </si>
  <si>
    <t>510-261-2681</t>
  </si>
  <si>
    <t>2681 Fruitvale Blvd</t>
  </si>
  <si>
    <t>Blue &amp; Gold Fleet</t>
  </si>
  <si>
    <t>Stacy</t>
  </si>
  <si>
    <t>415-705-5458</t>
  </si>
  <si>
    <t>415-705-5532 (after 3)</t>
  </si>
  <si>
    <t>Pier 41 Marina Terminal, 2nd Floor</t>
  </si>
  <si>
    <t>ARLENE</t>
  </si>
  <si>
    <t>Kent</t>
  </si>
  <si>
    <t>415-407-2000</t>
  </si>
  <si>
    <t>415-705-5429</t>
  </si>
  <si>
    <t>www.blueandgoldfleet.com</t>
  </si>
  <si>
    <t>PIER 41 MARINA</t>
  </si>
  <si>
    <t>415-705-8265</t>
  </si>
  <si>
    <t>Blue Barn - Novato</t>
  </si>
  <si>
    <t>Spoton</t>
  </si>
  <si>
    <t>Neusa</t>
  </si>
  <si>
    <t>415-895-6771</t>
  </si>
  <si>
    <t>819 Grant Avenue</t>
  </si>
  <si>
    <t>Blue Barn- Cole</t>
  </si>
  <si>
    <t>Juan</t>
  </si>
  <si>
    <t>901 Cole Street</t>
  </si>
  <si>
    <t>Blue Barn- Corte Madera</t>
  </si>
  <si>
    <t>Liz</t>
  </si>
  <si>
    <t>415-927-1104</t>
  </si>
  <si>
    <t>CM</t>
  </si>
  <si>
    <t>335 Corte Madera Town Center</t>
  </si>
  <si>
    <t>Corte Madera</t>
  </si>
  <si>
    <t>Blue Barn- Polk</t>
  </si>
  <si>
    <t>Caroline</t>
  </si>
  <si>
    <t>415-655-9438</t>
  </si>
  <si>
    <t>2237 Polk St</t>
  </si>
  <si>
    <t>2237 Polk Street</t>
  </si>
  <si>
    <t>Blue Barn- Steiner</t>
  </si>
  <si>
    <t>Caitlyn</t>
  </si>
  <si>
    <t>415-896-4866</t>
  </si>
  <si>
    <t>3344 Steiner St</t>
  </si>
  <si>
    <t>Blue Heron</t>
  </si>
  <si>
    <t>707-865-2261</t>
  </si>
  <si>
    <t>530-220-2475</t>
  </si>
  <si>
    <t>25275 Steelhead Blvd</t>
  </si>
  <si>
    <t>Jenner</t>
  </si>
  <si>
    <t>blueheronlive@gmail.com</t>
  </si>
  <si>
    <t>PO Box 32</t>
  </si>
  <si>
    <t>25300 STEELHEAD BLVD</t>
  </si>
  <si>
    <t>Duncan Mills</t>
  </si>
  <si>
    <t>707-865-9135</t>
  </si>
  <si>
    <t>Blue Whale SF</t>
  </si>
  <si>
    <t>415-812-7984</t>
  </si>
  <si>
    <t>2033 Union Street</t>
  </si>
  <si>
    <t>2033 UnionStreet</t>
  </si>
  <si>
    <t>Boboquivari's</t>
  </si>
  <si>
    <t>415-441-8880</t>
  </si>
  <si>
    <t>1450B Lombard St</t>
  </si>
  <si>
    <t>tbunker@boboquivaris.com</t>
  </si>
  <si>
    <t>1450 Lombard St</t>
  </si>
  <si>
    <t>Boca Pizza - Corte Madera</t>
  </si>
  <si>
    <t>George</t>
  </si>
  <si>
    <t>415-924-3021</t>
  </si>
  <si>
    <t>510-734-9054</t>
  </si>
  <si>
    <t>CorteM</t>
  </si>
  <si>
    <t>1544 Redwood Highway</t>
  </si>
  <si>
    <t>omar@bocapizzeria.com</t>
  </si>
  <si>
    <t>&lt;==  A/P</t>
  </si>
  <si>
    <t>Manny</t>
  </si>
  <si>
    <t>415-924-3024</t>
  </si>
  <si>
    <t>www.bocapizzeria.com/contact_cm.html</t>
  </si>
  <si>
    <t>Boca Pizza - Novato</t>
  </si>
  <si>
    <t>Mario</t>
  </si>
  <si>
    <t>415-883-2302</t>
  </si>
  <si>
    <t>454 Ignacio Blvd</t>
  </si>
  <si>
    <t>Greg</t>
  </si>
  <si>
    <t>Ed</t>
  </si>
  <si>
    <t>Sebastian</t>
  </si>
  <si>
    <t>www.bocapizzeria.com</t>
  </si>
  <si>
    <t>Boca Tavern</t>
  </si>
  <si>
    <t>Brian Penly</t>
  </si>
  <si>
    <t>415-883-0901</t>
  </si>
  <si>
    <t>340 Ignacio Blvd</t>
  </si>
  <si>
    <t>brian@bocatavern.com</t>
  </si>
  <si>
    <t>Felipe</t>
  </si>
  <si>
    <t>415-883-2802</t>
  </si>
  <si>
    <t>Bolinas Peoples Store</t>
  </si>
  <si>
    <t>Claire</t>
  </si>
  <si>
    <t>415-868-1433</t>
  </si>
  <si>
    <t>Marin</t>
  </si>
  <si>
    <t>14 Wharf Rd</t>
  </si>
  <si>
    <t>Bolinas</t>
  </si>
  <si>
    <t>Bonita Taqueria - 16th St</t>
  </si>
  <si>
    <t>NM</t>
  </si>
  <si>
    <t>Issa Sweidan</t>
  </si>
  <si>
    <t>415-552-2125</t>
  </si>
  <si>
    <t>415-487-0551</t>
  </si>
  <si>
    <t>3600 16th St</t>
  </si>
  <si>
    <t>jj@squatandgobble.com</t>
  </si>
  <si>
    <t>Bonita Taqueria - Chestnut</t>
  </si>
  <si>
    <t>Jawad Sweidan</t>
  </si>
  <si>
    <t>415-801-5599</t>
  </si>
  <si>
    <t>415-702-6272</t>
  </si>
  <si>
    <t>2257 Chestnut St</t>
  </si>
  <si>
    <t>jj+1@squatandgobble.com</t>
  </si>
  <si>
    <t>Bottleneck Liquor</t>
  </si>
  <si>
    <t>CASIO TE7000</t>
  </si>
  <si>
    <t>Angrej</t>
  </si>
  <si>
    <t>510-562-3612</t>
  </si>
  <si>
    <t>3151 98th Ave</t>
  </si>
  <si>
    <t>Bravas de Tapas</t>
  </si>
  <si>
    <t>SG</t>
  </si>
  <si>
    <t>Braxton/Nora</t>
  </si>
  <si>
    <t>707-433-7700</t>
  </si>
  <si>
    <t>916-705-4766</t>
  </si>
  <si>
    <t>420 Center St</t>
  </si>
  <si>
    <t>info@barbravas.com</t>
  </si>
  <si>
    <t>Bret Harte Market</t>
  </si>
  <si>
    <t>SAM 520</t>
  </si>
  <si>
    <t>Monti</t>
  </si>
  <si>
    <t>415-456-0163</t>
  </si>
  <si>
    <t>415-240-1759</t>
  </si>
  <si>
    <t>93 Woodland Avenue</t>
  </si>
  <si>
    <t>JASWINDERSINGH101@YAHOO.COM</t>
  </si>
  <si>
    <t>Jesse</t>
  </si>
  <si>
    <t>Aman</t>
  </si>
  <si>
    <t xml:space="preserve">GL2003 </t>
  </si>
  <si>
    <t>93 WOODLAND AVENUE</t>
  </si>
  <si>
    <t>Britannia Arms - Almaden</t>
  </si>
  <si>
    <t>Michael</t>
  </si>
  <si>
    <t>408-266-0550</t>
  </si>
  <si>
    <t>5027 Almaden Expressway</t>
  </si>
  <si>
    <t>Debbie</t>
  </si>
  <si>
    <t>Britannia Arms - Downtown</t>
  </si>
  <si>
    <t>Sonny Walters</t>
  </si>
  <si>
    <t>408-278-1400</t>
  </si>
  <si>
    <t>650-676-7788</t>
  </si>
  <si>
    <t>173 W. Santa Clara Street</t>
  </si>
  <si>
    <t>downtownbritarms@yahoo.com</t>
  </si>
  <si>
    <t>Terry</t>
  </si>
  <si>
    <t>619-370-5554</t>
  </si>
  <si>
    <t>Bob / Antonio</t>
  </si>
  <si>
    <t>408-723-1337</t>
  </si>
  <si>
    <t>Dan</t>
  </si>
  <si>
    <t>408-981-2296%</t>
  </si>
  <si>
    <t>Margaret</t>
  </si>
  <si>
    <t>408-278-1477</t>
  </si>
  <si>
    <t>173 W. SANTA CLARA STREET</t>
  </si>
  <si>
    <t>Buckeye Roadhouse</t>
  </si>
  <si>
    <t>Peter Schumacher</t>
  </si>
  <si>
    <t>415-331-2600</t>
  </si>
  <si>
    <t>415-990-2013</t>
  </si>
  <si>
    <t>15 Shoreline Highway</t>
  </si>
  <si>
    <t>Mill Valley</t>
  </si>
  <si>
    <t>peterschumacher2@gmail.com</t>
  </si>
  <si>
    <t>buckeyeroadhouse@comcast.net</t>
  </si>
  <si>
    <t>415-331-6067</t>
  </si>
  <si>
    <t>Buffalo Billiards Pool Hall</t>
  </si>
  <si>
    <t>Mike Bombace</t>
  </si>
  <si>
    <t>707-585-8992</t>
  </si>
  <si>
    <t>246 Petaluma Blvd N</t>
  </si>
  <si>
    <t>Bull Valley Roadhouse</t>
  </si>
  <si>
    <t>Paolo Gomez</t>
  </si>
  <si>
    <t>510-787-1135</t>
  </si>
  <si>
    <t>14 Canyon Lake Drive</t>
  </si>
  <si>
    <t>Port Costa</t>
  </si>
  <si>
    <t>eric@bullvalleyroadhouse.com</t>
  </si>
  <si>
    <t>accounting@bullvalleyroadhouse.com</t>
  </si>
  <si>
    <t>14 Canyon Lake Dr.PO Box 106</t>
  </si>
  <si>
    <t>Bungalow 44</t>
  </si>
  <si>
    <t>415-381-2500</t>
  </si>
  <si>
    <t>44 E. Blithedale Road</t>
  </si>
  <si>
    <t>tiffany@realrestaurants.com</t>
  </si>
  <si>
    <t>Leslie Morgan=mgr</t>
  </si>
  <si>
    <t>415-342-6101</t>
  </si>
  <si>
    <t>415-381-1476</t>
  </si>
  <si>
    <t>Butler Amusements</t>
  </si>
  <si>
    <t>Sam 260</t>
  </si>
  <si>
    <t>Dean</t>
  </si>
  <si>
    <t>1049 Ca 33</t>
  </si>
  <si>
    <t>Café 101</t>
  </si>
  <si>
    <t>Jack</t>
  </si>
  <si>
    <t>415-338-3469</t>
  </si>
  <si>
    <t>1650 Holloway</t>
  </si>
  <si>
    <t>Café Coda</t>
  </si>
  <si>
    <t>Eric</t>
  </si>
  <si>
    <t>530-566-9476</t>
  </si>
  <si>
    <t>265 Humbolt Avenue</t>
  </si>
  <si>
    <t>bill@radioparadise.com</t>
  </si>
  <si>
    <t>sbirkedal@aol.com</t>
  </si>
  <si>
    <t>rebecca@radioparadise.com</t>
  </si>
  <si>
    <t>BILL GOLDSM  9.25%ITH</t>
  </si>
  <si>
    <t>530-872-4993</t>
  </si>
  <si>
    <t>265 HUMBOLT AVENUE</t>
  </si>
  <si>
    <t>Café La Haye</t>
  </si>
  <si>
    <t>Saul</t>
  </si>
  <si>
    <t>707-935-5994</t>
  </si>
  <si>
    <t>707-480-1339</t>
  </si>
  <si>
    <t>140 E. Napa Street</t>
  </si>
  <si>
    <t>Sonoma</t>
  </si>
  <si>
    <t>707-963-1920</t>
  </si>
  <si>
    <t>140 EAST NAPA STREET</t>
  </si>
  <si>
    <t>Café Lotus</t>
  </si>
  <si>
    <t>Paul</t>
  </si>
  <si>
    <t>415-457-7836</t>
  </si>
  <si>
    <t>Fairfax</t>
  </si>
  <si>
    <t>1912 Sir Francis Drake Blvd</t>
  </si>
  <si>
    <t>Café Scooteria</t>
  </si>
  <si>
    <t>JH</t>
  </si>
  <si>
    <t>Nick Grimm</t>
  </si>
  <si>
    <t>707-938-0800</t>
  </si>
  <si>
    <t>455 W Napa St</t>
  </si>
  <si>
    <t>cafescooteria@yahoo.com</t>
  </si>
  <si>
    <t>Caffe Greco</t>
  </si>
  <si>
    <t>Sam 5240</t>
  </si>
  <si>
    <t>Hanna</t>
  </si>
  <si>
    <t>415-397-6261</t>
  </si>
  <si>
    <t>415-990-7613</t>
  </si>
  <si>
    <t>423 Columbus Avenue</t>
  </si>
  <si>
    <t>hanna12@msn.com</t>
  </si>
  <si>
    <t>Caffé Macaroni</t>
  </si>
  <si>
    <t>415-956-9737</t>
  </si>
  <si>
    <t>415-602-4930</t>
  </si>
  <si>
    <t>59 Columbus Avenue</t>
  </si>
  <si>
    <t>mistermacaroni@yahoo.com</t>
  </si>
  <si>
    <t>stephanieascione1357@gmail.com</t>
  </si>
  <si>
    <t>&lt;&lt;&lt;&lt; bookkeeper</t>
  </si>
  <si>
    <t>Stephanie</t>
  </si>
  <si>
    <t>Californios</t>
  </si>
  <si>
    <t xml:space="preserve">7 x 24 </t>
  </si>
  <si>
    <t>Warren</t>
  </si>
  <si>
    <t>415-757-0994</t>
  </si>
  <si>
    <t>355 11th Street</t>
  </si>
  <si>
    <t>Calistoga Inn</t>
  </si>
  <si>
    <t>Becky</t>
  </si>
  <si>
    <t>707-942-4101</t>
  </si>
  <si>
    <t>707-695-8556</t>
  </si>
  <si>
    <t>NAPA</t>
  </si>
  <si>
    <t>1250 Lincoln Avenue</t>
  </si>
  <si>
    <t>Calistoga</t>
  </si>
  <si>
    <t>michael@calistogainn.com</t>
  </si>
  <si>
    <t>becky@calistogainn.com</t>
  </si>
  <si>
    <t>info@calistogainn.com</t>
  </si>
  <si>
    <t>Rose Devera</t>
  </si>
  <si>
    <t>707-942-4914</t>
  </si>
  <si>
    <t>http://www.calistogainn.com/</t>
  </si>
  <si>
    <t>CC-235</t>
  </si>
  <si>
    <t>1250 LINCOLN AVENUE</t>
  </si>
  <si>
    <t>Candy Heaven</t>
  </si>
  <si>
    <t>SAM 945</t>
  </si>
  <si>
    <t>Cindy</t>
  </si>
  <si>
    <t>916-447-3404</t>
  </si>
  <si>
    <t>1201 Front Street</t>
  </si>
  <si>
    <t>candyheaven.business@gmail.com</t>
  </si>
  <si>
    <t>DARRIN</t>
  </si>
  <si>
    <t>Canneti Roadhouse Italiana</t>
  </si>
  <si>
    <t>Francesco</t>
  </si>
  <si>
    <t>707-887-2232</t>
  </si>
  <si>
    <t>925-858-1136 cell</t>
  </si>
  <si>
    <t>6675 Front Street</t>
  </si>
  <si>
    <t>Forestville</t>
  </si>
  <si>
    <t>towert@hotmail.com</t>
  </si>
  <si>
    <t>Caramba Restaurant</t>
  </si>
  <si>
    <t xml:space="preserve">Tec 1350 </t>
  </si>
  <si>
    <t>415-543-8228</t>
  </si>
  <si>
    <t>650-235-6653</t>
  </si>
  <si>
    <t>78 2nd Street</t>
  </si>
  <si>
    <t>Maritza</t>
  </si>
  <si>
    <t>650-454-0291</t>
  </si>
  <si>
    <t>15-303</t>
  </si>
  <si>
    <t>Carb Shop</t>
  </si>
  <si>
    <t>Pete</t>
  </si>
  <si>
    <t>864-292-3692</t>
  </si>
  <si>
    <t>O/S</t>
  </si>
  <si>
    <t>7 Scenic Drive</t>
  </si>
  <si>
    <t>Greenville</t>
  </si>
  <si>
    <t>Casa Lupe</t>
  </si>
  <si>
    <t>Lauro</t>
  </si>
  <si>
    <t>530-846-3218</t>
  </si>
  <si>
    <t>130 Magnolia Street</t>
  </si>
  <si>
    <t>Gridley</t>
  </si>
  <si>
    <t>Isela</t>
  </si>
  <si>
    <t>Jenna</t>
  </si>
  <si>
    <t xml:space="preserve">1612B </t>
  </si>
  <si>
    <t>1612b</t>
  </si>
  <si>
    <t>1911b</t>
  </si>
  <si>
    <t>CASS Inc.</t>
  </si>
  <si>
    <t>Jerilyn</t>
  </si>
  <si>
    <t>510-893-6478</t>
  </si>
  <si>
    <t>2730 Peralta Street</t>
  </si>
  <si>
    <t>73660-23834 15</t>
  </si>
  <si>
    <t>CASS Inc</t>
  </si>
  <si>
    <t>Cassava</t>
  </si>
  <si>
    <t>NL</t>
  </si>
  <si>
    <t>Yuki</t>
  </si>
  <si>
    <t>415-640-8990</t>
  </si>
  <si>
    <t>401 Columbus Ave</t>
  </si>
  <si>
    <t>Cayla's Corner</t>
  </si>
  <si>
    <t xml:space="preserve">Cayla </t>
  </si>
  <si>
    <t>925-944-9188</t>
  </si>
  <si>
    <t>559-310-4560</t>
  </si>
  <si>
    <t>5885 Horton Street Suite 140</t>
  </si>
  <si>
    <t>Cedar Market</t>
  </si>
  <si>
    <t>415-225-3797</t>
  </si>
  <si>
    <t>1416 Haight Street</t>
  </si>
  <si>
    <t>Celia's - San Bruno</t>
  </si>
  <si>
    <t>650-877-8245</t>
  </si>
  <si>
    <t>650-280-8705 cell</t>
  </si>
  <si>
    <t>SanBruno</t>
  </si>
  <si>
    <t>201 El Camino Real</t>
  </si>
  <si>
    <t>San Bruno</t>
  </si>
  <si>
    <t>iselararias@aol.com</t>
  </si>
  <si>
    <t>Celia's - San Rafael #5</t>
  </si>
  <si>
    <t>Carlos Preciado</t>
  </si>
  <si>
    <t>415-456-8190</t>
  </si>
  <si>
    <t>415-378-4291</t>
  </si>
  <si>
    <t>1 Vivian Street</t>
  </si>
  <si>
    <t>albertoyanez1973@gmail.com</t>
  </si>
  <si>
    <t>Fernando</t>
  </si>
  <si>
    <t>Celia's/Xalisco Corp</t>
  </si>
  <si>
    <t>Rosendo</t>
  </si>
  <si>
    <t>510-786-9273</t>
  </si>
  <si>
    <t>Resale</t>
  </si>
  <si>
    <t>2401 Tripaldi Way</t>
  </si>
  <si>
    <t>Hayward</t>
  </si>
  <si>
    <t>rosendor@xaliscofoods.com</t>
  </si>
  <si>
    <t>Hector</t>
  </si>
  <si>
    <t>510-786-9276</t>
  </si>
  <si>
    <t>Central Ace Hardware</t>
  </si>
  <si>
    <t>Terence</t>
  </si>
  <si>
    <t>415-931-7503</t>
  </si>
  <si>
    <t>1949 Post Street</t>
  </si>
  <si>
    <t>Central Market &amp; Liquor</t>
  </si>
  <si>
    <t>Robie</t>
  </si>
  <si>
    <t>925-680-7191</t>
  </si>
  <si>
    <t>925-270-8779 cell</t>
  </si>
  <si>
    <t>2699 Monument Blvd E</t>
  </si>
  <si>
    <t>925-270-8779</t>
  </si>
  <si>
    <t>Central Market Restaurant</t>
  </si>
  <si>
    <t>Tony Najiola</t>
  </si>
  <si>
    <t>707-778-9900</t>
  </si>
  <si>
    <t>707-287-6756</t>
  </si>
  <si>
    <t>42 Petaluma Blvd North</t>
  </si>
  <si>
    <t>tnajiola@comcast.net</t>
  </si>
  <si>
    <t>info@taccounting.net</t>
  </si>
  <si>
    <t>Derek</t>
  </si>
  <si>
    <t>707-501-8851</t>
  </si>
  <si>
    <t>Anna</t>
  </si>
  <si>
    <t>707-778-3860</t>
  </si>
  <si>
    <t xml:space="preserve">CC235   </t>
  </si>
  <si>
    <t xml:space="preserve">TN880 </t>
  </si>
  <si>
    <t>42 PETALUMA BLVD North</t>
  </si>
  <si>
    <t>Chapeau!</t>
  </si>
  <si>
    <t>Philippe Gardelle</t>
  </si>
  <si>
    <t>415-750-8797</t>
  </si>
  <si>
    <t>415-290-6681 cell</t>
  </si>
  <si>
    <t>126 Clement Street</t>
  </si>
  <si>
    <t>gardellephilippe@icloud.com</t>
  </si>
  <si>
    <t>126 Clement St</t>
  </si>
  <si>
    <t>415-750-9787</t>
  </si>
  <si>
    <t>Charley's Liquor &amp; Deli</t>
  </si>
  <si>
    <t>CASS LP1000</t>
  </si>
  <si>
    <t>Ron</t>
  </si>
  <si>
    <t>707-763-1714</t>
  </si>
  <si>
    <t>601 Petaluma Blvd S</t>
  </si>
  <si>
    <t>Char's Hot Dogs</t>
  </si>
  <si>
    <t>Warr</t>
  </si>
  <si>
    <t>Kimberly</t>
  </si>
  <si>
    <t>707-745-4476</t>
  </si>
  <si>
    <t>131 First Street</t>
  </si>
  <si>
    <t>Benecia</t>
  </si>
  <si>
    <t>Cheryl's Diner</t>
  </si>
  <si>
    <t>Cheryl Borthick</t>
  </si>
  <si>
    <t>760-376-6131</t>
  </si>
  <si>
    <t>760-379-7108 cell</t>
  </si>
  <si>
    <t>KERN</t>
  </si>
  <si>
    <t>11030 Kernville Road</t>
  </si>
  <si>
    <t>Kernville</t>
  </si>
  <si>
    <t>cherylsdiner85@gmail.com</t>
  </si>
  <si>
    <t>Renee</t>
  </si>
  <si>
    <t>cards- 1.75</t>
  </si>
  <si>
    <t>PO BOX 1030</t>
  </si>
  <si>
    <t>Chestnut St. Coffee Roastery</t>
  </si>
  <si>
    <t>Alex</t>
  </si>
  <si>
    <t>415-931-5382</t>
  </si>
  <si>
    <t>2331 Chestnut Street</t>
  </si>
  <si>
    <t>atsan50@yahoo.com</t>
  </si>
  <si>
    <t>415-931-5282</t>
  </si>
  <si>
    <t>Chicken Express - Suisun</t>
  </si>
  <si>
    <t>Robert</t>
  </si>
  <si>
    <t>707-421-1100</t>
  </si>
  <si>
    <t>Suisun</t>
  </si>
  <si>
    <t>1240 Anderson Drive, Ste 101</t>
  </si>
  <si>
    <t>BIX 350 $150</t>
  </si>
  <si>
    <t>Chieftain Irish Pub</t>
  </si>
  <si>
    <t>Ciaran McDunphy</t>
  </si>
  <si>
    <t>415-615-0916</t>
  </si>
  <si>
    <t>415-595-4759</t>
  </si>
  <si>
    <t>198 5th Street</t>
  </si>
  <si>
    <t>ciaran@thechieftain.com</t>
  </si>
  <si>
    <t>mark@thechieftain.com</t>
  </si>
  <si>
    <t>kelly</t>
  </si>
  <si>
    <t>Mark Chieftain</t>
  </si>
  <si>
    <t>415-850-3327</t>
  </si>
  <si>
    <t>415-615-0917</t>
  </si>
  <si>
    <t>Chowders</t>
  </si>
  <si>
    <t>DD</t>
  </si>
  <si>
    <t>SAM 4740</t>
  </si>
  <si>
    <t xml:space="preserve">Kelly  </t>
  </si>
  <si>
    <t>415-391-4737</t>
  </si>
  <si>
    <t>Pier 39 Space 121</t>
  </si>
  <si>
    <t xml:space="preserve">info@chowderspier39.com </t>
  </si>
  <si>
    <t>Edna</t>
  </si>
  <si>
    <t>650-757-1009</t>
  </si>
  <si>
    <t>PIER 39 SPACE 121</t>
  </si>
  <si>
    <t>Chuck Corica Golf Complex</t>
  </si>
  <si>
    <t>Brett</t>
  </si>
  <si>
    <t>510-747-7826</t>
  </si>
  <si>
    <t>#1 Clubhouse Memorial Drive</t>
  </si>
  <si>
    <t>brett@coricapark.com</t>
  </si>
  <si>
    <t>Patty A/P</t>
  </si>
  <si>
    <t>510-747-7829</t>
  </si>
  <si>
    <t>Church Street Produce LLC</t>
  </si>
  <si>
    <t>Sam4s 630</t>
  </si>
  <si>
    <t>Yanni</t>
  </si>
  <si>
    <t>415-794-9497</t>
  </si>
  <si>
    <t>1798 Church Street</t>
  </si>
  <si>
    <t xml:space="preserve">Shelf Tag Label (box) </t>
  </si>
  <si>
    <t xml:space="preserve">Shelf Tag 2 1/4 x 3" x 1" </t>
  </si>
  <si>
    <t>Cielito Cocina Mexicana  (Boca)</t>
  </si>
  <si>
    <t>Omar</t>
  </si>
  <si>
    <t>925-725-4732</t>
  </si>
  <si>
    <t>445 Railroad Ave</t>
  </si>
  <si>
    <t>Danville</t>
  </si>
  <si>
    <t>Cigarette Value</t>
  </si>
  <si>
    <t>m. Islam</t>
  </si>
  <si>
    <t>Stock</t>
  </si>
  <si>
    <t>678 N. Wilson Way</t>
  </si>
  <si>
    <t>Stockton</t>
  </si>
  <si>
    <t>Cigarettes Cheaper - Arcata</t>
  </si>
  <si>
    <t>Mohammad</t>
  </si>
  <si>
    <t>707-826-0772</t>
  </si>
  <si>
    <t>510-284-7546</t>
  </si>
  <si>
    <t>Humb</t>
  </si>
  <si>
    <t>600 F Street</t>
  </si>
  <si>
    <t>Arcata</t>
  </si>
  <si>
    <t>Cinco de Mayo - Martinez</t>
  </si>
  <si>
    <t>SpotON</t>
  </si>
  <si>
    <t>Leticia</t>
  </si>
  <si>
    <t>925-957-0760</t>
  </si>
  <si>
    <t>514 Center Street</t>
  </si>
  <si>
    <t>Club Fugazi</t>
  </si>
  <si>
    <t>SY</t>
  </si>
  <si>
    <t>Katerina Misthos</t>
  </si>
  <si>
    <t>415-273-0600</t>
  </si>
  <si>
    <t>678 Green St</t>
  </si>
  <si>
    <t>katerina@clubfugazisf.com</t>
  </si>
  <si>
    <t>Clyde's Liquor</t>
  </si>
  <si>
    <t>DF</t>
  </si>
  <si>
    <t>SPT4700</t>
  </si>
  <si>
    <t>408-225-0800</t>
  </si>
  <si>
    <t>408-612-1556</t>
  </si>
  <si>
    <t>3963 Snell Avenue</t>
  </si>
  <si>
    <t>clydesliquors@gmail.com</t>
  </si>
  <si>
    <t>Coastal Pacific</t>
  </si>
  <si>
    <t>Kristy Pau</t>
  </si>
  <si>
    <t>757-858-9426</t>
  </si>
  <si>
    <t>1015 Performance Drive</t>
  </si>
  <si>
    <t>kristy.pau@cpfd.com</t>
  </si>
  <si>
    <t>allison.crutcher@cpfd.com</t>
  </si>
  <si>
    <t>anne.fong@cpfd.com</t>
  </si>
  <si>
    <t>&lt;- email Allison AP</t>
  </si>
  <si>
    <t>757-985-3461</t>
  </si>
  <si>
    <t>Jenna AP!!</t>
  </si>
  <si>
    <t>CPFD</t>
  </si>
  <si>
    <t>P.O. Box 12809</t>
  </si>
  <si>
    <t>Norfolk</t>
  </si>
  <si>
    <t>Va</t>
  </si>
  <si>
    <t>Cocina Tex-Mex</t>
  </si>
  <si>
    <t>Alberto Sanchez</t>
  </si>
  <si>
    <t>760-847-6223</t>
  </si>
  <si>
    <t>760-575-2783</t>
  </si>
  <si>
    <t>SD</t>
  </si>
  <si>
    <t>28512 Cole Grade Rd</t>
  </si>
  <si>
    <t>Valley Center</t>
  </si>
  <si>
    <t>betosan1960@gmail.com</t>
  </si>
  <si>
    <t>Valey Center</t>
  </si>
  <si>
    <t>Coco's Mercado</t>
  </si>
  <si>
    <t>cl5500 scales</t>
  </si>
  <si>
    <t>Maria</t>
  </si>
  <si>
    <t>510-445-1880</t>
  </si>
  <si>
    <t>40919 Fremont Blvd (Rick-Mark)</t>
  </si>
  <si>
    <t>Fremont</t>
  </si>
  <si>
    <t>abundiz.maria@yahoo.com</t>
  </si>
  <si>
    <t>8010 CAS</t>
  </si>
  <si>
    <t>Coffee Roastery - Fairfax</t>
  </si>
  <si>
    <t>7x24</t>
  </si>
  <si>
    <t>Deb London</t>
  </si>
  <si>
    <t>415-451-1825</t>
  </si>
  <si>
    <t>415-269-6970 Deb cell</t>
  </si>
  <si>
    <t>4 Bolinas Road</t>
  </si>
  <si>
    <t>thecoffeeroastery@gmail.com</t>
  </si>
  <si>
    <t>Poona-IT guy</t>
  </si>
  <si>
    <t>415-785-4144</t>
  </si>
  <si>
    <t>Kelly London</t>
  </si>
  <si>
    <t>415-256-1945</t>
  </si>
  <si>
    <t xml:space="preserve">              </t>
  </si>
  <si>
    <t>4 BOLINAS ROAD</t>
  </si>
  <si>
    <t>Coffee Roastery - San Anselmo</t>
  </si>
  <si>
    <t>415-785-8077</t>
  </si>
  <si>
    <t>415-269-6970</t>
  </si>
  <si>
    <t>701 San Anselmo Avenue</t>
  </si>
  <si>
    <t>415-785-8301</t>
  </si>
  <si>
    <t>www.thecoffeeroastery.com</t>
  </si>
  <si>
    <t xml:space="preserve">                </t>
  </si>
  <si>
    <t>Comforts Café</t>
  </si>
  <si>
    <t>Kilotech LE9000</t>
  </si>
  <si>
    <t>Samantha</t>
  </si>
  <si>
    <t>415-454-9840</t>
  </si>
  <si>
    <t>335 San Anselmo Avenue</t>
  </si>
  <si>
    <t>office@comfortscafe.com</t>
  </si>
  <si>
    <t>Patty</t>
  </si>
  <si>
    <t>Erin</t>
  </si>
  <si>
    <t>415-454-7590</t>
  </si>
  <si>
    <t xml:space="preserve">1850B </t>
  </si>
  <si>
    <t xml:space="preserve">                        </t>
  </si>
  <si>
    <t>Complex Bar</t>
  </si>
  <si>
    <t>Oscar</t>
  </si>
  <si>
    <t>510-394-2780</t>
  </si>
  <si>
    <t>415-240-5286</t>
  </si>
  <si>
    <t>420 14th Street</t>
  </si>
  <si>
    <t>compelxoakland@gmail.com</t>
  </si>
  <si>
    <t>Consumers Liquors</t>
  </si>
  <si>
    <t>Tec MA 1650</t>
  </si>
  <si>
    <t>Henry</t>
  </si>
  <si>
    <t>650-342-7403</t>
  </si>
  <si>
    <t>San Mat</t>
  </si>
  <si>
    <t>220 E Poplar Avenue</t>
  </si>
  <si>
    <t>San Mateo</t>
  </si>
  <si>
    <t>Convivium Enoteca</t>
  </si>
  <si>
    <t>Sofia</t>
  </si>
  <si>
    <t>415-827-5256</t>
  </si>
  <si>
    <t>516 Green Street</t>
  </si>
  <si>
    <t>conviviumsf@gmail.com</t>
  </si>
  <si>
    <t>cc-235</t>
  </si>
  <si>
    <t>Copita Tequileria y Comida</t>
  </si>
  <si>
    <t>Albert</t>
  </si>
  <si>
    <t>510-734-8389</t>
  </si>
  <si>
    <t>739 Bridgeway</t>
  </si>
  <si>
    <t>Cork n Bottle Liquor</t>
  </si>
  <si>
    <t>QT6600</t>
  </si>
  <si>
    <t>Rocky</t>
  </si>
  <si>
    <t>925-798-1415</t>
  </si>
  <si>
    <t>2970 Treat Blvd</t>
  </si>
  <si>
    <t>Corte Madera Shoe Repair</t>
  </si>
  <si>
    <t>Sharp ERA320</t>
  </si>
  <si>
    <t>Mauro</t>
  </si>
  <si>
    <t>415-924-8823</t>
  </si>
  <si>
    <t>707-479-5082</t>
  </si>
  <si>
    <t>429 Corte Madera Town Center</t>
  </si>
  <si>
    <t>Cote Ouest Bistro</t>
  </si>
  <si>
    <t>Laurent Monchicourt</t>
  </si>
  <si>
    <t>415-637-4124</t>
  </si>
  <si>
    <t>2953 Baker St</t>
  </si>
  <si>
    <t>Cotogna  Restaurant</t>
  </si>
  <si>
    <t>Spot</t>
  </si>
  <si>
    <t>Miranda</t>
  </si>
  <si>
    <t>415-775-8500</t>
  </si>
  <si>
    <t>490 Pacific Avenue</t>
  </si>
  <si>
    <t>490 Pacific Ave</t>
  </si>
  <si>
    <t>Country Corner Liquors</t>
  </si>
  <si>
    <t>SAM4S SPS520</t>
  </si>
  <si>
    <t>Monica</t>
  </si>
  <si>
    <t>707-639-6929</t>
  </si>
  <si>
    <t>1332 W Texas St</t>
  </si>
  <si>
    <t>Country Gables Café</t>
  </si>
  <si>
    <t>Sukhi</t>
  </si>
  <si>
    <t>916-797-0669</t>
  </si>
  <si>
    <t>415-272-3366</t>
  </si>
  <si>
    <t>Roseville</t>
  </si>
  <si>
    <t>699 Washington Blvd  C-1</t>
  </si>
  <si>
    <t>brokersukhi@yahoo.com</t>
  </si>
  <si>
    <t>Crossroads Café</t>
  </si>
  <si>
    <t>Peter Hood</t>
  </si>
  <si>
    <t>760-366-5414</t>
  </si>
  <si>
    <t>S.BERN</t>
  </si>
  <si>
    <t>61715  29 Palms Hwy</t>
  </si>
  <si>
    <t>Joshua Tree</t>
  </si>
  <si>
    <t>phoodfight@gmail.com</t>
  </si>
  <si>
    <t xml:space="preserve">10 Villa Place </t>
  </si>
  <si>
    <t>415-577-5266</t>
  </si>
  <si>
    <t>D&amp;M Liquor</t>
  </si>
  <si>
    <t>MN</t>
  </si>
  <si>
    <t>Ismat</t>
  </si>
  <si>
    <t>650-583-4121</t>
  </si>
  <si>
    <t>SSF</t>
  </si>
  <si>
    <t>211 Spruce Ave</t>
  </si>
  <si>
    <t>South San Francisco</t>
  </si>
  <si>
    <t>15-157</t>
  </si>
  <si>
    <t>So.San Francisco</t>
  </si>
  <si>
    <t>Davis Plaza Market</t>
  </si>
  <si>
    <t>510-638-9891</t>
  </si>
  <si>
    <t>S.Lean</t>
  </si>
  <si>
    <t>1288 Davis St</t>
  </si>
  <si>
    <t>San Leandro</t>
  </si>
  <si>
    <t>De Anza College</t>
  </si>
  <si>
    <t>HK 570</t>
  </si>
  <si>
    <t>MO</t>
  </si>
  <si>
    <t>Patrick Gannon</t>
  </si>
  <si>
    <t>408-864-8515</t>
  </si>
  <si>
    <t>408-968-9381</t>
  </si>
  <si>
    <t>21250 Stevens Creek Blvd</t>
  </si>
  <si>
    <t>Cupertino</t>
  </si>
  <si>
    <t>gannonpatrick@deanza.edu</t>
  </si>
  <si>
    <t>Nila</t>
  </si>
  <si>
    <t>408-799-0652</t>
  </si>
  <si>
    <t>408-864-5525</t>
  </si>
  <si>
    <t>21250 STEVENS CREEK BLVD</t>
  </si>
  <si>
    <t>Dead Fish</t>
  </si>
  <si>
    <t>Peter Demerest</t>
  </si>
  <si>
    <t>510-787-3323</t>
  </si>
  <si>
    <t>20050 San Pablo Avenue</t>
  </si>
  <si>
    <t>Crockett</t>
  </si>
  <si>
    <t>gm@deadfish.com</t>
  </si>
  <si>
    <t>Delancey Street</t>
  </si>
  <si>
    <t>MAITRE'D</t>
  </si>
  <si>
    <t>YES</t>
  </si>
  <si>
    <t>Mike Boris</t>
  </si>
  <si>
    <t>415-957-9800</t>
  </si>
  <si>
    <t>x640</t>
  </si>
  <si>
    <t>600 Embarcadero</t>
  </si>
  <si>
    <t>kitchen</t>
  </si>
  <si>
    <t>415-512-5105</t>
  </si>
  <si>
    <t>rest</t>
  </si>
  <si>
    <t>415-512-5151</t>
  </si>
  <si>
    <t>415-512-5151%</t>
  </si>
  <si>
    <t>A/P-Maura</t>
  </si>
  <si>
    <t>415-957-9800 x677</t>
  </si>
  <si>
    <t>415-512-5186</t>
  </si>
  <si>
    <t>415-512-5175</t>
  </si>
  <si>
    <t>600 EMBARCADERO</t>
  </si>
  <si>
    <t>Delarosa - Downtown</t>
  </si>
  <si>
    <t>415-872-7363</t>
  </si>
  <si>
    <t>37 Yerba Buena Lane</t>
  </si>
  <si>
    <t>downtown@delarosasf.com</t>
  </si>
  <si>
    <t>delarosayerbabuena@invoice.plateiq.com</t>
  </si>
  <si>
    <t>accounts@backofthehouseinc.com</t>
  </si>
  <si>
    <t>&lt;-----  CC</t>
  </si>
  <si>
    <t>Delarosa - Marina</t>
  </si>
  <si>
    <t>415-673-7100</t>
  </si>
  <si>
    <t>2175 Chestnut Street</t>
  </si>
  <si>
    <t>marina@delarosasf.com</t>
  </si>
  <si>
    <t>delarosachestnut@invoice.plateiq.com</t>
  </si>
  <si>
    <t>415-673-7200</t>
  </si>
  <si>
    <t>Delarosa - San Ramon</t>
  </si>
  <si>
    <t>925-787-0044</t>
  </si>
  <si>
    <t>6000 Bollinger Canyon Road</t>
  </si>
  <si>
    <t>San Ramon</t>
  </si>
  <si>
    <t>delarosabishopranch@invoice.plateiq.com</t>
  </si>
  <si>
    <t>Back of the House Inc</t>
  </si>
  <si>
    <t>Denis' Country Kitchen</t>
  </si>
  <si>
    <t xml:space="preserve">Denis </t>
  </si>
  <si>
    <t>209-368-6350</t>
  </si>
  <si>
    <t>209-329-9820</t>
  </si>
  <si>
    <t>1327 W Lockeford Avenue</t>
  </si>
  <si>
    <t>denis.country.kitchen@gmail.com</t>
  </si>
  <si>
    <t>Amy- bookkeeper</t>
  </si>
  <si>
    <t>209-329-0167</t>
  </si>
  <si>
    <t>1327 W LOCKEFORD STREET</t>
  </si>
  <si>
    <t>Depot Bookstore &amp; Café</t>
  </si>
  <si>
    <t>415-383-2665</t>
  </si>
  <si>
    <t>87 Throckmorton Avenue</t>
  </si>
  <si>
    <t>Celso</t>
  </si>
  <si>
    <t>415-383-0959</t>
  </si>
  <si>
    <t>Office</t>
  </si>
  <si>
    <t>415-383-7012</t>
  </si>
  <si>
    <t>Belinda</t>
  </si>
  <si>
    <t>Scott</t>
  </si>
  <si>
    <t>415-798-7949</t>
  </si>
  <si>
    <t>www.depotbookstore.com</t>
  </si>
  <si>
    <t>Diamond Panda</t>
  </si>
  <si>
    <t>John</t>
  </si>
  <si>
    <t>760-241-0771</t>
  </si>
  <si>
    <t>760-265-2285</t>
  </si>
  <si>
    <t>Victor</t>
  </si>
  <si>
    <t>14770 La Paz Drive #C</t>
  </si>
  <si>
    <t>Victorville</t>
  </si>
  <si>
    <t>diamondpanda88@yahoo.com</t>
  </si>
  <si>
    <t>Diamond Tire</t>
  </si>
  <si>
    <t>415-459-3808</t>
  </si>
  <si>
    <t>1133 Franciso Blvd E</t>
  </si>
  <si>
    <t>1133 Francisco Blvd E</t>
  </si>
  <si>
    <t>Dino's Burgers</t>
  </si>
  <si>
    <t>714-542-8927</t>
  </si>
  <si>
    <t>S. Ana</t>
  </si>
  <si>
    <t>2217 W. First Street</t>
  </si>
  <si>
    <t>Santa Ana</t>
  </si>
  <si>
    <t xml:space="preserve">13305C  </t>
  </si>
  <si>
    <t>Discount Alley</t>
  </si>
  <si>
    <t>SAM4S 5215</t>
  </si>
  <si>
    <t>510-335-6145</t>
  </si>
  <si>
    <t>1382 Gravenstein Hwy S</t>
  </si>
  <si>
    <t>Sebastopol</t>
  </si>
  <si>
    <t>Discount Cigarettes - Richmond</t>
  </si>
  <si>
    <t>510-215-2444</t>
  </si>
  <si>
    <t>254 Marina Parkway</t>
  </si>
  <si>
    <t>Discount Fabrics - Berkeley</t>
  </si>
  <si>
    <t>Casio TE2200</t>
  </si>
  <si>
    <t>Nicolas</t>
  </si>
  <si>
    <t>510-548-2981</t>
  </si>
  <si>
    <t>3006 San Pablo Avenue</t>
  </si>
  <si>
    <t>Discount Fabrics - SF</t>
  </si>
  <si>
    <t xml:space="preserve">Maria  </t>
  </si>
  <si>
    <t>415-685-4802</t>
  </si>
  <si>
    <t>2170 Cesar Chavez Street</t>
  </si>
  <si>
    <t>Discount Liquor -  Rio Vista</t>
  </si>
  <si>
    <t>Abdul</t>
  </si>
  <si>
    <t>707-996-2928</t>
  </si>
  <si>
    <t>610 State Highway 12</t>
  </si>
  <si>
    <t>Rio Vista</t>
  </si>
  <si>
    <t>Ditas Marin</t>
  </si>
  <si>
    <t>Cody</t>
  </si>
  <si>
    <t>415-758-8762</t>
  </si>
  <si>
    <t>558 Bridgeway</t>
  </si>
  <si>
    <t>Divino</t>
  </si>
  <si>
    <t>Goran</t>
  </si>
  <si>
    <t>310-472-0886</t>
  </si>
  <si>
    <t>LA</t>
  </si>
  <si>
    <t>11714 Barrington Court</t>
  </si>
  <si>
    <t>Los Angeles</t>
  </si>
  <si>
    <t>divinobrentwood@gmail.com</t>
  </si>
  <si>
    <t>Vanja</t>
  </si>
  <si>
    <t>310-472-0936</t>
  </si>
  <si>
    <t>Diyar</t>
  </si>
  <si>
    <t>Sal</t>
  </si>
  <si>
    <t>510-845-5300</t>
  </si>
  <si>
    <t>2511 Durant Avenue</t>
  </si>
  <si>
    <t>Diyar 2</t>
  </si>
  <si>
    <t>Izat</t>
  </si>
  <si>
    <t>510-384-9090 cell</t>
  </si>
  <si>
    <t>1866 Euclid Avenue</t>
  </si>
  <si>
    <t>Dolan's Den</t>
  </si>
  <si>
    <t>DG</t>
  </si>
  <si>
    <t>Trinh Dolan</t>
  </si>
  <si>
    <t>707-544-1447</t>
  </si>
  <si>
    <t>916-521-9103</t>
  </si>
  <si>
    <t>995 Piner Rd</t>
  </si>
  <si>
    <t>trinh@dolansden.com</t>
  </si>
  <si>
    <t>derekdeez@yahoo.com</t>
  </si>
  <si>
    <t>Dolores Park Café</t>
  </si>
  <si>
    <t>Kurt</t>
  </si>
  <si>
    <t>415-621-2936</t>
  </si>
  <si>
    <t>501 Dolores Street</t>
  </si>
  <si>
    <t>dan@parkcafegroup.com</t>
  </si>
  <si>
    <t>Dolores Park- SFO</t>
  </si>
  <si>
    <t>Gilbert</t>
  </si>
  <si>
    <t>415-647-7702</t>
  </si>
  <si>
    <t>500 Precita Avenue</t>
  </si>
  <si>
    <t>Domino's - Clayton</t>
  </si>
  <si>
    <t>Dan Brumleve</t>
  </si>
  <si>
    <t>925-980-1105</t>
  </si>
  <si>
    <t>925-944-5400</t>
  </si>
  <si>
    <t>3544 Clayton Road</t>
  </si>
  <si>
    <t>Mark Tackett</t>
  </si>
  <si>
    <t>925-325-7897</t>
  </si>
  <si>
    <t>925-691-4083</t>
  </si>
  <si>
    <t>1224 Oak Knoll Drive</t>
  </si>
  <si>
    <t>Don Perico Mexican Restaurant</t>
  </si>
  <si>
    <t>CAS X750</t>
  </si>
  <si>
    <t>Jose Guevara</t>
  </si>
  <si>
    <t>661-822-5366</t>
  </si>
  <si>
    <t>661-979-4063</t>
  </si>
  <si>
    <t>840 Tucker Rd, Suite A</t>
  </si>
  <si>
    <t>Tehachapi</t>
  </si>
  <si>
    <t>donpericotehachapi2013@gmail.com</t>
  </si>
  <si>
    <t>Deysi</t>
  </si>
  <si>
    <t>562-338-8476</t>
  </si>
  <si>
    <t>840 Tucker Road</t>
  </si>
  <si>
    <t>Donato Enoteca</t>
  </si>
  <si>
    <t>650-701-1000</t>
  </si>
  <si>
    <t>1041 Middlefield Road</t>
  </si>
  <si>
    <t>juan@donatoresgroup.com</t>
  </si>
  <si>
    <t>Donut King</t>
  </si>
  <si>
    <t>NCC-1</t>
  </si>
  <si>
    <t>Soverak</t>
  </si>
  <si>
    <t>925-682-8128</t>
  </si>
  <si>
    <t>Pl.Hill</t>
  </si>
  <si>
    <t>1607 Contra Costa Blvd</t>
  </si>
  <si>
    <t>Pleasant Hill</t>
  </si>
  <si>
    <t>Donut Wheel</t>
  </si>
  <si>
    <t>Sam ER945 raised</t>
  </si>
  <si>
    <t>Sonya</t>
  </si>
  <si>
    <t>925-447-8190</t>
  </si>
  <si>
    <t>2017 First Street</t>
  </si>
  <si>
    <t>Livermore</t>
  </si>
  <si>
    <t>Dovre Club</t>
  </si>
  <si>
    <t>Elvis</t>
  </si>
  <si>
    <t>415-285-4169</t>
  </si>
  <si>
    <t>1498 Valencia St</t>
  </si>
  <si>
    <t xml:space="preserve">               </t>
  </si>
  <si>
    <t>Downtown Liquor</t>
  </si>
  <si>
    <t>Sam4s SPS520</t>
  </si>
  <si>
    <t>Jagwant Singh</t>
  </si>
  <si>
    <t>650-589-7799</t>
  </si>
  <si>
    <t>301 Grand Avenue</t>
  </si>
  <si>
    <t>Sam=owner</t>
  </si>
  <si>
    <t>Dreams Down- Petaluma</t>
  </si>
  <si>
    <t>Letsy</t>
  </si>
  <si>
    <t>800 Lindberg Lane  #120</t>
  </si>
  <si>
    <t>800 Lindberg Lane</t>
  </si>
  <si>
    <t>415-543-1800</t>
  </si>
  <si>
    <t>Duboce Park Café</t>
  </si>
  <si>
    <t>415-621-1108</t>
  </si>
  <si>
    <t>2 Sanchez Street</t>
  </si>
  <si>
    <t>pablo@doloresparkcafe.com</t>
  </si>
  <si>
    <t>Dules Kitchen (Tacos El Chilango)</t>
  </si>
  <si>
    <t>TEC MA600F</t>
  </si>
  <si>
    <t>Ramiro</t>
  </si>
  <si>
    <t>Eagle Eye</t>
  </si>
  <si>
    <t>Julie</t>
  </si>
  <si>
    <t>707-637-4699</t>
  </si>
  <si>
    <t>707-738-6758</t>
  </si>
  <si>
    <t>Napa</t>
  </si>
  <si>
    <t>2550 Oak Street</t>
  </si>
  <si>
    <t>Easy Liquor</t>
  </si>
  <si>
    <t>Zee</t>
  </si>
  <si>
    <t>510-865-3200</t>
  </si>
  <si>
    <t>901 Lincoln Ave</t>
  </si>
  <si>
    <t xml:space="preserve">        </t>
  </si>
  <si>
    <t>Easy Mart &amp; Gas</t>
  </si>
  <si>
    <t>Jacqueline</t>
  </si>
  <si>
    <t>830-320-8303</t>
  </si>
  <si>
    <t>101 Charles Drive</t>
  </si>
  <si>
    <t>Del Rio</t>
  </si>
  <si>
    <t>Tx</t>
  </si>
  <si>
    <t>101 Charles Dr</t>
  </si>
  <si>
    <t>Easy Rider</t>
  </si>
  <si>
    <t>John Oyarzun</t>
  </si>
  <si>
    <t>707- 774-6233</t>
  </si>
  <si>
    <t>415-225-1146 cell</t>
  </si>
  <si>
    <t>190 Kentucky St</t>
  </si>
  <si>
    <t>johnoyarzun@gmail.com</t>
  </si>
  <si>
    <t>707-774-6233</t>
  </si>
  <si>
    <t>Eddie Papa's</t>
  </si>
  <si>
    <t>925-469-6266</t>
  </si>
  <si>
    <t>4889 Hopyard Road</t>
  </si>
  <si>
    <t>edwardw@eddiepapas.com</t>
  </si>
  <si>
    <t>Laura (Accountant)</t>
  </si>
  <si>
    <t>925-292-1024</t>
  </si>
  <si>
    <t>925-469-0344</t>
  </si>
  <si>
    <t xml:space="preserve">ERC38 </t>
  </si>
  <si>
    <t xml:space="preserve">Eden Medical Center- Gift Shop </t>
  </si>
  <si>
    <t>Sam4s ER265 FLAT</t>
  </si>
  <si>
    <t>Janine</t>
  </si>
  <si>
    <t>510-727-3081</t>
  </si>
  <si>
    <t>510-537-1234</t>
  </si>
  <si>
    <t>20103 Lake Chabot Road</t>
  </si>
  <si>
    <t>Castro Valley</t>
  </si>
  <si>
    <t>GramagJ@sutterhealth.org</t>
  </si>
  <si>
    <t>El 2 De Oros Produce Market</t>
  </si>
  <si>
    <t>Sergio</t>
  </si>
  <si>
    <t>707-553-2395</t>
  </si>
  <si>
    <t>1417 Tennessee Street</t>
  </si>
  <si>
    <t>Vallejo</t>
  </si>
  <si>
    <t>el2dosdeoros@gmail.com</t>
  </si>
  <si>
    <t>eldosdeoros@gmail.com</t>
  </si>
  <si>
    <t>el2deoros@gmail.com</t>
  </si>
  <si>
    <t>El Agave Azul</t>
  </si>
  <si>
    <t>Joaquin</t>
  </si>
  <si>
    <t>510-307-5749</t>
  </si>
  <si>
    <t>RICH</t>
  </si>
  <si>
    <t>12955 San Pablo Ave</t>
  </si>
  <si>
    <t xml:space="preserve">Richmond </t>
  </si>
  <si>
    <t>El Agavero</t>
  </si>
  <si>
    <t>510-339-3000</t>
  </si>
  <si>
    <t>2071 Mountain Road</t>
  </si>
  <si>
    <t>El Camaron de Sinaloa</t>
  </si>
  <si>
    <t>Gerardo/Francisco</t>
  </si>
  <si>
    <t>650-690-4830 G</t>
  </si>
  <si>
    <t>650-716-3117  F</t>
  </si>
  <si>
    <t>245 Willow St #3352</t>
  </si>
  <si>
    <t>elcamarondesinaloa@gmail.com</t>
  </si>
  <si>
    <t>650-690-4830</t>
  </si>
  <si>
    <t>El Camino</t>
  </si>
  <si>
    <t>Edward Valle</t>
  </si>
  <si>
    <t>925-634-4011</t>
  </si>
  <si>
    <t>925-595-5978</t>
  </si>
  <si>
    <t>6611 Brentwood Blvd</t>
  </si>
  <si>
    <t>Brentwood</t>
  </si>
  <si>
    <t>edward.v88@hotmail.com</t>
  </si>
  <si>
    <t>El Capitan Mariscos y Taqueria</t>
  </si>
  <si>
    <t>Jesus</t>
  </si>
  <si>
    <t>209-408-0831</t>
  </si>
  <si>
    <t>Stan</t>
  </si>
  <si>
    <t>1219 N. Carpenter Road. Suite 1</t>
  </si>
  <si>
    <t>Modesto</t>
  </si>
  <si>
    <t>1219 N. Carpenter Road, Suite 1</t>
  </si>
  <si>
    <t>El Capitan Taqueria - Folsom</t>
  </si>
  <si>
    <t>George Massis</t>
  </si>
  <si>
    <t>415-658-7738</t>
  </si>
  <si>
    <t>650-576-8879</t>
  </si>
  <si>
    <t>1198 Folsom Street</t>
  </si>
  <si>
    <t>ecapitan1198@yahoo.com</t>
  </si>
  <si>
    <t>El Capitan Taqueria - Polk</t>
  </si>
  <si>
    <t>415-913-7135</t>
  </si>
  <si>
    <t>1725 Polk Street</t>
  </si>
  <si>
    <t>El Carbonero</t>
  </si>
  <si>
    <t>AS</t>
  </si>
  <si>
    <t>Mauricio</t>
  </si>
  <si>
    <t>661-265-0790</t>
  </si>
  <si>
    <t>661-965-7028</t>
  </si>
  <si>
    <t>Palmdale</t>
  </si>
  <si>
    <t>232 East Palmdale Blvd</t>
  </si>
  <si>
    <t>cachogti@gmail.com</t>
  </si>
  <si>
    <t>El Charro Super Mercado</t>
  </si>
  <si>
    <t>TE-7000</t>
  </si>
  <si>
    <t>510-434-1301</t>
  </si>
  <si>
    <t>916-275-0546 cell</t>
  </si>
  <si>
    <t>1502 Fruitvale Avenue</t>
  </si>
  <si>
    <t>elcharrosupermercado@gmail.com</t>
  </si>
  <si>
    <t xml:space="preserve">El Huarache Loco </t>
  </si>
  <si>
    <t>Veronica Salazar</t>
  </si>
  <si>
    <t>415-925-1403</t>
  </si>
  <si>
    <t>415-572-6832</t>
  </si>
  <si>
    <t>Lark</t>
  </si>
  <si>
    <t>1803 Larkspur Landing Circle</t>
  </si>
  <si>
    <t>Larkspur</t>
  </si>
  <si>
    <t>veronica.vs.vs@gmail.com</t>
  </si>
  <si>
    <t>peterscales1@gmail.com</t>
  </si>
  <si>
    <t>Peter Scales-MCM</t>
  </si>
  <si>
    <t>415-755-2440</t>
  </si>
  <si>
    <t>Matt-La Cocina</t>
  </si>
  <si>
    <t>Miguel</t>
  </si>
  <si>
    <t xml:space="preserve">27710M277YWXN </t>
  </si>
  <si>
    <t>El Mazatleco Marisqueria</t>
  </si>
  <si>
    <t>Francisco</t>
  </si>
  <si>
    <t>782 N. 13th Street</t>
  </si>
  <si>
    <t>El Paisano Carniceria</t>
  </si>
  <si>
    <t>Juvenal</t>
  </si>
  <si>
    <t>650-365-8240</t>
  </si>
  <si>
    <t>2856 Middlefield Road</t>
  </si>
  <si>
    <t>El Patron Mexican Food</t>
  </si>
  <si>
    <t>SAM  940</t>
  </si>
  <si>
    <t>Daniel Barba</t>
  </si>
  <si>
    <t>707-447-0709</t>
  </si>
  <si>
    <t>707-816-9936</t>
  </si>
  <si>
    <t>Vaca</t>
  </si>
  <si>
    <t>506 Main Street</t>
  </si>
  <si>
    <t>Vacaville</t>
  </si>
  <si>
    <t>506 MAIN STREET</t>
  </si>
  <si>
    <t>El Pollo Lico</t>
  </si>
  <si>
    <t>Benjamin</t>
  </si>
  <si>
    <t>310-549-2824</t>
  </si>
  <si>
    <t>702 N. Avalon Blvd</t>
  </si>
  <si>
    <t>Wilmington</t>
  </si>
  <si>
    <t>El Rey Mexican Bar &amp; Grill</t>
  </si>
  <si>
    <t>Pioneer</t>
  </si>
  <si>
    <t>Carlos Gonzalez</t>
  </si>
  <si>
    <t>415-892-1471</t>
  </si>
  <si>
    <t>510-755-4723</t>
  </si>
  <si>
    <t>940 7th Street</t>
  </si>
  <si>
    <t>El Sol Family Restaurant</t>
  </si>
  <si>
    <t>Manual Jr</t>
  </si>
  <si>
    <t>818-249-8958</t>
  </si>
  <si>
    <t>Glendale</t>
  </si>
  <si>
    <t>2901 1/2 Honolulu Ave</t>
  </si>
  <si>
    <t>El Techo</t>
  </si>
  <si>
    <t>ALOHA</t>
  </si>
  <si>
    <t>415-550-6970</t>
  </si>
  <si>
    <t>2516 Mission Street</t>
  </si>
  <si>
    <t>info@lolindasf.com</t>
  </si>
  <si>
    <t>2516 Mission St</t>
  </si>
  <si>
    <t>El Toreador</t>
  </si>
  <si>
    <t>Esperanza</t>
  </si>
  <si>
    <t>415-566-8104</t>
  </si>
  <si>
    <t>50  W.Portal Ave</t>
  </si>
  <si>
    <t>50 W. Portal Ave</t>
  </si>
  <si>
    <t>El Toro - Parkland</t>
  </si>
  <si>
    <t>7X24</t>
  </si>
  <si>
    <t>Israel</t>
  </si>
  <si>
    <t>253-888-2694</t>
  </si>
  <si>
    <t>13719 Pacific Avenue S</t>
  </si>
  <si>
    <t>Tacoma</t>
  </si>
  <si>
    <t>Wa</t>
  </si>
  <si>
    <t>El Toro Taqueria</t>
  </si>
  <si>
    <t>Gary</t>
  </si>
  <si>
    <t>415-431-3351</t>
  </si>
  <si>
    <t>598 Valencia Street</t>
  </si>
  <si>
    <t>garyespinoza@gmail.com</t>
  </si>
  <si>
    <t>Estella</t>
  </si>
  <si>
    <t>El Verano Inn</t>
  </si>
  <si>
    <t>Leslie</t>
  </si>
  <si>
    <t>707-935-0611</t>
  </si>
  <si>
    <t>705 Laurel Avenue</t>
  </si>
  <si>
    <t>El Yucatero Taco Truck</t>
  </si>
  <si>
    <t>Santos</t>
  </si>
  <si>
    <t>415-827-8284</t>
  </si>
  <si>
    <t>540 Irwin Street</t>
  </si>
  <si>
    <t>Epic Steak</t>
  </si>
  <si>
    <t>Lydia</t>
  </si>
  <si>
    <t>415-369-9955</t>
  </si>
  <si>
    <t>369 The Embarcadero</t>
  </si>
  <si>
    <t>reservations@epicsteak.com</t>
  </si>
  <si>
    <t>Mary T</t>
  </si>
  <si>
    <t>415-369-0115</t>
  </si>
  <si>
    <t>369 The Emabarcadero</t>
  </si>
  <si>
    <t>Ernest - San Francisco</t>
  </si>
  <si>
    <t>James</t>
  </si>
  <si>
    <t>415-342-7676</t>
  </si>
  <si>
    <t>1890 Bryant St</t>
  </si>
  <si>
    <t>info@ernestsf.com</t>
  </si>
  <si>
    <t>1890 Bryant Street</t>
  </si>
  <si>
    <t>Ernie's Wine &amp; Liquor</t>
  </si>
  <si>
    <t>Wahid</t>
  </si>
  <si>
    <t>650-355-4770</t>
  </si>
  <si>
    <t>SM</t>
  </si>
  <si>
    <t>721 Hickey Blvd</t>
  </si>
  <si>
    <t>Pacifica</t>
  </si>
  <si>
    <t>Estrella's Market &amp; Taqueria</t>
  </si>
  <si>
    <t>Spt 4700</t>
  </si>
  <si>
    <t>Kalwinder Satinder</t>
  </si>
  <si>
    <t>707-620-0012</t>
  </si>
  <si>
    <t>10351 Old Redwood Hwy #100</t>
  </si>
  <si>
    <t>Windsor</t>
  </si>
  <si>
    <t>SHERGILLSATINDER4@GMAIL.COM</t>
  </si>
  <si>
    <t>EBT contact</t>
  </si>
  <si>
    <t>866-217-1076</t>
  </si>
  <si>
    <t>1612B  &amp; 1493</t>
  </si>
  <si>
    <t>Kalwinder Satinder Partners</t>
  </si>
  <si>
    <t>10351 OLD REDWOOD HWY #100</t>
  </si>
  <si>
    <t>Euromix</t>
  </si>
  <si>
    <t>Jimal</t>
  </si>
  <si>
    <t>510-595-3649</t>
  </si>
  <si>
    <t>510-375-4393 cell</t>
  </si>
  <si>
    <t>4301 Piedmont Avenue</t>
  </si>
  <si>
    <t>Europa Express</t>
  </si>
  <si>
    <t>SAM4s</t>
  </si>
  <si>
    <t>Sam 945+Pdii</t>
  </si>
  <si>
    <t>Boris</t>
  </si>
  <si>
    <t>415-751-1551</t>
  </si>
  <si>
    <t>750 La Playa Street</t>
  </si>
  <si>
    <t>European Motor Works</t>
  </si>
  <si>
    <t>415-901-9405</t>
  </si>
  <si>
    <t>464 Eddy Street</t>
  </si>
  <si>
    <t>Evergreen Produce - San Pablo</t>
  </si>
  <si>
    <t>MA 1650</t>
  </si>
  <si>
    <t>510-277-6484</t>
  </si>
  <si>
    <t>San Pab</t>
  </si>
  <si>
    <t>1320 Market Street</t>
  </si>
  <si>
    <t>San Pablo</t>
  </si>
  <si>
    <t>1320 Market St</t>
  </si>
  <si>
    <t>Every Little Thing Jamaican</t>
  </si>
  <si>
    <t>707-639-9358</t>
  </si>
  <si>
    <t>301 Marina Center</t>
  </si>
  <si>
    <t>Chris Hillyard</t>
  </si>
  <si>
    <t>510-835-7898</t>
  </si>
  <si>
    <t>415-846-2671</t>
  </si>
  <si>
    <t>33 Grand Ave</t>
  </si>
  <si>
    <t>chris@farleyscoffee.com</t>
  </si>
  <si>
    <t>Farm House Local</t>
  </si>
  <si>
    <t>415-891-8577</t>
  </si>
  <si>
    <t>25 Ward St</t>
  </si>
  <si>
    <t>Farmshop Restaurant</t>
  </si>
  <si>
    <t>Scott Carr</t>
  </si>
  <si>
    <t>415-755-6700</t>
  </si>
  <si>
    <t>415-757-7946</t>
  </si>
  <si>
    <t>2233 Larkspur Landing Circle</t>
  </si>
  <si>
    <t>Farmstead</t>
  </si>
  <si>
    <t>Adam</t>
  </si>
  <si>
    <t>707-963-4555</t>
  </si>
  <si>
    <t>707-738-6852</t>
  </si>
  <si>
    <t>St.Helena</t>
  </si>
  <si>
    <t>738 Main Street</t>
  </si>
  <si>
    <t>St. Helena</t>
  </si>
  <si>
    <t>evan@longmeadowranch.com</t>
  </si>
  <si>
    <t>ap@longmeadowranch.com</t>
  </si>
  <si>
    <t>Sean</t>
  </si>
  <si>
    <t>702-813-5335</t>
  </si>
  <si>
    <t>Sara Taylor</t>
  </si>
  <si>
    <t>707-260-5325</t>
  </si>
  <si>
    <t>Aura (A/P)</t>
  </si>
  <si>
    <t>michelle (A/P)</t>
  </si>
  <si>
    <t>707-963-3196</t>
  </si>
  <si>
    <t>LMR Destinations LLC</t>
  </si>
  <si>
    <t>P.O Box 477</t>
  </si>
  <si>
    <t>Rutherford</t>
  </si>
  <si>
    <t>Fattoria E Mare</t>
  </si>
  <si>
    <t>SW</t>
  </si>
  <si>
    <t>Brian</t>
  </si>
  <si>
    <t>650-342-4922</t>
  </si>
  <si>
    <t>315 Main St</t>
  </si>
  <si>
    <t>Half Moon Bay</t>
  </si>
  <si>
    <t>pablo@fattoriaemare.com</t>
  </si>
  <si>
    <t>cesar@fattoriaemare.com</t>
  </si>
  <si>
    <t xml:space="preserve">315 Main St </t>
  </si>
  <si>
    <t>Fifth Street Brewpub</t>
  </si>
  <si>
    <t>Kelsey</t>
  </si>
  <si>
    <t>937-443-0919</t>
  </si>
  <si>
    <t>1600E 5th St</t>
  </si>
  <si>
    <t>Dayton</t>
  </si>
  <si>
    <t>OH</t>
  </si>
  <si>
    <t>1600 E. Fifth St</t>
  </si>
  <si>
    <t>937-4430919</t>
  </si>
  <si>
    <t>Final Final</t>
  </si>
  <si>
    <t>Arnie</t>
  </si>
  <si>
    <t>415-931-7800</t>
  </si>
  <si>
    <t>2990 Baker Street</t>
  </si>
  <si>
    <t>finalfinalsportsbar@gmail.com</t>
  </si>
  <si>
    <t>Mike</t>
  </si>
  <si>
    <t>2990 BAKER STREET</t>
  </si>
  <si>
    <t>Firefly Marin</t>
  </si>
  <si>
    <t>Troy Harmon</t>
  </si>
  <si>
    <t>415-785-7377</t>
  </si>
  <si>
    <t>415-755-3474 cell</t>
  </si>
  <si>
    <t xml:space="preserve">1525 Francisco Blvd East </t>
  </si>
  <si>
    <t>1525 Francisco Blvd East</t>
  </si>
  <si>
    <t xml:space="preserve">Fish </t>
  </si>
  <si>
    <t>Bill Foss</t>
  </si>
  <si>
    <t>415-331-3474</t>
  </si>
  <si>
    <t>415-465-9100</t>
  </si>
  <si>
    <t>350 Harbor Drive</t>
  </si>
  <si>
    <t>nina@331fish.com</t>
  </si>
  <si>
    <t>Kenny</t>
  </si>
  <si>
    <t>415-307-7649</t>
  </si>
  <si>
    <t>415-370-5437</t>
  </si>
  <si>
    <t>becky (bill's wife)</t>
  </si>
  <si>
    <t>408-416-8880</t>
  </si>
  <si>
    <t>Nina</t>
  </si>
  <si>
    <t>415-331-3421</t>
  </si>
  <si>
    <t>www.331fish.com</t>
  </si>
  <si>
    <t xml:space="preserve">TN660 </t>
  </si>
  <si>
    <t>350 HARBOR DRIVE</t>
  </si>
  <si>
    <t>Floorcraft</t>
  </si>
  <si>
    <t>TEC  MA1450</t>
  </si>
  <si>
    <t>Sunny</t>
  </si>
  <si>
    <t>415-824-4056</t>
  </si>
  <si>
    <t>x224</t>
  </si>
  <si>
    <t>470 Bayshore Blvd</t>
  </si>
  <si>
    <t>Alice</t>
  </si>
  <si>
    <t>Jeff Learner</t>
  </si>
  <si>
    <t>415-740-2176</t>
  </si>
  <si>
    <t>x218</t>
  </si>
  <si>
    <t>470 BAYSHORE BLVD</t>
  </si>
  <si>
    <t>Flores - Corte Madera</t>
  </si>
  <si>
    <t>301 Corte Madera Town Center</t>
  </si>
  <si>
    <t>Flores - SF</t>
  </si>
  <si>
    <t>415-796-2926</t>
  </si>
  <si>
    <t>2030 Union Street</t>
  </si>
  <si>
    <t>info@floressf.com</t>
  </si>
  <si>
    <t>Flowercraft</t>
  </si>
  <si>
    <t>415-824-1900</t>
  </si>
  <si>
    <t>550 Bayshore Blvd</t>
  </si>
  <si>
    <t>info@flowercraftgc.com</t>
  </si>
  <si>
    <t>accountspayable@floorcrafthome.com</t>
  </si>
  <si>
    <t>Food 24 Market - Clement St</t>
  </si>
  <si>
    <t>Sam4s ER265 raised</t>
  </si>
  <si>
    <t>Patrick/Philip</t>
  </si>
  <si>
    <t>510-688-1678 cell</t>
  </si>
  <si>
    <t>415-673-5225 cell</t>
  </si>
  <si>
    <t>500 Clement Street</t>
  </si>
  <si>
    <t>polymac@gmail.com</t>
  </si>
  <si>
    <t>500 Clement St</t>
  </si>
  <si>
    <t>415-673-5225</t>
  </si>
  <si>
    <t>Foresthill Market</t>
  </si>
  <si>
    <t>Parm</t>
  </si>
  <si>
    <t>707-865-5041</t>
  </si>
  <si>
    <t>707-695-5206 cell</t>
  </si>
  <si>
    <t>20293 CA-116</t>
  </si>
  <si>
    <t>Monte Rio</t>
  </si>
  <si>
    <t>Forge in the Forest</t>
  </si>
  <si>
    <t>Carolyne</t>
  </si>
  <si>
    <t>831-624-2233</t>
  </si>
  <si>
    <t>831-277-7539</t>
  </si>
  <si>
    <t>Mont</t>
  </si>
  <si>
    <t>SW Corner of 5th &amp; Junipero</t>
  </si>
  <si>
    <t>Carmel</t>
  </si>
  <si>
    <t>email@forgeintheforest.com</t>
  </si>
  <si>
    <t xml:space="preserve">Pete </t>
  </si>
  <si>
    <t>Deborah-office</t>
  </si>
  <si>
    <t>831-626-4055</t>
  </si>
  <si>
    <t>831-625-6655</t>
  </si>
  <si>
    <t xml:space="preserve">13305G </t>
  </si>
  <si>
    <t>P.O Box 6088</t>
  </si>
  <si>
    <t>SW Corner of FIFTH &amp; JUNIPERO</t>
  </si>
  <si>
    <t>Forks Ranch Market</t>
  </si>
  <si>
    <t>TecMA-1650</t>
  </si>
  <si>
    <t>Randy</t>
  </si>
  <si>
    <t>707-462-4334</t>
  </si>
  <si>
    <t>707-972-8858</t>
  </si>
  <si>
    <t>Ukiah</t>
  </si>
  <si>
    <t>3152 North State Street</t>
  </si>
  <si>
    <t>Nancy (wife)</t>
  </si>
  <si>
    <t>707-462-1185</t>
  </si>
  <si>
    <t>Fort McKinley</t>
  </si>
  <si>
    <t>Zita</t>
  </si>
  <si>
    <t>650-871-2222</t>
  </si>
  <si>
    <t>101 Brentwood Drive</t>
  </si>
  <si>
    <t xml:space="preserve">Cit IR </t>
  </si>
  <si>
    <t>Fosters Freeze - Pinole</t>
  </si>
  <si>
    <t>Casio QT6600</t>
  </si>
  <si>
    <t>Ming</t>
  </si>
  <si>
    <t>510-724-8782</t>
  </si>
  <si>
    <t>Pinole</t>
  </si>
  <si>
    <t>993 San Pablo Avenue</t>
  </si>
  <si>
    <t>Serene</t>
  </si>
  <si>
    <t>Fountain Café</t>
  </si>
  <si>
    <t>SPT4500</t>
  </si>
  <si>
    <t>Elias</t>
  </si>
  <si>
    <t>510-451-6400</t>
  </si>
  <si>
    <t>499 14th Street, Suite 125</t>
  </si>
  <si>
    <t>elias499@sbcglogal.net</t>
  </si>
  <si>
    <t>510-451-5480</t>
  </si>
  <si>
    <t>Franco's Latin Table</t>
  </si>
  <si>
    <t>Mauricio Franco</t>
  </si>
  <si>
    <t>415-724-2510</t>
  </si>
  <si>
    <t>24 West Portal Ave</t>
  </si>
  <si>
    <t>ccsfmauricio@yahoo.com</t>
  </si>
  <si>
    <t>Franky's Restaurant</t>
  </si>
  <si>
    <t>Travis</t>
  </si>
  <si>
    <t>530-898-9948</t>
  </si>
  <si>
    <t>530-624-5350</t>
  </si>
  <si>
    <t>506 Ivy Street</t>
  </si>
  <si>
    <t>530-898-9951</t>
  </si>
  <si>
    <t>530-898-9947</t>
  </si>
  <si>
    <t>Fred's Liquors - 6th St</t>
  </si>
  <si>
    <t>Sam 520RT</t>
  </si>
  <si>
    <t>Matt</t>
  </si>
  <si>
    <t>415-543-7337</t>
  </si>
  <si>
    <t>650-533-3939</t>
  </si>
  <si>
    <t>151 6th Street</t>
  </si>
  <si>
    <t>mattmusa@aol.com</t>
  </si>
  <si>
    <t>415-543-5434</t>
  </si>
  <si>
    <t>151 6TH STREET</t>
  </si>
  <si>
    <t>Fred's Liquors - Valencia</t>
  </si>
  <si>
    <t>** NO SERVICE UNLESS PRE-PAID, SEE ROB</t>
  </si>
  <si>
    <t>Fred</t>
  </si>
  <si>
    <t>415-621-2500</t>
  </si>
  <si>
    <t>415-990-2500</t>
  </si>
  <si>
    <t>200 Valencia Street</t>
  </si>
  <si>
    <t>e1030@aol.com</t>
  </si>
  <si>
    <t>Fred's Place</t>
  </si>
  <si>
    <t>Sergio Rodas</t>
  </si>
  <si>
    <t xml:space="preserve">415-332-4575 </t>
  </si>
  <si>
    <t>707-980-0542 cell</t>
  </si>
  <si>
    <t>1917 Bridgeway</t>
  </si>
  <si>
    <t xml:space="preserve">1917 Bridgeway </t>
  </si>
  <si>
    <t>415-332-4575</t>
  </si>
  <si>
    <t>Front Porch Restaurant</t>
  </si>
  <si>
    <t>Josey</t>
  </si>
  <si>
    <t>415-695-7800</t>
  </si>
  <si>
    <t>65-A 29th Street</t>
  </si>
  <si>
    <t>thefrontporchsf@gmail.com</t>
  </si>
  <si>
    <t>415-695-1454</t>
  </si>
  <si>
    <t>Fruitvale Bottle &amp; Liquor</t>
  </si>
  <si>
    <t>Ibrahim</t>
  </si>
  <si>
    <t>510-677-2584</t>
  </si>
  <si>
    <t>3715 International Blvd</t>
  </si>
  <si>
    <t>Ray Ramos</t>
  </si>
  <si>
    <t>Fulton Nails</t>
  </si>
  <si>
    <t>BLB</t>
  </si>
  <si>
    <t>Thanhvan Thi Phan</t>
  </si>
  <si>
    <t>707-566-8987</t>
  </si>
  <si>
    <t>2550 Guerneville Rd Ste H</t>
  </si>
  <si>
    <t>vphan20102012@gmail.com</t>
  </si>
  <si>
    <t>Gaspar</t>
  </si>
  <si>
    <t>Franck LeClerc</t>
  </si>
  <si>
    <t>415-576-8804</t>
  </si>
  <si>
    <t>415-481-0483</t>
  </si>
  <si>
    <t>185 Sutter Street</t>
  </si>
  <si>
    <t>fcl@hospitalitysanfrancisco.com</t>
  </si>
  <si>
    <t>Claude Lane</t>
  </si>
  <si>
    <t>425 Bush Street, Suite 444</t>
  </si>
  <si>
    <t>323-283-9393</t>
  </si>
  <si>
    <t>Gaspare's - SF</t>
  </si>
  <si>
    <t>Daniel Indelicato</t>
  </si>
  <si>
    <t>415-387-5025</t>
  </si>
  <si>
    <t>415-999-8467 cell</t>
  </si>
  <si>
    <t>5546 Geary Blvd</t>
  </si>
  <si>
    <t>daniel.indelicato@gmail.com</t>
  </si>
  <si>
    <t>Gaspare's - SR</t>
  </si>
  <si>
    <t>415-472-7101</t>
  </si>
  <si>
    <t>200 Merrydale Road</t>
  </si>
  <si>
    <t>415-472-7107</t>
  </si>
  <si>
    <t>200 MERRYDALE ROAD</t>
  </si>
  <si>
    <t>Ghiringhelli - Fairfax</t>
  </si>
  <si>
    <t>Vinny</t>
  </si>
  <si>
    <t>415-453-7472</t>
  </si>
  <si>
    <t>415-302-0318</t>
  </si>
  <si>
    <t>45 Broadway</t>
  </si>
  <si>
    <t>ed@gfoods.net</t>
  </si>
  <si>
    <t>707-561-7683</t>
  </si>
  <si>
    <t xml:space="preserve">                 </t>
  </si>
  <si>
    <t>45 BROADWAY</t>
  </si>
  <si>
    <t>Ghiringhelli - Novato</t>
  </si>
  <si>
    <t>415-878-4977</t>
  </si>
  <si>
    <t>1535 S. Novato Blvd</t>
  </si>
  <si>
    <t>margee@gfoods.net</t>
  </si>
  <si>
    <t>Jessica(Corp)</t>
  </si>
  <si>
    <t>707-561-7670</t>
  </si>
  <si>
    <t>margee a/p</t>
  </si>
  <si>
    <t>707-561-7670 x 109</t>
  </si>
  <si>
    <t>Ghiringhelli Specialty Foods</t>
  </si>
  <si>
    <t>101 Benicia Road</t>
  </si>
  <si>
    <t>Glen Ellen Market</t>
  </si>
  <si>
    <t>707-996-6614</t>
  </si>
  <si>
    <t>13710 Arnold Drive</t>
  </si>
  <si>
    <t>Glen Ellen</t>
  </si>
  <si>
    <t xml:space="preserve">Glen Ellen </t>
  </si>
  <si>
    <t>Gleneagles Golf Course</t>
  </si>
  <si>
    <t>Sam4s ER530FT</t>
  </si>
  <si>
    <t>Brandon</t>
  </si>
  <si>
    <t>415-587-2425</t>
  </si>
  <si>
    <t>2100 Sunnydale Avenue</t>
  </si>
  <si>
    <t>gleneaglesinsf@gmail.com</t>
  </si>
  <si>
    <t>Golden Bear Produce</t>
  </si>
  <si>
    <t>TEC MA1650</t>
  </si>
  <si>
    <t>510-419-0606</t>
  </si>
  <si>
    <t>209-351-4850 cell</t>
  </si>
  <si>
    <t>315 Franklin Street</t>
  </si>
  <si>
    <t>Golden Natural Foods</t>
  </si>
  <si>
    <t>Patrick</t>
  </si>
  <si>
    <t>415-864-2107</t>
  </si>
  <si>
    <t>130 Church Street</t>
  </si>
  <si>
    <t xml:space="preserve">1612-B  </t>
  </si>
  <si>
    <t>Goodwill Redwood Empire</t>
  </si>
  <si>
    <t>Sam ER265</t>
  </si>
  <si>
    <t>Linda Wood</t>
  </si>
  <si>
    <t>707-523-0552</t>
  </si>
  <si>
    <t>707-523-0550</t>
  </si>
  <si>
    <t>651 Yolanda Ave</t>
  </si>
  <si>
    <t>lwood@gire.org</t>
  </si>
  <si>
    <t>accountspayable@gire.org</t>
  </si>
  <si>
    <t>651 Yolanda Avenue</t>
  </si>
  <si>
    <t>GR Chocolate Collection Int. Airport</t>
  </si>
  <si>
    <t>415-328-5861</t>
  </si>
  <si>
    <t>SFO International Terminal 1 (Gate B13)</t>
  </si>
  <si>
    <t>eric@rulli.com</t>
  </si>
  <si>
    <t>464 Magnolia Avenue</t>
  </si>
  <si>
    <t>415-924-7478</t>
  </si>
  <si>
    <t>Gracias Madre</t>
  </si>
  <si>
    <t>415-683-1346</t>
  </si>
  <si>
    <t>2211 Mission Street</t>
  </si>
  <si>
    <t>josephd@gracias-madre.com</t>
  </si>
  <si>
    <t>Marta@cafegratitude.com</t>
  </si>
  <si>
    <t>Graffeo Coffee Roasting Co</t>
  </si>
  <si>
    <t>Walter</t>
  </si>
  <si>
    <t>415-457-5131</t>
  </si>
  <si>
    <t>1314 4th Street</t>
  </si>
  <si>
    <t>70135 inkRoll $8</t>
  </si>
  <si>
    <t>Grand Express Market</t>
  </si>
  <si>
    <t>Mengs</t>
  </si>
  <si>
    <t>510-376-0639</t>
  </si>
  <si>
    <t>363 Grand Avenue</t>
  </si>
  <si>
    <t>mengs2002@yahoo.com</t>
  </si>
  <si>
    <t>Grand Leader Market</t>
  </si>
  <si>
    <t>Casio Te8500</t>
  </si>
  <si>
    <t>650-589-2928</t>
  </si>
  <si>
    <t>600 San Mateo Avenue</t>
  </si>
  <si>
    <t xml:space="preserve">1612B- </t>
  </si>
  <si>
    <t>Grazie Restaurant</t>
  </si>
  <si>
    <t>Abe</t>
  </si>
  <si>
    <t>415-897-5181</t>
  </si>
  <si>
    <t>415-320-2582</t>
  </si>
  <si>
    <t>823 Grant Avenue, Suite A</t>
  </si>
  <si>
    <t>Abe (new owner)</t>
  </si>
  <si>
    <t>Great American Music Hall</t>
  </si>
  <si>
    <t>Kit</t>
  </si>
  <si>
    <t>415-885-0750</t>
  </si>
  <si>
    <t>859 O' Farrell</t>
  </si>
  <si>
    <t>ray@gamh.com</t>
  </si>
  <si>
    <t>fred@gamh.com</t>
  </si>
  <si>
    <t>info@gamh.com</t>
  </si>
  <si>
    <t>Dennis-cell</t>
  </si>
  <si>
    <t>Mary Goree</t>
  </si>
  <si>
    <t>415-577-3170</t>
  </si>
  <si>
    <t>415-885-5452</t>
  </si>
  <si>
    <t>859 O'FARRELL</t>
  </si>
  <si>
    <t>Grilly's - Mill Valley</t>
  </si>
  <si>
    <t>Estuardo</t>
  </si>
  <si>
    <t>415-381-3278</t>
  </si>
  <si>
    <t>493 Miller Road</t>
  </si>
  <si>
    <t>jim@grillys.com</t>
  </si>
  <si>
    <t>manager@grillys.com</t>
  </si>
  <si>
    <t>holly@grillys.com</t>
  </si>
  <si>
    <t>Holly= Office</t>
  </si>
  <si>
    <t>415-454-2220</t>
  </si>
  <si>
    <t>415-381-4992</t>
  </si>
  <si>
    <t>1744 Lincoln Avenue</t>
  </si>
  <si>
    <t>1 BOLINAS ROAD</t>
  </si>
  <si>
    <t>Grossman's Noshery &amp; Bar</t>
  </si>
  <si>
    <t>Jen</t>
  </si>
  <si>
    <t>707-595-7707</t>
  </si>
  <si>
    <t>308 Wilson St</t>
  </si>
  <si>
    <t>info@grossmanssr.com</t>
  </si>
  <si>
    <t>Guadalajara</t>
  </si>
  <si>
    <t>MICROSALE</t>
  </si>
  <si>
    <t>PT SP850</t>
  </si>
  <si>
    <t>510-533-7194</t>
  </si>
  <si>
    <t>1001 Fruitvale Avenue</t>
  </si>
  <si>
    <t>Guerra Quality Meats</t>
  </si>
  <si>
    <t>SPT 3000</t>
  </si>
  <si>
    <t>415-564-0585</t>
  </si>
  <si>
    <t>490 Taraval Street</t>
  </si>
  <si>
    <t>TOPSIRLOIN@SBCGLOBAL.NET</t>
  </si>
  <si>
    <t>415-564-0624</t>
  </si>
  <si>
    <t>490 TARAVAL STREET</t>
  </si>
  <si>
    <t>Guest House Restaurant</t>
  </si>
  <si>
    <t>415-419-5101</t>
  </si>
  <si>
    <t>415-819-1734 cell</t>
  </si>
  <si>
    <t>850 College Ave</t>
  </si>
  <si>
    <t>Kentfield</t>
  </si>
  <si>
    <t>ajnoblerot@mac.com</t>
  </si>
  <si>
    <t>415-819-1734</t>
  </si>
  <si>
    <t>Hamilton's Automotive</t>
  </si>
  <si>
    <t>Leo/Kevin</t>
  </si>
  <si>
    <t>415-705-9395</t>
  </si>
  <si>
    <t>7300 Redwood Blvd</t>
  </si>
  <si>
    <t>Hana Japan</t>
  </si>
  <si>
    <t>Jeenee</t>
  </si>
  <si>
    <t>510-848-8515</t>
  </si>
  <si>
    <t>213-820-3444</t>
  </si>
  <si>
    <t>235 University Ave</t>
  </si>
  <si>
    <t>info@hanajapan.com</t>
  </si>
  <si>
    <t>June</t>
  </si>
  <si>
    <t>213-703-7221</t>
  </si>
  <si>
    <t>510-848-8351</t>
  </si>
  <si>
    <t>235 UNIVERSITY AVENUE</t>
  </si>
  <si>
    <t>Happy Donut - Berkeley</t>
  </si>
  <si>
    <t>Tec MA1350</t>
  </si>
  <si>
    <t>Kham</t>
  </si>
  <si>
    <t>510-524-9816</t>
  </si>
  <si>
    <t>1041 Gilman Street</t>
  </si>
  <si>
    <t>1041 GILMAN STREET</t>
  </si>
  <si>
    <t>Happy Donuts - San Jose</t>
  </si>
  <si>
    <t>Gerald</t>
  </si>
  <si>
    <t>408-255-6805</t>
  </si>
  <si>
    <t>1062 South DeAnza Blvd.</t>
  </si>
  <si>
    <t>1062 South DeAnza Blvd</t>
  </si>
  <si>
    <t>Happy Taco Taqueria</t>
  </si>
  <si>
    <t>Sam4S ER940 flat</t>
  </si>
  <si>
    <t>650-726-5480</t>
  </si>
  <si>
    <t>650-222-8187</t>
  </si>
  <si>
    <t>184 San Mateo Road</t>
  </si>
  <si>
    <t>shaggg777@hotmail.com</t>
  </si>
  <si>
    <t>Harmony Restaurant</t>
  </si>
  <si>
    <t>Michelle/Norman</t>
  </si>
  <si>
    <t>415-381-5302</t>
  </si>
  <si>
    <t>415-310-5228</t>
  </si>
  <si>
    <t>401 Strawberry Village</t>
  </si>
  <si>
    <t>harmonyrest@aol.com</t>
  </si>
  <si>
    <t>info@harmonyrestaurantgroup.com</t>
  </si>
  <si>
    <t>Norman Louie</t>
  </si>
  <si>
    <t>415-381-5305</t>
  </si>
  <si>
    <t>www.harmonyrestaurantgroup.com/</t>
  </si>
  <si>
    <t>401 STRAWBERRY TOWN &amp; COUNTRY VILLAGE</t>
  </si>
  <si>
    <t>Harvest Market</t>
  </si>
  <si>
    <t>707-813-1254</t>
  </si>
  <si>
    <t>Ft.Bragg</t>
  </si>
  <si>
    <t>171 Boat Yard Drive</t>
  </si>
  <si>
    <t>Fort Bragg</t>
  </si>
  <si>
    <t>Hayward Smoke Shop</t>
  </si>
  <si>
    <t>SAM4s ER520RT</t>
  </si>
  <si>
    <t>510-487-8373</t>
  </si>
  <si>
    <t>31089 Mission Blvd</t>
  </si>
  <si>
    <t>Hazie's</t>
  </si>
  <si>
    <t>Rachel</t>
  </si>
  <si>
    <t>415-678-5156</t>
  </si>
  <si>
    <t>501 Hayes Street</t>
  </si>
  <si>
    <t>Heads Up Sports</t>
  </si>
  <si>
    <t>ER4915</t>
  </si>
  <si>
    <t>Dennis Danziger</t>
  </si>
  <si>
    <t>925-682-2277</t>
  </si>
  <si>
    <t>785 E-3 Oak Grove Road</t>
  </si>
  <si>
    <t>Hi Dive</t>
  </si>
  <si>
    <t>415-977-0170</t>
  </si>
  <si>
    <t>Pier 28 1/2 @ Bryant St</t>
  </si>
  <si>
    <t xml:space="preserve">Ashley  </t>
  </si>
  <si>
    <t>415-986-7801</t>
  </si>
  <si>
    <t>Hi Way Burger &amp; Fry - 24th St</t>
  </si>
  <si>
    <t>415-641-6000</t>
  </si>
  <si>
    <t>3853 24th Street</t>
  </si>
  <si>
    <t>roadsidebbq@yahoo.com</t>
  </si>
  <si>
    <t>Hi Way Burger &amp; Fry - Columbus</t>
  </si>
  <si>
    <t>415-658-7575</t>
  </si>
  <si>
    <t>415-513-3145</t>
  </si>
  <si>
    <t>411 Columbus Ave</t>
  </si>
  <si>
    <t>San Francsico</t>
  </si>
  <si>
    <t>Hillbilly's Grill and BBQ</t>
  </si>
  <si>
    <t>William</t>
  </si>
  <si>
    <t>912-427-3330</t>
  </si>
  <si>
    <t>340 Northview Dr.</t>
  </si>
  <si>
    <t>Jesup</t>
  </si>
  <si>
    <t>Ga</t>
  </si>
  <si>
    <t>hillbillysgrillandbbq.com</t>
  </si>
  <si>
    <t>220 Damon Dr</t>
  </si>
  <si>
    <t>Hobnob Eats &amp; Drinks</t>
  </si>
  <si>
    <t>Kenneth Lim</t>
  </si>
  <si>
    <t>510-769-1011</t>
  </si>
  <si>
    <t>510-719-9842</t>
  </si>
  <si>
    <t>1313 Park Street</t>
  </si>
  <si>
    <t>kenny.hobnob@gmail.com</t>
  </si>
  <si>
    <t>510-769-0133</t>
  </si>
  <si>
    <t>Homestead Oakland</t>
  </si>
  <si>
    <t>Abby</t>
  </si>
  <si>
    <t>510-420-6962</t>
  </si>
  <si>
    <t>4029 Piedmont Avenue</t>
  </si>
  <si>
    <t>House of Prime Rib</t>
  </si>
  <si>
    <t>415-885-4605 RESERVATION LINE</t>
  </si>
  <si>
    <t>415-781-7055 (OFFICE)</t>
  </si>
  <si>
    <t>1906 Van Ness Ave</t>
  </si>
  <si>
    <t>houseofprimerib@aol.com</t>
  </si>
  <si>
    <t>Steven</t>
  </si>
  <si>
    <t>Mr. Betz</t>
  </si>
  <si>
    <t>415-921-0854</t>
  </si>
  <si>
    <t>1906 VAN NESS AVENUE</t>
  </si>
  <si>
    <t>415-885-4605</t>
  </si>
  <si>
    <t>House of Soul - Sacramento</t>
  </si>
  <si>
    <t>Reuben</t>
  </si>
  <si>
    <t>916-706-3648</t>
  </si>
  <si>
    <t>900 2nd Street Suite E</t>
  </si>
  <si>
    <t>House of Soul - Vallejo</t>
  </si>
  <si>
    <t>707-644-3792</t>
  </si>
  <si>
    <t>1526 Solano Ave</t>
  </si>
  <si>
    <t>Hunters Cafe</t>
  </si>
  <si>
    <t>JC</t>
  </si>
  <si>
    <t>Debbie Eason</t>
  </si>
  <si>
    <t>912-832-5771</t>
  </si>
  <si>
    <t>1093 River Rd NE</t>
  </si>
  <si>
    <t>Townsend</t>
  </si>
  <si>
    <t>deason63@aol.com</t>
  </si>
  <si>
    <t>Iggy's Place</t>
  </si>
  <si>
    <t>Anna Flider</t>
  </si>
  <si>
    <t>415-425-7795</t>
  </si>
  <si>
    <t>415-770-4371</t>
  </si>
  <si>
    <t>3519 Balboa</t>
  </si>
  <si>
    <t>annflider@gmail.com</t>
  </si>
  <si>
    <t>Ikeda's California Country Market</t>
  </si>
  <si>
    <t>Manager</t>
  </si>
  <si>
    <t>Placer</t>
  </si>
  <si>
    <t>13500 Lincoln Ave</t>
  </si>
  <si>
    <t xml:space="preserve">Auburn </t>
  </si>
  <si>
    <t>ikedascountrymarket@gmail.com</t>
  </si>
  <si>
    <t>13500 Lincoln Way</t>
  </si>
  <si>
    <t>Auburn</t>
  </si>
  <si>
    <t>530-885-4243</t>
  </si>
  <si>
    <t>Ikedas Tasty Burger</t>
  </si>
  <si>
    <t>CB</t>
  </si>
  <si>
    <t>Glen Ikeda</t>
  </si>
  <si>
    <t>916-768-4573</t>
  </si>
  <si>
    <t>glenikeda+5@inreach.com</t>
  </si>
  <si>
    <t>Il Borgo</t>
  </si>
  <si>
    <t>415-255-9108</t>
  </si>
  <si>
    <t>500 Fell Street</t>
  </si>
  <si>
    <t>Imperial Liquors</t>
  </si>
  <si>
    <t>Chet Patel</t>
  </si>
  <si>
    <t>415-971-0039</t>
  </si>
  <si>
    <t>251 Ellis Street</t>
  </si>
  <si>
    <t>imperialliq@yahoo.com</t>
  </si>
  <si>
    <t>Insalata's</t>
  </si>
  <si>
    <t>Cindy or Beth</t>
  </si>
  <si>
    <t>415-457-7700</t>
  </si>
  <si>
    <t>120 Sir Francis Drake Blvd</t>
  </si>
  <si>
    <t>insalatasrestaurant@comcast.net</t>
  </si>
  <si>
    <t>christa@insalatas.com</t>
  </si>
  <si>
    <t>Carrie</t>
  </si>
  <si>
    <t>Heidi-owner</t>
  </si>
  <si>
    <t>RBS merch help</t>
  </si>
  <si>
    <t>866-545-5965</t>
  </si>
  <si>
    <t>415-457-8375</t>
  </si>
  <si>
    <t>120 SIR FRANCIS DRAKE BLVD</t>
  </si>
  <si>
    <t>Inverness Park Market</t>
  </si>
  <si>
    <t>Dan/Shannon</t>
  </si>
  <si>
    <t>415-663-1497</t>
  </si>
  <si>
    <t>12301 Sir Francis Drake Blvd</t>
  </si>
  <si>
    <t xml:space="preserve">Inverness </t>
  </si>
  <si>
    <t>eat@invernessparkmarket.com</t>
  </si>
  <si>
    <t>accounting@invernessparkmarket.com</t>
  </si>
  <si>
    <t>Inverness</t>
  </si>
  <si>
    <t>Isabel's Vintage Café</t>
  </si>
  <si>
    <t>209-599-6484</t>
  </si>
  <si>
    <t>S.JOAQ</t>
  </si>
  <si>
    <t>102 W Main St</t>
  </si>
  <si>
    <t>Ripon</t>
  </si>
  <si>
    <t>MaxStick</t>
  </si>
  <si>
    <t>Ishtar Market</t>
  </si>
  <si>
    <t>Joe</t>
  </si>
  <si>
    <t>209-250-1237</t>
  </si>
  <si>
    <t>Turlock</t>
  </si>
  <si>
    <t>2340 W. Monte Vista Ave</t>
  </si>
  <si>
    <t>Isler's Liquors</t>
  </si>
  <si>
    <t xml:space="preserve">Andre  </t>
  </si>
  <si>
    <t>510-533-0743</t>
  </si>
  <si>
    <t>5285 Foothill Blvd</t>
  </si>
  <si>
    <t>It's Italia</t>
  </si>
  <si>
    <t>Betsy</t>
  </si>
  <si>
    <t>650-726-4444</t>
  </si>
  <si>
    <t>650-868-7927</t>
  </si>
  <si>
    <t>401 Main Street</t>
  </si>
  <si>
    <t>delfierro@coastside.net</t>
  </si>
  <si>
    <t>George A/P</t>
  </si>
  <si>
    <t>650-726-7224</t>
  </si>
  <si>
    <t>650-726-8161</t>
  </si>
  <si>
    <t>George AP -&gt;</t>
  </si>
  <si>
    <t>401 MAIN STREET</t>
  </si>
  <si>
    <t>Jasmine Express</t>
  </si>
  <si>
    <t>TEC MA 600F</t>
  </si>
  <si>
    <t>Gloria</t>
  </si>
  <si>
    <t>510-357-7028</t>
  </si>
  <si>
    <t>510-852-2519</t>
  </si>
  <si>
    <t>San Lean</t>
  </si>
  <si>
    <t>14393 Washington Ave Suite G</t>
  </si>
  <si>
    <t>gloriaw88@gmail.com</t>
  </si>
  <si>
    <t>jasmineexpressinc@gmail.com</t>
  </si>
  <si>
    <t>Java Hut - Fairfax</t>
  </si>
  <si>
    <t>Rick</t>
  </si>
  <si>
    <t>415-457-4581</t>
  </si>
  <si>
    <t>415-706-4393</t>
  </si>
  <si>
    <t>760 Center Blvd</t>
  </si>
  <si>
    <t>lc.javahut@gmail.com</t>
  </si>
  <si>
    <t>Lisa Carson</t>
  </si>
  <si>
    <t>415-606-1260</t>
  </si>
  <si>
    <t>488 Oak Manor Dr</t>
  </si>
  <si>
    <t>760 CENTER BLVD</t>
  </si>
  <si>
    <t>Java Hut - Petaluma</t>
  </si>
  <si>
    <t>707-763-5496</t>
  </si>
  <si>
    <t>100 Fairgrounds Drive</t>
  </si>
  <si>
    <t>100 FAIRGROUNDS DRIVE</t>
  </si>
  <si>
    <t>Jay's Cheesesteak</t>
  </si>
  <si>
    <t>Jay</t>
  </si>
  <si>
    <t>650-438-3863</t>
  </si>
  <si>
    <t>3285 21st Street</t>
  </si>
  <si>
    <t>Jenny's Giant Burger</t>
  </si>
  <si>
    <t>Denise</t>
  </si>
  <si>
    <t>707-964-2235</t>
  </si>
  <si>
    <t>940 North Main St</t>
  </si>
  <si>
    <t>denise@mcn.org</t>
  </si>
  <si>
    <t>Troy</t>
  </si>
  <si>
    <t>707-964-7760</t>
  </si>
  <si>
    <t>Jensen's</t>
  </si>
  <si>
    <t>Lavu</t>
  </si>
  <si>
    <t>Virginia</t>
  </si>
  <si>
    <t>707-462-0757</t>
  </si>
  <si>
    <t>707-391-3330</t>
  </si>
  <si>
    <t>1550 Lovers Lane</t>
  </si>
  <si>
    <t>georgia@zackscatering.com</t>
  </si>
  <si>
    <t>Georgia AP</t>
  </si>
  <si>
    <t>707-367-0839</t>
  </si>
  <si>
    <t>707-468-0395</t>
  </si>
  <si>
    <t>1550 LOVERS LANE</t>
  </si>
  <si>
    <t>Jerry's Deli</t>
  </si>
  <si>
    <t>Lauren Porter</t>
  </si>
  <si>
    <t>415-419-6340</t>
  </si>
  <si>
    <t>7380 Redwood Blvd.</t>
  </si>
  <si>
    <t>7380 Redwood Blvd</t>
  </si>
  <si>
    <t>JM Liquor/ U-Save Liqour</t>
  </si>
  <si>
    <t>Jesse/ Lucky</t>
  </si>
  <si>
    <t>415-897-8151</t>
  </si>
  <si>
    <t>3801 Noriega St</t>
  </si>
  <si>
    <t>1308 Noriega St</t>
  </si>
  <si>
    <t>Joe Daly</t>
  </si>
  <si>
    <t>510-205-7156</t>
  </si>
  <si>
    <t>1217 Paru Street</t>
  </si>
  <si>
    <t>Johnny's Half Moon Bay</t>
  </si>
  <si>
    <t>650-729-3099</t>
  </si>
  <si>
    <t>547 Main Street</t>
  </si>
  <si>
    <t>707 Mills Street</t>
  </si>
  <si>
    <t>John's Grill</t>
  </si>
  <si>
    <t>John Savage</t>
  </si>
  <si>
    <t>415-986-0069</t>
  </si>
  <si>
    <t>63 Ellis Street</t>
  </si>
  <si>
    <t>Jorge's El Tapatio</t>
  </si>
  <si>
    <t>Sonia</t>
  </si>
  <si>
    <t>209-832-9000</t>
  </si>
  <si>
    <t>Tracy</t>
  </si>
  <si>
    <t>572 West 11th Street</t>
  </si>
  <si>
    <t>572 West 11th street</t>
  </si>
  <si>
    <t>Julian's Restaurant</t>
  </si>
  <si>
    <t>925-370-6379</t>
  </si>
  <si>
    <t>3210 Pacheco Blvd</t>
  </si>
  <si>
    <t>Kaffe Mocha &amp; Grill</t>
  </si>
  <si>
    <t>707-566-8100</t>
  </si>
  <si>
    <t>397 Aviation Blvd Suite A</t>
  </si>
  <si>
    <t>Kartunz</t>
  </si>
  <si>
    <t>Jamaican</t>
  </si>
  <si>
    <t>925-460-8869</t>
  </si>
  <si>
    <t>3657 Old Santa Rita Road, Suite C</t>
  </si>
  <si>
    <t>tracy@kartunz.com</t>
  </si>
  <si>
    <t xml:space="preserve">    </t>
  </si>
  <si>
    <t>Kells Irish Restaurant &amp; Pub</t>
  </si>
  <si>
    <t>Saji</t>
  </si>
  <si>
    <t>415-955-1916</t>
  </si>
  <si>
    <t>415-312-0435</t>
  </si>
  <si>
    <t>530 Jackson Street</t>
  </si>
  <si>
    <t>saji@kellsirish.com</t>
  </si>
  <si>
    <t>415-225-5550</t>
  </si>
  <si>
    <t>Neda V- NPC</t>
  </si>
  <si>
    <t>206-218-8589</t>
  </si>
  <si>
    <t>415-296-8847</t>
  </si>
  <si>
    <t>530 JACKSON ST</t>
  </si>
  <si>
    <t>Key's Jazz Bistro</t>
  </si>
  <si>
    <t>Eric Vance</t>
  </si>
  <si>
    <t>498 Broadway</t>
  </si>
  <si>
    <t>info@keysjazzbistro.com</t>
  </si>
  <si>
    <t>Kezar Pub</t>
  </si>
  <si>
    <t>MICROS</t>
  </si>
  <si>
    <t>Cyril Hackett</t>
  </si>
  <si>
    <t>415-386-9292</t>
  </si>
  <si>
    <t>770 Stanyan Street</t>
  </si>
  <si>
    <t>cyrilhackett@yahoo.com</t>
  </si>
  <si>
    <t>Kientz Hall</t>
  </si>
  <si>
    <t>Linda</t>
  </si>
  <si>
    <t>415-991-1502</t>
  </si>
  <si>
    <t>625 San Anselmo Ave</t>
  </si>
  <si>
    <t>linda@kientzhall.com</t>
  </si>
  <si>
    <t>Kimono - Benicia</t>
  </si>
  <si>
    <t>Mr. Omar</t>
  </si>
  <si>
    <t>707-750-5418</t>
  </si>
  <si>
    <t>925-586-4050 cell</t>
  </si>
  <si>
    <t>1654 E. 2nd Street</t>
  </si>
  <si>
    <t>Benicia</t>
  </si>
  <si>
    <t>justdiamonds@aol.com</t>
  </si>
  <si>
    <t>amy@slaterandassoc.net</t>
  </si>
  <si>
    <t>jennie@slaterandassoc.net</t>
  </si>
  <si>
    <t>B=BIG, S=SMALL</t>
  </si>
  <si>
    <t>Kimono - Pleasanton</t>
  </si>
  <si>
    <t>John &amp; Mr.Omar</t>
  </si>
  <si>
    <t>925-737-0138</t>
  </si>
  <si>
    <t>6770 Santa Rita Road</t>
  </si>
  <si>
    <t xml:space="preserve">Kitchen Door Restaurant </t>
  </si>
  <si>
    <t>TOAST</t>
  </si>
  <si>
    <t>Tim Seberson</t>
  </si>
  <si>
    <t>707-226-1560</t>
  </si>
  <si>
    <t>707-287-7526</t>
  </si>
  <si>
    <t>1300 First Street, Suite # 272</t>
  </si>
  <si>
    <t>Richard Miyashiro</t>
  </si>
  <si>
    <t>415-515-6084</t>
  </si>
  <si>
    <t>Todd Humphries</t>
  </si>
  <si>
    <t>707-226-1765</t>
  </si>
  <si>
    <t>Konarq</t>
  </si>
  <si>
    <t>SAM4S 300</t>
  </si>
  <si>
    <t>Sachin</t>
  </si>
  <si>
    <t>510-655-3398</t>
  </si>
  <si>
    <t>510-612-4559</t>
  </si>
  <si>
    <t>5959 Shellmound St Suite 9</t>
  </si>
  <si>
    <t>L&amp;L BBQ - Almaden</t>
  </si>
  <si>
    <t>Willy Wong</t>
  </si>
  <si>
    <t>408-266-9888</t>
  </si>
  <si>
    <t>415-630-3228</t>
  </si>
  <si>
    <t>5353 Almaden Expressway</t>
  </si>
  <si>
    <t>wongkpw@gmail.com</t>
  </si>
  <si>
    <t>Winnie ap</t>
  </si>
  <si>
    <t>415-309-8451</t>
  </si>
  <si>
    <t>Garland Cel</t>
  </si>
  <si>
    <t>415-570-3463</t>
  </si>
  <si>
    <t>408-266-9828</t>
  </si>
  <si>
    <t>L&amp;L BBQ - Castro Valley</t>
  </si>
  <si>
    <t>Paul He</t>
  </si>
  <si>
    <t>510-493-8400</t>
  </si>
  <si>
    <t>20438 Redwood Blvd</t>
  </si>
  <si>
    <t>L&amp;L BBQ - Ceres</t>
  </si>
  <si>
    <t>Ella/Leo</t>
  </si>
  <si>
    <t>209-596-4510</t>
  </si>
  <si>
    <t>510-759-4946</t>
  </si>
  <si>
    <t>Ceres</t>
  </si>
  <si>
    <t>2517 Mitchell Road Suite A</t>
  </si>
  <si>
    <t>leonella629@hotmail.com</t>
  </si>
  <si>
    <t xml:space="preserve">Ceres </t>
  </si>
  <si>
    <t>L&amp;L BBQ - Daly City</t>
  </si>
  <si>
    <t>Lena</t>
  </si>
  <si>
    <t>650-756-7188</t>
  </si>
  <si>
    <t>Daly City</t>
  </si>
  <si>
    <t>6893 Mission Street</t>
  </si>
  <si>
    <t>Eva= owner</t>
  </si>
  <si>
    <t>6893 Mission Blvd</t>
  </si>
  <si>
    <t>L&amp;L BBQ - Eagle Rock</t>
  </si>
  <si>
    <t>Arsen</t>
  </si>
  <si>
    <t>818-363-8840</t>
  </si>
  <si>
    <t>818-470-2134</t>
  </si>
  <si>
    <t>4430 York Blvd</t>
  </si>
  <si>
    <t>Eagle Rock</t>
  </si>
  <si>
    <t>arsen002@aol.com</t>
  </si>
  <si>
    <t>323-259-8888</t>
  </si>
  <si>
    <t>L&amp;L BBQ - Elk Grove</t>
  </si>
  <si>
    <t>Ping</t>
  </si>
  <si>
    <t>909-967-6256</t>
  </si>
  <si>
    <t xml:space="preserve">SAC </t>
  </si>
  <si>
    <t>7419 Laguna Blvd</t>
  </si>
  <si>
    <t>Elk Grove</t>
  </si>
  <si>
    <t>PINGCHIOU9@YAHOO.COM</t>
  </si>
  <si>
    <t>L&amp;L BBQ-  Fremont</t>
  </si>
  <si>
    <t>510-794-8885</t>
  </si>
  <si>
    <t>5255 Mowry Avenue, Suite S</t>
  </si>
  <si>
    <t>5255 Mowry Avenue</t>
  </si>
  <si>
    <t>L&amp;L BBQ - Fruitridge</t>
  </si>
  <si>
    <t>916-400-3157</t>
  </si>
  <si>
    <t>Sac</t>
  </si>
  <si>
    <t>5629 Stockton Blvd</t>
  </si>
  <si>
    <t>L&amp;L BBQ - Gilroy</t>
  </si>
  <si>
    <t>408-846-7316</t>
  </si>
  <si>
    <t>7210 Camino Arroyo</t>
  </si>
  <si>
    <t>Gilroy</t>
  </si>
  <si>
    <t>7210 Camino Arroyo $104</t>
  </si>
  <si>
    <t>L&amp;L BBQ - Happy Valley</t>
  </si>
  <si>
    <t>Jim</t>
  </si>
  <si>
    <t>623-434-4119</t>
  </si>
  <si>
    <t>408-398-0190</t>
  </si>
  <si>
    <t>2501 W. Happy Valley Road #50-1250</t>
  </si>
  <si>
    <t>Phoenix</t>
  </si>
  <si>
    <t>AZ</t>
  </si>
  <si>
    <t>Az</t>
  </si>
  <si>
    <t>L&amp;L BBQ-  Hawaii</t>
  </si>
  <si>
    <t>808-259-6888</t>
  </si>
  <si>
    <t>408-246-0896</t>
  </si>
  <si>
    <t>41-1610 Kalanianaole Hwy</t>
  </si>
  <si>
    <t>Waimanalo</t>
  </si>
  <si>
    <t>Hi</t>
  </si>
  <si>
    <t>L&amp;L BBQ - Hercules</t>
  </si>
  <si>
    <t>Zhanghe</t>
  </si>
  <si>
    <t>510-799-9788</t>
  </si>
  <si>
    <t>Herc</t>
  </si>
  <si>
    <t>1572 Sycamore Avenue, Suite B</t>
  </si>
  <si>
    <t>Hercules</t>
  </si>
  <si>
    <t>Elle 415-578-0513</t>
  </si>
  <si>
    <t>L&amp;L BBQ - Las Vegas  Maryland</t>
  </si>
  <si>
    <t>Anthony</t>
  </si>
  <si>
    <t>702-882-8045</t>
  </si>
  <si>
    <t>2595 So Maryland Parkway #108</t>
  </si>
  <si>
    <t>Las Vegas</t>
  </si>
  <si>
    <t>NV</t>
  </si>
  <si>
    <t>2595 S. Maryland ParRFay #108</t>
  </si>
  <si>
    <t>L&amp;L BBQ - Millbrae</t>
  </si>
  <si>
    <t>Lawrence Kam</t>
  </si>
  <si>
    <t>650-967-2555</t>
  </si>
  <si>
    <t>650-259-8063</t>
  </si>
  <si>
    <t>340 Adrian Road</t>
  </si>
  <si>
    <t>Millbrae</t>
  </si>
  <si>
    <t>L&amp;L BBQ - Milpitas</t>
  </si>
  <si>
    <t>Sergio Lawas</t>
  </si>
  <si>
    <t>408-262-5880</t>
  </si>
  <si>
    <t>Milpitas</t>
  </si>
  <si>
    <t>273 W. Calaveras blvd</t>
  </si>
  <si>
    <t>Mipitas</t>
  </si>
  <si>
    <t>Jason</t>
  </si>
  <si>
    <t>1821 SOUTH CATALINA</t>
  </si>
  <si>
    <t>L&amp;L BBQ - Mountain View</t>
  </si>
  <si>
    <t>Eva</t>
  </si>
  <si>
    <t>425-894-3526</t>
  </si>
  <si>
    <t> 2430 E Charleston Rd</t>
  </si>
  <si>
    <t>Eva-office</t>
  </si>
  <si>
    <t>650-579-4990</t>
  </si>
  <si>
    <t>L&amp;L BBQ - Northridge</t>
  </si>
  <si>
    <t>18657 Devonshire St</t>
  </si>
  <si>
    <t>Northridge</t>
  </si>
  <si>
    <t>18657 Devonshire Street</t>
  </si>
  <si>
    <t>L&amp;L BBQ - Oceanside</t>
  </si>
  <si>
    <t>760-726-0888</t>
  </si>
  <si>
    <t>619-438-3119 cell</t>
  </si>
  <si>
    <t>OceanS</t>
  </si>
  <si>
    <t>4225 Oceanside Blvd</t>
  </si>
  <si>
    <t>Oceanside</t>
  </si>
  <si>
    <t>jmend1017@aol.com</t>
  </si>
  <si>
    <t>L&amp;L BBQ - Pacifica</t>
  </si>
  <si>
    <t>650-355-9988</t>
  </si>
  <si>
    <t>1231 Linda Mar Shop Center</t>
  </si>
  <si>
    <t>L&amp;L BBQ - Palo Alto</t>
  </si>
  <si>
    <t>Sieghor Hort</t>
  </si>
  <si>
    <t>650-858-2878</t>
  </si>
  <si>
    <t>3890 El Camino Real</t>
  </si>
  <si>
    <t>L&amp;L BBQ - Patterson</t>
  </si>
  <si>
    <t>Andy Cheung</t>
  </si>
  <si>
    <t>209-894-7088</t>
  </si>
  <si>
    <t>415-568-0062 cell</t>
  </si>
  <si>
    <t>STANIS</t>
  </si>
  <si>
    <t>1010 West Las Palmas Ave</t>
  </si>
  <si>
    <t>Patterson</t>
  </si>
  <si>
    <t>cheungandy8@gmail.com</t>
  </si>
  <si>
    <t>L&amp;L BBQ - Pleasanton</t>
  </si>
  <si>
    <t>650-223-1576</t>
  </si>
  <si>
    <t>4515 Rosewood Dr.</t>
  </si>
  <si>
    <t>4515 Rosewood Dr</t>
  </si>
  <si>
    <t>L&amp;L BBQ - Redwood City</t>
  </si>
  <si>
    <t>650-299-1544</t>
  </si>
  <si>
    <t>324 Walnut St</t>
  </si>
  <si>
    <t>Eva=owner</t>
  </si>
  <si>
    <t>L&amp;L BBQ - Riverbank</t>
  </si>
  <si>
    <t xml:space="preserve">NO </t>
  </si>
  <si>
    <t>209-863-8876</t>
  </si>
  <si>
    <t>2447 Claribel Road, suite A</t>
  </si>
  <si>
    <t>Riverbank</t>
  </si>
  <si>
    <t>L&amp;L BBQ - Sacramento</t>
  </si>
  <si>
    <t>Stan Shek</t>
  </si>
  <si>
    <t>916-689-9331</t>
  </si>
  <si>
    <t>916-650-5596</t>
  </si>
  <si>
    <t>6301 Mack Road</t>
  </si>
  <si>
    <t>L&amp;L BBQ - San Bruno</t>
  </si>
  <si>
    <t>Garland</t>
  </si>
  <si>
    <t>1230 El Camino Real</t>
  </si>
  <si>
    <t xml:space="preserve">Ca </t>
  </si>
  <si>
    <t>L&amp;L BBQ - San Francisco</t>
  </si>
  <si>
    <t>Milli Lee</t>
  </si>
  <si>
    <t>415-956-2888</t>
  </si>
  <si>
    <t>415-613-2982</t>
  </si>
  <si>
    <t>312 Kearny Street</t>
  </si>
  <si>
    <t>millilee@aol.com</t>
  </si>
  <si>
    <t>BofA-scott</t>
  </si>
  <si>
    <t>415-436-2685</t>
  </si>
  <si>
    <t>L&amp;L BBQ - San Jose - Coleman</t>
  </si>
  <si>
    <t>Minh</t>
  </si>
  <si>
    <t>408-920-7772</t>
  </si>
  <si>
    <t>579 Coleman Ave Unit #80</t>
  </si>
  <si>
    <t>KAM.LAWRENCE@YAHOO.COM</t>
  </si>
  <si>
    <t>Jenny</t>
  </si>
  <si>
    <t>408-920-7773</t>
  </si>
  <si>
    <t>L&amp;L BBQ - San Jose - Curtner</t>
  </si>
  <si>
    <t>408-288-9839</t>
  </si>
  <si>
    <t xml:space="preserve">808-429-6015 </t>
  </si>
  <si>
    <t>1 Curtner Ave, Plant Shopping Center</t>
  </si>
  <si>
    <t>yummymojo@gmail.com</t>
  </si>
  <si>
    <t>L&amp;L BBQ - San Mateo - 3rd Ave</t>
  </si>
  <si>
    <t>Jasmine</t>
  </si>
  <si>
    <t>650-347-8885</t>
  </si>
  <si>
    <t>94 E 3rd Avenue</t>
  </si>
  <si>
    <t>15185  $19</t>
  </si>
  <si>
    <t>L&amp;L BBQ - Santa Clara</t>
  </si>
  <si>
    <t>3580 Homestead Road</t>
  </si>
  <si>
    <t>Santa Clara</t>
  </si>
  <si>
    <t>CARD $2</t>
  </si>
  <si>
    <t>L&amp;L BBQ - Santa Cruz</t>
  </si>
  <si>
    <t>Arthur</t>
  </si>
  <si>
    <t>831-475-8898</t>
  </si>
  <si>
    <t>460 7th Avenue</t>
  </si>
  <si>
    <t>llbbqsantacruz@gmail.com</t>
  </si>
  <si>
    <t>elainelynn0326@gmail.com</t>
  </si>
  <si>
    <t>L&amp;L BBQ - Stockton</t>
  </si>
  <si>
    <t>Terry Kennedy</t>
  </si>
  <si>
    <t>209-478-0500</t>
  </si>
  <si>
    <t>916-458-2773</t>
  </si>
  <si>
    <t>4555 North Pershing Ave. #33A</t>
  </si>
  <si>
    <t>209-478-0600</t>
  </si>
  <si>
    <t>4555 North Pershing Avenue #33A</t>
  </si>
  <si>
    <t>L&amp;L BBQ - Tracy</t>
  </si>
  <si>
    <t>Frankie Lorico</t>
  </si>
  <si>
    <t>209-832-3388</t>
  </si>
  <si>
    <t>510-760-0566</t>
  </si>
  <si>
    <t>2271 West Grant Line Road #113</t>
  </si>
  <si>
    <t>2271 Grant Line Road #113</t>
  </si>
  <si>
    <t>L&amp;L BBQ - Union City</t>
  </si>
  <si>
    <t>510-324-8838</t>
  </si>
  <si>
    <t>Union C</t>
  </si>
  <si>
    <t>1668 Decoto Road</t>
  </si>
  <si>
    <t>Union City</t>
  </si>
  <si>
    <t>paulpaul12344@yahoo.com</t>
  </si>
  <si>
    <t>510-324-8848</t>
  </si>
  <si>
    <t>L&amp;L BBQ - Vallejo</t>
  </si>
  <si>
    <t>Ken</t>
  </si>
  <si>
    <t>707-648-0315</t>
  </si>
  <si>
    <t>707-980-0248 cell</t>
  </si>
  <si>
    <t>4300 Sonoma Blvd. #724</t>
  </si>
  <si>
    <t>shuetpoon62@gmail.com</t>
  </si>
  <si>
    <t>ken</t>
  </si>
  <si>
    <t>La Azteca Market #2</t>
  </si>
  <si>
    <t>415-457-2518</t>
  </si>
  <si>
    <t>415-912-7880 cell</t>
  </si>
  <si>
    <t>802 4th St</t>
  </si>
  <si>
    <t>aztecamarketsanrafael@gmail.com</t>
  </si>
  <si>
    <t>15044  REG</t>
  </si>
  <si>
    <t>15741  CC</t>
  </si>
  <si>
    <t xml:space="preserve">802 4th St </t>
  </si>
  <si>
    <t>La Burrita - Durant</t>
  </si>
  <si>
    <t>Salam Naser</t>
  </si>
  <si>
    <t>510-845-4859</t>
  </si>
  <si>
    <t>2530 Durant Avenue</t>
  </si>
  <si>
    <t>La Burrita - Euclid</t>
  </si>
  <si>
    <t>510-845-9090</t>
  </si>
  <si>
    <t>1832 Euclid Avenue</t>
  </si>
  <si>
    <t>La Cabana</t>
  </si>
  <si>
    <t>310-392-6161</t>
  </si>
  <si>
    <t>310-463-3767</t>
  </si>
  <si>
    <t>738 Rose Avenue</t>
  </si>
  <si>
    <t>Venice</t>
  </si>
  <si>
    <t>carlos@lacabanavenice.com</t>
  </si>
  <si>
    <t>barbara@lacabanavenice.com</t>
  </si>
  <si>
    <t>Elizabeth</t>
  </si>
  <si>
    <t>BARBARA</t>
  </si>
  <si>
    <t>310-392-7973</t>
  </si>
  <si>
    <t>310-392-8261</t>
  </si>
  <si>
    <t>La Charrita Market</t>
  </si>
  <si>
    <t>Gene</t>
  </si>
  <si>
    <t>925-516-0230</t>
  </si>
  <si>
    <t>209-675-8237 cell</t>
  </si>
  <si>
    <t>8560 Brentwood Blvd</t>
  </si>
  <si>
    <t>La Costanera</t>
  </si>
  <si>
    <t>Ashley</t>
  </si>
  <si>
    <t>650-728-1600</t>
  </si>
  <si>
    <t>260 Capistrano Rd</t>
  </si>
  <si>
    <t>yuri@lacostanerarestaurant.com</t>
  </si>
  <si>
    <t>260 Capsitrano Rd</t>
  </si>
  <si>
    <t>La Esperanza Tri Color</t>
  </si>
  <si>
    <t>SPS-520 / TEC ma1650</t>
  </si>
  <si>
    <t>Rogelio</t>
  </si>
  <si>
    <t>510-886-6070</t>
  </si>
  <si>
    <t>510-386-1577</t>
  </si>
  <si>
    <t>340 A Street</t>
  </si>
  <si>
    <t>rogeliodharo@gmail.com</t>
  </si>
  <si>
    <t>La Estrellita - Palo Alto *NO SVC*</t>
  </si>
  <si>
    <t>NO SVC, UNPAID INVCS</t>
  </si>
  <si>
    <t>Hector Marcus</t>
  </si>
  <si>
    <t>650-328-0799</t>
  </si>
  <si>
    <t>East PA</t>
  </si>
  <si>
    <t>2387 University Avenue</t>
  </si>
  <si>
    <t>East Palo Alto</t>
  </si>
  <si>
    <t>laestrell22@aol.com</t>
  </si>
  <si>
    <t>La Estrellita - Redwood *NO SVC*</t>
  </si>
  <si>
    <t>650-369-3877</t>
  </si>
  <si>
    <t>Redwood</t>
  </si>
  <si>
    <t>2205 Middlefield Road</t>
  </si>
  <si>
    <t>ShTagLbl $9.99</t>
  </si>
  <si>
    <t>La Flor de Jalisco</t>
  </si>
  <si>
    <t>510-815-1245 c</t>
  </si>
  <si>
    <t>Rich</t>
  </si>
  <si>
    <t>2031 Macdonald Ave</t>
  </si>
  <si>
    <t xml:space="preserve">#1493  </t>
  </si>
  <si>
    <t>2409 MacDonald Avenue</t>
  </si>
  <si>
    <t>510-815-1245</t>
  </si>
  <si>
    <t>La Hacienda</t>
  </si>
  <si>
    <t>Armando</t>
  </si>
  <si>
    <t>650-366-2719</t>
  </si>
  <si>
    <t>895 Second Avenue</t>
  </si>
  <si>
    <t>La Penca Azul - Island Dr.</t>
  </si>
  <si>
    <t>Octavio Guzman</t>
  </si>
  <si>
    <t>510-814-0560</t>
  </si>
  <si>
    <t>891 B Island Drive</t>
  </si>
  <si>
    <t>suzy@lapencaazul.com</t>
  </si>
  <si>
    <t>galdina@lapencaazul.com</t>
  </si>
  <si>
    <t>La Pinata - Hayward</t>
  </si>
  <si>
    <t>Alfonso</t>
  </si>
  <si>
    <t>510-538-9967</t>
  </si>
  <si>
    <t>510-813-0545</t>
  </si>
  <si>
    <t>904 Rose Street</t>
  </si>
  <si>
    <t>alfonso@lapinata6.com</t>
  </si>
  <si>
    <t>karina@lapinata1.com</t>
  </si>
  <si>
    <t>La Pinata #2</t>
  </si>
  <si>
    <t>CAS RX750</t>
  </si>
  <si>
    <t>NOL</t>
  </si>
  <si>
    <t>510-352-8901</t>
  </si>
  <si>
    <t>2699 Merced Street</t>
  </si>
  <si>
    <t>La Playa</t>
  </si>
  <si>
    <t>SPT 3000/4740</t>
  </si>
  <si>
    <t>Serina</t>
  </si>
  <si>
    <t>650-738-2247</t>
  </si>
  <si>
    <t>5460 Cabrillo Hwy</t>
  </si>
  <si>
    <t>Sarina (co-owner)</t>
  </si>
  <si>
    <t>919-522-1443</t>
  </si>
  <si>
    <t>5460 CABRILLO HWY</t>
  </si>
  <si>
    <t>La Raza Supermarket</t>
  </si>
  <si>
    <t>408-477-2646</t>
  </si>
  <si>
    <t>960 East Santa Clara Street</t>
  </si>
  <si>
    <t>La Rosa Market y Taqueria</t>
  </si>
  <si>
    <t>Breeze</t>
  </si>
  <si>
    <t>Pedro/Rosa</t>
  </si>
  <si>
    <t>707-887-8375</t>
  </si>
  <si>
    <t>6555 Front Street, Hwy 116</t>
  </si>
  <si>
    <t>hernandez2588@gmail.com</t>
  </si>
  <si>
    <t>La Salle's</t>
  </si>
  <si>
    <t>Nick</t>
  </si>
  <si>
    <t>530-893-1891</t>
  </si>
  <si>
    <t>229 Broadway</t>
  </si>
  <si>
    <t xml:space="preserve">54-230   </t>
  </si>
  <si>
    <t xml:space="preserve">13305G  </t>
  </si>
  <si>
    <t>La Tiendita</t>
  </si>
  <si>
    <t>SAM ER 945</t>
  </si>
  <si>
    <t>Bill V.</t>
  </si>
  <si>
    <t>650-367-8504</t>
  </si>
  <si>
    <t>2875 Middlefield Road</t>
  </si>
  <si>
    <t xml:space="preserve">La Toscana </t>
  </si>
  <si>
    <t>Laura</t>
  </si>
  <si>
    <t>415-492-9100</t>
  </si>
  <si>
    <t>3751 Redwood Highway</t>
  </si>
  <si>
    <t>laura@ristorantelatoscana.com</t>
  </si>
  <si>
    <t>La Tri Color Market</t>
  </si>
  <si>
    <t>Alfredo</t>
  </si>
  <si>
    <t>La Val's Pizza</t>
  </si>
  <si>
    <t>510-540-9333</t>
  </si>
  <si>
    <t>1834 Euclid Avenue</t>
  </si>
  <si>
    <t xml:space="preserve">Lake Merrit Super </t>
  </si>
  <si>
    <t>** COD ONLY  ***</t>
  </si>
  <si>
    <t>Hussein</t>
  </si>
  <si>
    <t>510-589-3390</t>
  </si>
  <si>
    <t>346 Grand Avenue</t>
  </si>
  <si>
    <t>Lalime's</t>
  </si>
  <si>
    <t>Cindy Lalime</t>
  </si>
  <si>
    <t>510-527-9838</t>
  </si>
  <si>
    <t>1329 Gilman Street</t>
  </si>
  <si>
    <t>Cindy Clark (a/p)</t>
  </si>
  <si>
    <t>510-559-</t>
  </si>
  <si>
    <t>510-227-1350</t>
  </si>
  <si>
    <t>510-845-5019</t>
  </si>
  <si>
    <t>www.lalimes.com</t>
  </si>
  <si>
    <t>Jimmy Beans</t>
  </si>
  <si>
    <t>510-528-3435</t>
  </si>
  <si>
    <t>L'Ambiente</t>
  </si>
  <si>
    <t>415-945-9290</t>
  </si>
  <si>
    <t>476 Magnolia Ave</t>
  </si>
  <si>
    <t>Las Guitarras</t>
  </si>
  <si>
    <t>Lisa Garcia</t>
  </si>
  <si>
    <t>415-892-3171</t>
  </si>
  <si>
    <t>415-895-6077</t>
  </si>
  <si>
    <t>1017 Reichert Ave</t>
  </si>
  <si>
    <t>senoritaladylisa@gmail.com</t>
  </si>
  <si>
    <t>lasguitarrasrestaurant@gmail.com</t>
  </si>
  <si>
    <t>Elena Pantoja</t>
  </si>
  <si>
    <t>Las Montanas Mkt - Concord</t>
  </si>
  <si>
    <t>Magali Medina</t>
  </si>
  <si>
    <t>925-687-7417</t>
  </si>
  <si>
    <t>925-787-5831</t>
  </si>
  <si>
    <t>1725 Willow Pass Road</t>
  </si>
  <si>
    <t>p.gonzalez@lasmontanas.com</t>
  </si>
  <si>
    <t>Las Montanas Mkt - Concord #2</t>
  </si>
  <si>
    <t>SP850</t>
  </si>
  <si>
    <t>925-686-5123</t>
  </si>
  <si>
    <t>2691 Monument Blvd</t>
  </si>
  <si>
    <t>Fabiola Gomez</t>
  </si>
  <si>
    <t>Las Montanas Mkt - Hayward New</t>
  </si>
  <si>
    <t>Emanuel</t>
  </si>
  <si>
    <t>20800 Mission Blvd</t>
  </si>
  <si>
    <t>Las Montanas Mkt - San Pablo</t>
  </si>
  <si>
    <t>Javier</t>
  </si>
  <si>
    <t>510-236-3397</t>
  </si>
  <si>
    <t>13901 San Pablo Avenue</t>
  </si>
  <si>
    <t>Layla at MacAthur Place</t>
  </si>
  <si>
    <t>707-933-3191</t>
  </si>
  <si>
    <t>29 E MacArthur Street</t>
  </si>
  <si>
    <t>cbrown@macarthurplace.com</t>
  </si>
  <si>
    <t>info@macarthurplace.com</t>
  </si>
  <si>
    <t>LB Steak Santana Row</t>
  </si>
  <si>
    <t>Chris Evans</t>
  </si>
  <si>
    <t>408-244-1180</t>
  </si>
  <si>
    <t>334 Santana Row #1000</t>
  </si>
  <si>
    <t>cevans@leftbank.com</t>
  </si>
  <si>
    <t xml:space="preserve">Vines </t>
  </si>
  <si>
    <t>334 Santana Row Suite 1000</t>
  </si>
  <si>
    <t>Le Croissant</t>
  </si>
  <si>
    <t>SPT 4740</t>
  </si>
  <si>
    <t>Erica</t>
  </si>
  <si>
    <t>415-456-0164</t>
  </si>
  <si>
    <t>150 Bellam Road, #210</t>
  </si>
  <si>
    <t>Bob</t>
  </si>
  <si>
    <t>707-824-8270</t>
  </si>
  <si>
    <t>150 BELLAM RD #210</t>
  </si>
  <si>
    <t>Le Croissant- Burlingame</t>
  </si>
  <si>
    <t>Bisap</t>
  </si>
  <si>
    <t>650-348-9988</t>
  </si>
  <si>
    <t>1151 Broadway</t>
  </si>
  <si>
    <t>Burlingmae</t>
  </si>
  <si>
    <t>Le Petit Café</t>
  </si>
  <si>
    <t>Viviana</t>
  </si>
  <si>
    <t>415-951-85104</t>
  </si>
  <si>
    <t>1 Maritime Plaza, Suite 1</t>
  </si>
  <si>
    <t>1 Maritime Plaza, Suite C</t>
  </si>
  <si>
    <t>415-951-8514</t>
  </si>
  <si>
    <t>Le Sandwich</t>
  </si>
  <si>
    <t>ACROBAT</t>
  </si>
  <si>
    <t>415-269-2098</t>
  </si>
  <si>
    <t>752 Columbus Ave</t>
  </si>
  <si>
    <t>Ebikahi@gmail.com</t>
  </si>
  <si>
    <t>Left Bank Brasserie</t>
  </si>
  <si>
    <t>Frank Caiazzo</t>
  </si>
  <si>
    <t>415-927-3331</t>
  </si>
  <si>
    <t>507 Magnolia Avenue</t>
  </si>
  <si>
    <t>fcaiazzo@leftbank.com</t>
  </si>
  <si>
    <t>RL928RD $19.95/EACH</t>
  </si>
  <si>
    <t>Left Door</t>
  </si>
  <si>
    <t>415-525-9009</t>
  </si>
  <si>
    <t>1905 Union Street</t>
  </si>
  <si>
    <t>hello@leftdoorsf.com</t>
  </si>
  <si>
    <t>3658 Mount Diablo Blvd. Suite 225</t>
  </si>
  <si>
    <t>Lafayette</t>
  </si>
  <si>
    <t>Lighthouse Bar &amp; Grill - Mill Valley</t>
  </si>
  <si>
    <t>HARBORTOUCH</t>
  </si>
  <si>
    <t>415-381-4400</t>
  </si>
  <si>
    <t>415-847-2435</t>
  </si>
  <si>
    <t>475 E. Strawberry Drive</t>
  </si>
  <si>
    <t>kenandresen@hotmail.com</t>
  </si>
  <si>
    <t>Lighthouse Café - Corte Madera</t>
  </si>
  <si>
    <t>Gerner</t>
  </si>
  <si>
    <t>415-721-7700</t>
  </si>
  <si>
    <t>415-847-4451</t>
  </si>
  <si>
    <t>12 Tamalpais</t>
  </si>
  <si>
    <t>g.andresen@me.com</t>
  </si>
  <si>
    <t>Lighthouse Café - Sausalito</t>
  </si>
  <si>
    <t>415-331-3034</t>
  </si>
  <si>
    <t>415-857-4451</t>
  </si>
  <si>
    <t>1311 Bridgeway</t>
  </si>
  <si>
    <t>Annette</t>
  </si>
  <si>
    <t>415-721-7703</t>
  </si>
  <si>
    <t>Lindberg Lumber</t>
  </si>
  <si>
    <t>Tec Ma600</t>
  </si>
  <si>
    <t>Bill</t>
  </si>
  <si>
    <t>707-485-5343</t>
  </si>
  <si>
    <t>6101 North State Street</t>
  </si>
  <si>
    <t>707-485-5346</t>
  </si>
  <si>
    <t>6101 N State Street</t>
  </si>
  <si>
    <t>707-885-8021</t>
  </si>
  <si>
    <t>Liquor Land</t>
  </si>
  <si>
    <t>QT 6600</t>
  </si>
  <si>
    <t>Ray</t>
  </si>
  <si>
    <t>650-588-4044</t>
  </si>
  <si>
    <t>510-289-9038 cell</t>
  </si>
  <si>
    <t>1599 El Camino Real</t>
  </si>
  <si>
    <t>LittleSaint</t>
  </si>
  <si>
    <t>BG</t>
  </si>
  <si>
    <t>Tony Greenberg</t>
  </si>
  <si>
    <t>917-939-8379</t>
  </si>
  <si>
    <t>25 North St</t>
  </si>
  <si>
    <t>akeel@singlethreadfarms.com</t>
  </si>
  <si>
    <t>Lodi Cigarette Plus</t>
  </si>
  <si>
    <t xml:space="preserve">TE7000 </t>
  </si>
  <si>
    <t>Moni</t>
  </si>
  <si>
    <t>209-327-0597</t>
  </si>
  <si>
    <t>784 W. Kettleman Lane</t>
  </si>
  <si>
    <t>Lola's Taqueria</t>
  </si>
  <si>
    <t>RJ</t>
  </si>
  <si>
    <t>Maria Perdomo</t>
  </si>
  <si>
    <t>415-419-6781</t>
  </si>
  <si>
    <t>415-797-6196</t>
  </si>
  <si>
    <t>110 Main St</t>
  </si>
  <si>
    <t>Tiburon</t>
  </si>
  <si>
    <t>abc@abc.com</t>
  </si>
  <si>
    <t>Lolinda SF</t>
  </si>
  <si>
    <t>2518 Mission Street</t>
  </si>
  <si>
    <t>accounts@lolindasf.com</t>
  </si>
  <si>
    <t>Lone Palm</t>
  </si>
  <si>
    <t>Jane Seabrook</t>
  </si>
  <si>
    <t>415-648-0109</t>
  </si>
  <si>
    <t>415-533-6765</t>
  </si>
  <si>
    <t>628 Canyon Rd</t>
  </si>
  <si>
    <t>j.seabrook@mac.com</t>
  </si>
  <si>
    <t>SHIP TO HOME ADDRESS IN NOVATO</t>
  </si>
  <si>
    <t>Loquita</t>
  </si>
  <si>
    <t>Skylar Gamble</t>
  </si>
  <si>
    <t>805-880-3380</t>
  </si>
  <si>
    <t>970-412-2214</t>
  </si>
  <si>
    <t>S.Barb</t>
  </si>
  <si>
    <t>202 State Street</t>
  </si>
  <si>
    <t>Santa Barbara</t>
  </si>
  <si>
    <t>mbowlds@loquitasb.com</t>
  </si>
  <si>
    <t>gibarra@loquitasb.com</t>
  </si>
  <si>
    <t>Gerardo Ibarra</t>
  </si>
  <si>
    <t>805-268-0153 NEW GM 3/24/22</t>
  </si>
  <si>
    <t>Los Caporales Taqueria</t>
  </si>
  <si>
    <t>925-455-8226</t>
  </si>
  <si>
    <t>1316 Railroad Avenue</t>
  </si>
  <si>
    <t>Los Dos Compadres</t>
  </si>
  <si>
    <t>Maria Artega</t>
  </si>
  <si>
    <t>408-607-5447</t>
  </si>
  <si>
    <t>1652 South DeAnza Blvd</t>
  </si>
  <si>
    <t>maria3arteaga@gmail.com</t>
  </si>
  <si>
    <t>Geraldo= A/P</t>
  </si>
  <si>
    <t>Willie</t>
  </si>
  <si>
    <t>408-777-8805</t>
  </si>
  <si>
    <t>408-777-8620</t>
  </si>
  <si>
    <t>Los Mexicanos Market - Antioch</t>
  </si>
  <si>
    <t>Lucio Leon</t>
  </si>
  <si>
    <t>925-726-6460</t>
  </si>
  <si>
    <t>Antioch</t>
  </si>
  <si>
    <t>1725 Cavallo Rd</t>
  </si>
  <si>
    <t>leoncito.bosito18@gmail.com</t>
  </si>
  <si>
    <t>Los Mexicanos Market - Brentwood</t>
  </si>
  <si>
    <t>Sam4s Er5215M</t>
  </si>
  <si>
    <t>50 Sand Creek Road Suite 36</t>
  </si>
  <si>
    <t>925-698-0618</t>
  </si>
  <si>
    <t>Lost Marbles Brewpub</t>
  </si>
  <si>
    <t>415-378-9458</t>
  </si>
  <si>
    <t>823 Clement St</t>
  </si>
  <si>
    <t>Lotus Curry House</t>
  </si>
  <si>
    <t>Suman</t>
  </si>
  <si>
    <t>415-408-3911</t>
  </si>
  <si>
    <t>916-375-9971 cell</t>
  </si>
  <si>
    <t>807 Grant Avenue</t>
  </si>
  <si>
    <t>807 Grant Ave</t>
  </si>
  <si>
    <t>Lotus Indian Cuisine</t>
  </si>
  <si>
    <t>Joti</t>
  </si>
  <si>
    <t>415-456-5808</t>
  </si>
  <si>
    <t>812 4th St</t>
  </si>
  <si>
    <t>Luke's Local</t>
  </si>
  <si>
    <t>CAS CL5000</t>
  </si>
  <si>
    <t>415-742-9780</t>
  </si>
  <si>
    <t>561-542-5231 cell</t>
  </si>
  <si>
    <t>960 Cole Street</t>
  </si>
  <si>
    <t>hello@lukeslocal.com</t>
  </si>
  <si>
    <t>accounting@lukeslocal.com</t>
  </si>
  <si>
    <t>scott@lukeslocal.com</t>
  </si>
  <si>
    <t>Dustin Vaught</t>
  </si>
  <si>
    <t>Commissary</t>
  </si>
  <si>
    <t>415-643-4510</t>
  </si>
  <si>
    <t>Luke's Local #2</t>
  </si>
  <si>
    <t>2190 Union Street</t>
  </si>
  <si>
    <t>Luna Blu</t>
  </si>
  <si>
    <t>JB</t>
  </si>
  <si>
    <t>depot</t>
  </si>
  <si>
    <t>Crystal</t>
  </si>
  <si>
    <t>415-789-5844</t>
  </si>
  <si>
    <t>415-299-0141</t>
  </si>
  <si>
    <t>35 Main Street</t>
  </si>
  <si>
    <t>crystallunablu@gmail.com</t>
  </si>
  <si>
    <t>Luna De Xelaju</t>
  </si>
  <si>
    <t>CLOVER</t>
  </si>
  <si>
    <t>415-309-5544</t>
  </si>
  <si>
    <t>180 Bellam Blvd Suite D</t>
  </si>
  <si>
    <t>Luna Restaurant</t>
  </si>
  <si>
    <t>JM</t>
  </si>
  <si>
    <t>Habib Jacifi</t>
  </si>
  <si>
    <t>925-691-4080</t>
  </si>
  <si>
    <t>2118 Willow Pass Rd Ste 100B</t>
  </si>
  <si>
    <t>lunarestaurantconcord@gmail.com</t>
  </si>
  <si>
    <t>Lunch Box</t>
  </si>
  <si>
    <t>Megan McKean</t>
  </si>
  <si>
    <t>707-322-8010</t>
  </si>
  <si>
    <t>128 N. Main Street</t>
  </si>
  <si>
    <t>lunchboxsonomacounty@gmail.com</t>
  </si>
  <si>
    <t>Lyons Market &amp; Liquor</t>
  </si>
  <si>
    <t>510-535-9124</t>
  </si>
  <si>
    <t>4100 Foothill Blvd</t>
  </si>
  <si>
    <t>Mac's (California Marble &amp; Granite)</t>
  </si>
  <si>
    <t>Feather</t>
  </si>
  <si>
    <t>707-712-0193</t>
  </si>
  <si>
    <t>22 California Street</t>
  </si>
  <si>
    <t>22 California St</t>
  </si>
  <si>
    <t>Magnolia of Millbrae</t>
  </si>
  <si>
    <t>Lola Borrego</t>
  </si>
  <si>
    <t>650-697-7700</t>
  </si>
  <si>
    <t>201 Chadbourne Avenue</t>
  </si>
  <si>
    <t>lborrego@themagnolia.com</t>
  </si>
  <si>
    <t>kpiano@themagnolia.com</t>
  </si>
  <si>
    <t>650-697-7000</t>
  </si>
  <si>
    <t>Magnolia Park Kitchen</t>
  </si>
  <si>
    <t xml:space="preserve">Robert </t>
  </si>
  <si>
    <t>707-731-2938</t>
  </si>
  <si>
    <t>1016 Court Street</t>
  </si>
  <si>
    <t>robert@magnoliaparkkitchen.com</t>
  </si>
  <si>
    <t>Malibu Farms</t>
  </si>
  <si>
    <t>Andee</t>
  </si>
  <si>
    <t>415-435-1873</t>
  </si>
  <si>
    <t>9 Main Street</t>
  </si>
  <si>
    <t>Mamanoko</t>
  </si>
  <si>
    <t>415-346-8494</t>
  </si>
  <si>
    <t>2317 Chestnut St</t>
  </si>
  <si>
    <t>2317 Chestnut Street</t>
  </si>
  <si>
    <t>Mamita</t>
  </si>
  <si>
    <t>Maria's Market &amp; Deli</t>
  </si>
  <si>
    <t>SPT4740</t>
  </si>
  <si>
    <t>Eliah</t>
  </si>
  <si>
    <t>510-562-1501</t>
  </si>
  <si>
    <t>7229 International Blvd</t>
  </si>
  <si>
    <t>Maria's Pupuseria</t>
  </si>
  <si>
    <t>650-439-9713</t>
  </si>
  <si>
    <t>17949 Kerry Court</t>
  </si>
  <si>
    <t>Lathrop</t>
  </si>
  <si>
    <t>650-439-7913</t>
  </si>
  <si>
    <t>Marin Beverage Outlet</t>
  </si>
  <si>
    <t>415-454-9463</t>
  </si>
  <si>
    <t>855 3rd Street</t>
  </si>
  <si>
    <t xml:space="preserve">      </t>
  </si>
  <si>
    <t>Marin Country Club</t>
  </si>
  <si>
    <t>Tiffany</t>
  </si>
  <si>
    <t>415-382-6700</t>
  </si>
  <si>
    <t>500 Country Club Drive</t>
  </si>
  <si>
    <t>Derick</t>
  </si>
  <si>
    <t>Nicole-A/P fax</t>
  </si>
  <si>
    <t>415-382-6045</t>
  </si>
  <si>
    <t>415-383-6703</t>
  </si>
  <si>
    <t>Marin General - Gift Shop</t>
  </si>
  <si>
    <t>Tec Ma516</t>
  </si>
  <si>
    <t>Gina/Nelson</t>
  </si>
  <si>
    <t>415-925-7263</t>
  </si>
  <si>
    <t>250 Bon Air</t>
  </si>
  <si>
    <t>Greenbrae</t>
  </si>
  <si>
    <t>70135 $9/each</t>
  </si>
  <si>
    <t>Marin Office Supply</t>
  </si>
  <si>
    <t>415-453-6638</t>
  </si>
  <si>
    <t>1925 Francisco Blvd E Ste 22</t>
  </si>
  <si>
    <t>Marin Resource Recovery</t>
  </si>
  <si>
    <t>Marco</t>
  </si>
  <si>
    <t>415-485-5647</t>
  </si>
  <si>
    <t>565 Jacoby Street</t>
  </si>
  <si>
    <t>nelson.alcantara@marinsanitary.com</t>
  </si>
  <si>
    <t>415-485-1509</t>
  </si>
  <si>
    <t>Marin Rod &amp; Gun Club</t>
  </si>
  <si>
    <t>Tec Ma1350</t>
  </si>
  <si>
    <t>Lenny</t>
  </si>
  <si>
    <t>415-456-8142</t>
  </si>
  <si>
    <t>2675 Francisco Blvd E.</t>
  </si>
  <si>
    <t>laidbacklenny1@yahoo.com</t>
  </si>
  <si>
    <t>laura a/p</t>
  </si>
  <si>
    <t>415-456-3123</t>
  </si>
  <si>
    <t>62285 $7ea</t>
  </si>
  <si>
    <t>P.O Box 493</t>
  </si>
  <si>
    <t>San Quentin</t>
  </si>
  <si>
    <t>Marina Parkway Liquors</t>
  </si>
  <si>
    <t>Sam 945</t>
  </si>
  <si>
    <t>707-642-2336</t>
  </si>
  <si>
    <t>4380 Sonoma Blvd</t>
  </si>
  <si>
    <t>*** USE BELOW FOR A/P **</t>
  </si>
  <si>
    <t>Marina Super</t>
  </si>
  <si>
    <t>SL5300</t>
  </si>
  <si>
    <t>415-346-7470</t>
  </si>
  <si>
    <t>2323 Chestnut Street</t>
  </si>
  <si>
    <t>marinasuperbusiness@gmail.com</t>
  </si>
  <si>
    <t>marinasuperap@gmail.com</t>
  </si>
  <si>
    <t>Esther Torres- Admin</t>
  </si>
  <si>
    <t>415-346-7511</t>
  </si>
  <si>
    <t>2323 CHESTNUT STREET</t>
  </si>
  <si>
    <t>Marinitas</t>
  </si>
  <si>
    <t>Micros</t>
  </si>
  <si>
    <t>Jeffrey</t>
  </si>
  <si>
    <t>415-454-8900</t>
  </si>
  <si>
    <t>218 Sir Francis Drake Blvd</t>
  </si>
  <si>
    <t>info@marinitas.net</t>
  </si>
  <si>
    <t xml:space="preserve">925XL </t>
  </si>
  <si>
    <t>218 Sir Francis Blvd</t>
  </si>
  <si>
    <t>Mariscos El Ajoyano</t>
  </si>
  <si>
    <t>Delfina Armenta</t>
  </si>
  <si>
    <t>650-513-9604</t>
  </si>
  <si>
    <t>650-281-3642</t>
  </si>
  <si>
    <t>19 N Kingston Street</t>
  </si>
  <si>
    <t>delfynaarnmenta@gmail.com</t>
  </si>
  <si>
    <t>Mariscos la Langosta</t>
  </si>
  <si>
    <t>Lilliana</t>
  </si>
  <si>
    <t>559-596-0762</t>
  </si>
  <si>
    <t>Tulare</t>
  </si>
  <si>
    <t>119 N. Uruapan Way</t>
  </si>
  <si>
    <t>Dinuba</t>
  </si>
  <si>
    <t>119 N. Uriapan Way</t>
  </si>
  <si>
    <t>Mark Lewis</t>
  </si>
  <si>
    <t>510-604-2172 c</t>
  </si>
  <si>
    <t>Mastick Senior Center</t>
  </si>
  <si>
    <t>510-506-6316</t>
  </si>
  <si>
    <t>1155 Santa Clara Ave</t>
  </si>
  <si>
    <t>Mauna Loa Hawaiian BBQ</t>
  </si>
  <si>
    <t>Wiefen Wu</t>
  </si>
  <si>
    <t>415-453-2003</t>
  </si>
  <si>
    <t>810 Third Street</t>
  </si>
  <si>
    <t>Mauro's Pasta</t>
  </si>
  <si>
    <t>Sven</t>
  </si>
  <si>
    <t>415-394-0585</t>
  </si>
  <si>
    <t>415-302-4558</t>
  </si>
  <si>
    <t>1601 Sir Francis Drake Blvd</t>
  </si>
  <si>
    <t>FairFax</t>
  </si>
  <si>
    <t>Mayflower Inn</t>
  </si>
  <si>
    <t>Sh A42s</t>
  </si>
  <si>
    <t>Tony</t>
  </si>
  <si>
    <t>415-453-1011</t>
  </si>
  <si>
    <t>415-823-2750</t>
  </si>
  <si>
    <t>1533 4th Street</t>
  </si>
  <si>
    <t>415-385-8481</t>
  </si>
  <si>
    <t>225-116 $39</t>
  </si>
  <si>
    <t>15-040</t>
  </si>
  <si>
    <t>Mayflower Market</t>
  </si>
  <si>
    <t>Angelo</t>
  </si>
  <si>
    <t>415-346-1700</t>
  </si>
  <si>
    <t>2498 Fillmore Street</t>
  </si>
  <si>
    <t>Mazra</t>
  </si>
  <si>
    <t xml:space="preserve">7x24  </t>
  </si>
  <si>
    <t>Depot</t>
  </si>
  <si>
    <t>Jordan</t>
  </si>
  <si>
    <t>415-316-6597</t>
  </si>
  <si>
    <t>504 San Bruno W</t>
  </si>
  <si>
    <t>McInnis Park Golf Center</t>
  </si>
  <si>
    <t>Erick</t>
  </si>
  <si>
    <t>415-491-5961</t>
  </si>
  <si>
    <t>415-250-3658</t>
  </si>
  <si>
    <t>350 Smith Ranch Road</t>
  </si>
  <si>
    <t>erick@mcinnisparkgolfcenter.com</t>
  </si>
  <si>
    <t>payables@cmungle.com</t>
  </si>
  <si>
    <t>&lt;-- AP email</t>
  </si>
  <si>
    <t>Serahan</t>
  </si>
  <si>
    <t>415-491-5959</t>
  </si>
  <si>
    <t>Ferhan</t>
  </si>
  <si>
    <t>415-302-7067</t>
  </si>
  <si>
    <t>JEANNE/CAROL AP</t>
  </si>
  <si>
    <t>707-778-1716</t>
  </si>
  <si>
    <t>Server Room</t>
  </si>
  <si>
    <t>415-491-5968</t>
  </si>
  <si>
    <t>415-492-1950</t>
  </si>
  <si>
    <t>350 SMITH RANCH ROAD</t>
  </si>
  <si>
    <t>Mediterranean Pizza and Gryos</t>
  </si>
  <si>
    <t>Saylamee</t>
  </si>
  <si>
    <t>650-458-3018</t>
  </si>
  <si>
    <t>650-458-1159</t>
  </si>
  <si>
    <t>1199 Broadway Suite 1</t>
  </si>
  <si>
    <t>Mersea Restaurant</t>
  </si>
  <si>
    <t>Vernon</t>
  </si>
  <si>
    <t>415-999-9836</t>
  </si>
  <si>
    <t>699 Avenue of Palms-Treasure Isl</t>
  </si>
  <si>
    <t>Mesquite Mexican Cuisine</t>
  </si>
  <si>
    <t>Claudia Vazquez</t>
  </si>
  <si>
    <t>916-984-8607</t>
  </si>
  <si>
    <t>916-826-3555 cell</t>
  </si>
  <si>
    <t>Folsom</t>
  </si>
  <si>
    <t>25095 Blue Ravine Road</t>
  </si>
  <si>
    <t>claudiamesquite@gmail.com</t>
  </si>
  <si>
    <t>mexquitechris@gmail.com</t>
  </si>
  <si>
    <t>916-817-2357</t>
  </si>
  <si>
    <t>Mi Casa Café</t>
  </si>
  <si>
    <t>Alvaro</t>
  </si>
  <si>
    <t>415-482-6581</t>
  </si>
  <si>
    <t>85 Woodland Avenue</t>
  </si>
  <si>
    <t>Ingrid</t>
  </si>
  <si>
    <t>Mi Casa Grill</t>
  </si>
  <si>
    <t>Blanca</t>
  </si>
  <si>
    <t>510-672-5182</t>
  </si>
  <si>
    <t>Richmnd</t>
  </si>
  <si>
    <t>12056 San Pablo Ave</t>
  </si>
  <si>
    <t>micasatucasa.grill@gmail.com</t>
  </si>
  <si>
    <t>Mi Casita Mexican Cuisine</t>
  </si>
  <si>
    <t>Alexandria</t>
  </si>
  <si>
    <t>925-231-7227</t>
  </si>
  <si>
    <t>925-957-9517</t>
  </si>
  <si>
    <t>Mi Pueblo - Kentucky</t>
  </si>
  <si>
    <t>Sam4s 520</t>
  </si>
  <si>
    <t>707-769-9066</t>
  </si>
  <si>
    <t>108 Kentucky Street</t>
  </si>
  <si>
    <t>Mi Pueblo - Novato</t>
  </si>
  <si>
    <t>415-878-0122</t>
  </si>
  <si>
    <t>905 Grant Street</t>
  </si>
  <si>
    <t>Dbeatriz800@gmail.com</t>
  </si>
  <si>
    <t>905 Grant Ave</t>
  </si>
  <si>
    <t>Mi Pueblo - Petaluma Blvd</t>
  </si>
  <si>
    <t>707-762-8192</t>
  </si>
  <si>
    <t>800 Petaluma Blvd N</t>
  </si>
  <si>
    <t>Mi Ranchito Produce - Sunnyvale</t>
  </si>
  <si>
    <t>Walid</t>
  </si>
  <si>
    <t>408-245-1500</t>
  </si>
  <si>
    <t>259 E. Maude Avenue</t>
  </si>
  <si>
    <t>Sunnyvale</t>
  </si>
  <si>
    <t>Mi Rancho Market</t>
  </si>
  <si>
    <t>Sharp ER-247</t>
  </si>
  <si>
    <t>Max</t>
  </si>
  <si>
    <t>415-454-3344</t>
  </si>
  <si>
    <t>90 Belvedere</t>
  </si>
  <si>
    <t>sepillo78@hotmail.com</t>
  </si>
  <si>
    <t>Isaac</t>
  </si>
  <si>
    <t>Elmore</t>
  </si>
  <si>
    <t>Samual</t>
  </si>
  <si>
    <t>Midnight Sun</t>
  </si>
  <si>
    <t>415-861-4186</t>
  </si>
  <si>
    <t>4067 18th Street</t>
  </si>
  <si>
    <t>Mike's at the Crossroads - Cotati</t>
  </si>
  <si>
    <t>Lyndsey</t>
  </si>
  <si>
    <t>707-665-9999</t>
  </si>
  <si>
    <t>Cotati</t>
  </si>
  <si>
    <t>7665 Old Redwood Highway</t>
  </si>
  <si>
    <t>Dawn</t>
  </si>
  <si>
    <t>707-778-8333</t>
  </si>
  <si>
    <t>Mike's Market</t>
  </si>
  <si>
    <t>510-231-0579</t>
  </si>
  <si>
    <t>510-660-1360</t>
  </si>
  <si>
    <t>1434 Bissell Ave</t>
  </si>
  <si>
    <t>Mill Valley Swirl</t>
  </si>
  <si>
    <t>TEC MA1535</t>
  </si>
  <si>
    <t>Jeff Shine</t>
  </si>
  <si>
    <t>415-342-6537</t>
  </si>
  <si>
    <t>417 Miller Avenue #100</t>
  </si>
  <si>
    <t>Mission Emporium - women's clothing</t>
  </si>
  <si>
    <t>Norm</t>
  </si>
  <si>
    <t>415-648-1221</t>
  </si>
  <si>
    <t>2756 Mission Street</t>
  </si>
  <si>
    <t>Missouri Lounge</t>
  </si>
  <si>
    <t>Nima</t>
  </si>
  <si>
    <t>510-644-2922</t>
  </si>
  <si>
    <t>510-717-1003</t>
  </si>
  <si>
    <t>2600 San Pablo Avenue</t>
  </si>
  <si>
    <t>ali.eslami@outlook.com</t>
  </si>
  <si>
    <t>analogbooks@gmail.com</t>
  </si>
  <si>
    <t>Mix Bar</t>
  </si>
  <si>
    <t>SQUIRREL</t>
  </si>
  <si>
    <t>Ross Crum</t>
  </si>
  <si>
    <t>415-431-8616</t>
  </si>
  <si>
    <t>415-902-2380</t>
  </si>
  <si>
    <t>4086 18th Street</t>
  </si>
  <si>
    <t>Ryan Sherman</t>
  </si>
  <si>
    <t>361-549-3368</t>
  </si>
  <si>
    <t>Jose Espinoza</t>
  </si>
  <si>
    <t>415-509-5634</t>
  </si>
  <si>
    <t>Nicholas Kealy</t>
  </si>
  <si>
    <t>415-370-3390</t>
  </si>
  <si>
    <t>Mixiote</t>
  </si>
  <si>
    <t>Alma Rodriguez</t>
  </si>
  <si>
    <t>415-860-6781</t>
  </si>
  <si>
    <t>350 Mission St</t>
  </si>
  <si>
    <t>info@mixiotesf.com</t>
  </si>
  <si>
    <t xml:space="preserve">350 Mission St </t>
  </si>
  <si>
    <t>Moby Dick</t>
  </si>
  <si>
    <t>Joseph Capeletti</t>
  </si>
  <si>
    <t>415-861-1199</t>
  </si>
  <si>
    <t>4049 18th Street</t>
  </si>
  <si>
    <t>Molti Amici Restaurant</t>
  </si>
  <si>
    <t>Jonny Barr</t>
  </si>
  <si>
    <t>707-756-3169</t>
  </si>
  <si>
    <t>909-702-4911</t>
  </si>
  <si>
    <t>Heald</t>
  </si>
  <si>
    <t>330 Healdsburg Avenue</t>
  </si>
  <si>
    <t>barr@moltiamici.com</t>
  </si>
  <si>
    <t>Monica's Livermore</t>
  </si>
  <si>
    <t>Tiffany Bonner</t>
  </si>
  <si>
    <t>925-292-5568</t>
  </si>
  <si>
    <t>2074 Second Street</t>
  </si>
  <si>
    <t>monica@monicaslivermore.com</t>
  </si>
  <si>
    <t>tiffany@monicas2074.com</t>
  </si>
  <si>
    <t>925-550-0590</t>
  </si>
  <si>
    <t>Monica's Riverview</t>
  </si>
  <si>
    <t>Monica Barajas</t>
  </si>
  <si>
    <t>925-757-2272</t>
  </si>
  <si>
    <t>925-550-0590 cell</t>
  </si>
  <si>
    <t>1 I St</t>
  </si>
  <si>
    <t>Monti's Rotisserie &amp; Bar</t>
  </si>
  <si>
    <t>707-568-4404</t>
  </si>
  <si>
    <t>714 Village Court</t>
  </si>
  <si>
    <t>info@montismv.com</t>
  </si>
  <si>
    <t>Mariah</t>
  </si>
  <si>
    <t>Moon 283 Market</t>
  </si>
  <si>
    <t>951-790-1274</t>
  </si>
  <si>
    <t>8920 Limonite Way</t>
  </si>
  <si>
    <t>Jurupa Valley</t>
  </si>
  <si>
    <t>Moonscoops</t>
  </si>
  <si>
    <t>Marina</t>
  </si>
  <si>
    <t>110 General Stilwell Drive #104</t>
  </si>
  <si>
    <t xml:space="preserve">Marina  </t>
  </si>
  <si>
    <t>yum@moonscoops.com</t>
  </si>
  <si>
    <t>Mosaic 4 Points Sheraton</t>
  </si>
  <si>
    <t>Robi</t>
  </si>
  <si>
    <t>408-282-8888</t>
  </si>
  <si>
    <t>211 South First Street</t>
  </si>
  <si>
    <t>tjsb23@gmail.com</t>
  </si>
  <si>
    <t>les@mosaicdowntown.com</t>
  </si>
  <si>
    <t>Todd in Artesia</t>
  </si>
  <si>
    <t>562-402-2202</t>
  </si>
  <si>
    <t>Randy-cell</t>
  </si>
  <si>
    <t>954-648-9919</t>
  </si>
  <si>
    <t>Ash</t>
  </si>
  <si>
    <t>Les</t>
  </si>
  <si>
    <t>510-375-9425</t>
  </si>
  <si>
    <t>408-282-8850</t>
  </si>
  <si>
    <t xml:space="preserve">211 South FIRST ST </t>
  </si>
  <si>
    <t>Mountain Mike's - Newark</t>
  </si>
  <si>
    <t>Gurdeep</t>
  </si>
  <si>
    <t>510-494-8177</t>
  </si>
  <si>
    <t>510-209-9637</t>
  </si>
  <si>
    <t>5333 Thornton Avenue</t>
  </si>
  <si>
    <t>bhandalgurdeep@yahoo.com</t>
  </si>
  <si>
    <t>Mountain Mike's - Santa Clara</t>
  </si>
  <si>
    <t>408-246-3900</t>
  </si>
  <si>
    <t>1290 Franklin Mall</t>
  </si>
  <si>
    <t>Mountain Mike's - Vallejo</t>
  </si>
  <si>
    <t>Bobby</t>
  </si>
  <si>
    <t>707-980-6696</t>
  </si>
  <si>
    <t>Mountain Mike's- American Canyon</t>
  </si>
  <si>
    <t>Pal</t>
  </si>
  <si>
    <t>707-563-5505</t>
  </si>
  <si>
    <t>Sol</t>
  </si>
  <si>
    <t>410 Napa Junction Road # 106</t>
  </si>
  <si>
    <t>American Canyon</t>
  </si>
  <si>
    <t>Mountain Mike's- San Carlos</t>
  </si>
  <si>
    <t>650-366-9090</t>
  </si>
  <si>
    <t>774 El Camino Real</t>
  </si>
  <si>
    <t>San Carlos</t>
  </si>
  <si>
    <t>Mountain Mike's- Vallejo #2</t>
  </si>
  <si>
    <t>707-515-6930</t>
  </si>
  <si>
    <t>972 Admiral Callaghan Lane</t>
  </si>
  <si>
    <t>973 Admiral Callaghan Lane</t>
  </si>
  <si>
    <t>Moylan's</t>
  </si>
  <si>
    <t>Melissa</t>
  </si>
  <si>
    <t>415-898-4677</t>
  </si>
  <si>
    <t>15 Rowland Way</t>
  </si>
  <si>
    <t>chris@moylans.com</t>
  </si>
  <si>
    <t>415-328-7043</t>
  </si>
  <si>
    <t>415-897-0100</t>
  </si>
  <si>
    <t>15 ROWLAND WAY</t>
  </si>
  <si>
    <t>Mr. T's Liquor Locker</t>
  </si>
  <si>
    <t>Kin</t>
  </si>
  <si>
    <t>408-280-1986</t>
  </si>
  <si>
    <t>900 Lincoln Ave</t>
  </si>
  <si>
    <t>Mulberry Street Pizzeria</t>
  </si>
  <si>
    <t>415-472-7272</t>
  </si>
  <si>
    <t>101 Smith Ranch Road, Suite C</t>
  </si>
  <si>
    <t>Musashi - Porter Ranch Rinaldi</t>
  </si>
  <si>
    <t>Loretta Yokoyama</t>
  </si>
  <si>
    <t>818-360-8884</t>
  </si>
  <si>
    <t>818-464-5038</t>
  </si>
  <si>
    <t>19713 Rinaldi St</t>
  </si>
  <si>
    <t>Porter Ranch</t>
  </si>
  <si>
    <t>lorettayokoyama@gmail.com</t>
  </si>
  <si>
    <t>818-832-6606</t>
  </si>
  <si>
    <t>N.C.C. Corp</t>
  </si>
  <si>
    <t>RHQ resid</t>
  </si>
  <si>
    <t>Chuck Prince</t>
  </si>
  <si>
    <t>864-233-8824</t>
  </si>
  <si>
    <t>122 Park Place Court</t>
  </si>
  <si>
    <t>NC</t>
  </si>
  <si>
    <t xml:space="preserve">     </t>
  </si>
  <si>
    <t>Nash &amp; Tender - Lodi</t>
  </si>
  <si>
    <t>123 W Elm St</t>
  </si>
  <si>
    <t>nash.tender2019@gmail.com</t>
  </si>
  <si>
    <t>209-625-8516</t>
  </si>
  <si>
    <t>National Liquors</t>
  </si>
  <si>
    <t>TE8500F</t>
  </si>
  <si>
    <t>Sing</t>
  </si>
  <si>
    <t>925-674-1116</t>
  </si>
  <si>
    <t>1683 Contra Costa Blvd</t>
  </si>
  <si>
    <t>Natural Sensations</t>
  </si>
  <si>
    <t>415-307-9317 cell</t>
  </si>
  <si>
    <t>1650 Holloway  # 134</t>
  </si>
  <si>
    <t>sfsucafe101@gmail.com</t>
  </si>
  <si>
    <t>1650 Holloway  #134</t>
  </si>
  <si>
    <t>Nature Stop</t>
  </si>
  <si>
    <t>TE7000S</t>
  </si>
  <si>
    <t>Nader</t>
  </si>
  <si>
    <t>415-398-3810</t>
  </si>
  <si>
    <t>1336 Grant Avenue</t>
  </si>
  <si>
    <t xml:space="preserve">1336 Grant Avenue </t>
  </si>
  <si>
    <t>Nature's Own Health Foods</t>
  </si>
  <si>
    <t>TEC MA 516</t>
  </si>
  <si>
    <t>Kathleen</t>
  </si>
  <si>
    <t>707-994-3080</t>
  </si>
  <si>
    <t>ClearLk</t>
  </si>
  <si>
    <t>14089 Lakeshore Drive</t>
  </si>
  <si>
    <t>ClearLake</t>
  </si>
  <si>
    <t>Clear Lake</t>
  </si>
  <si>
    <t>New Char Siu House</t>
  </si>
  <si>
    <t>808-536-1588</t>
  </si>
  <si>
    <t>808-398-3882</t>
  </si>
  <si>
    <t>1134 Maunakea Street</t>
  </si>
  <si>
    <t>Honoluli</t>
  </si>
  <si>
    <t>HI</t>
  </si>
  <si>
    <t>Honolulu</t>
  </si>
  <si>
    <t>New Delhi Indian Cuisine</t>
  </si>
  <si>
    <t>Sam4s ER945</t>
  </si>
  <si>
    <t>Gurdev</t>
  </si>
  <si>
    <t>415-295-7162</t>
  </si>
  <si>
    <t>510-908-3573 cell</t>
  </si>
  <si>
    <t>704 4th St</t>
  </si>
  <si>
    <t>New Wayne's Liquor</t>
  </si>
  <si>
    <t>Sam4s SPS-520</t>
  </si>
  <si>
    <t>Nelson</t>
  </si>
  <si>
    <t>415-433-3317</t>
  </si>
  <si>
    <t>911 Kearny Street</t>
  </si>
  <si>
    <t>NewZ Smoke Shop</t>
  </si>
  <si>
    <t>SAM4S SAP630 RT</t>
  </si>
  <si>
    <t>Abe &amp; Jesse</t>
  </si>
  <si>
    <t>415-271-9724 Abe</t>
  </si>
  <si>
    <t>151 D Sunset Blvd</t>
  </si>
  <si>
    <t>Suisun City</t>
  </si>
  <si>
    <t xml:space="preserve">415-271-9724 </t>
  </si>
  <si>
    <t>Nieves Mangoman</t>
  </si>
  <si>
    <t>Felipe Vivanco</t>
  </si>
  <si>
    <t xml:space="preserve">1715 A Street </t>
  </si>
  <si>
    <t>1715 A Street</t>
  </si>
  <si>
    <t>Nordic House</t>
  </si>
  <si>
    <t>Pia</t>
  </si>
  <si>
    <t>510-705-1932</t>
  </si>
  <si>
    <t>2709 San Pablo Avenue</t>
  </si>
  <si>
    <t>Norman's Grill</t>
  </si>
  <si>
    <t>Donna/Daniel</t>
  </si>
  <si>
    <t>510-733-6300</t>
  </si>
  <si>
    <t>925-818-6035</t>
  </si>
  <si>
    <t>3638 Castro Valley Blvd Suite C2</t>
  </si>
  <si>
    <t>O2 Eatery</t>
  </si>
  <si>
    <t>Michele</t>
  </si>
  <si>
    <t>510-520-0984</t>
  </si>
  <si>
    <t>1746 Solano Way</t>
  </si>
  <si>
    <t>maxstick</t>
  </si>
  <si>
    <t>1746 Solano Avenue</t>
  </si>
  <si>
    <t>Oak Park Liquor</t>
  </si>
  <si>
    <t>Raj</t>
  </si>
  <si>
    <t>925-934-1511</t>
  </si>
  <si>
    <t>1895 Oak Park Blvd</t>
  </si>
  <si>
    <t>Oakland Kosher</t>
  </si>
  <si>
    <t>Yuval</t>
  </si>
  <si>
    <t>510-839-0177</t>
  </si>
  <si>
    <t>925-698-9803 Jerry</t>
  </si>
  <si>
    <t>3419 Lakeshore Ave</t>
  </si>
  <si>
    <t>Oceanview Diner</t>
  </si>
  <si>
    <t>MP</t>
  </si>
  <si>
    <t>William Bishop</t>
  </si>
  <si>
    <t>510-644-3230</t>
  </si>
  <si>
    <t>707-484-3470</t>
  </si>
  <si>
    <t>1807 4th St</t>
  </si>
  <si>
    <t>ODD Tea &amp; More</t>
  </si>
  <si>
    <t>Kim Nguyen</t>
  </si>
  <si>
    <t>832-534-1409</t>
  </si>
  <si>
    <t>14040 Farm to Market 2920 Suite C</t>
  </si>
  <si>
    <t>Tomball</t>
  </si>
  <si>
    <t>oddteaandmore@gmail.com</t>
  </si>
  <si>
    <t>Old Chicago Pizza</t>
  </si>
  <si>
    <t>707-763-3897</t>
  </si>
  <si>
    <t>41 Petaluma Blvd</t>
  </si>
  <si>
    <t>ocp@sonic.net</t>
  </si>
  <si>
    <t>kimm@pdfbookkeeping.net</t>
  </si>
  <si>
    <t>707-763-2974</t>
  </si>
  <si>
    <t xml:space="preserve">Old Chicago Pizza Delivery </t>
  </si>
  <si>
    <t>Audrey</t>
  </si>
  <si>
    <t>1390 N. McDowell</t>
  </si>
  <si>
    <t>1390 N. McDowell Blvd</t>
  </si>
  <si>
    <t>Oracle Park</t>
  </si>
  <si>
    <t>Charlie</t>
  </si>
  <si>
    <t>415-250-4077</t>
  </si>
  <si>
    <t>24 Willie Mays Plaza</t>
  </si>
  <si>
    <t>San Fracisco</t>
  </si>
  <si>
    <t>0ca</t>
  </si>
  <si>
    <t>charlie.cross@cafebonappetit.com</t>
  </si>
  <si>
    <t>Osso Steakhouse</t>
  </si>
  <si>
    <t>1177 California Street</t>
  </si>
  <si>
    <t>Pacifico Restaurente Mexicano</t>
  </si>
  <si>
    <t>Jorge</t>
  </si>
  <si>
    <t>707-942-4400</t>
  </si>
  <si>
    <t>1237 Lincoln Ave</t>
  </si>
  <si>
    <t>pacificorestaurante1237@gmail.com</t>
  </si>
  <si>
    <t>sal@pacificores.com</t>
  </si>
  <si>
    <t>1009 Foothill Blvd</t>
  </si>
  <si>
    <t>Pancho Villa Taqueria - SF</t>
  </si>
  <si>
    <t>415-864-8840</t>
  </si>
  <si>
    <t>3071 16th Street</t>
  </si>
  <si>
    <t xml:space="preserve">TN450  </t>
  </si>
  <si>
    <t>Panda Restaurant Group</t>
  </si>
  <si>
    <t>NCR</t>
  </si>
  <si>
    <t>JS750NCR  CD</t>
  </si>
  <si>
    <t>Jennifer Chao</t>
  </si>
  <si>
    <t>626-372-8132</t>
  </si>
  <si>
    <t>1683 Walnut Grove Avenue</t>
  </si>
  <si>
    <t>Rosemead</t>
  </si>
  <si>
    <t>kayo.asakura@pandarg.com</t>
  </si>
  <si>
    <t>KAYO</t>
  </si>
  <si>
    <t>X8812</t>
  </si>
  <si>
    <t>Alicia Cuellar</t>
  </si>
  <si>
    <t>626-403-8688</t>
  </si>
  <si>
    <t>626-372-8905</t>
  </si>
  <si>
    <t>626-799-9898</t>
  </si>
  <si>
    <t>Panzon</t>
  </si>
  <si>
    <t>Tec Fs1350</t>
  </si>
  <si>
    <t>Salvador Guillern</t>
  </si>
  <si>
    <t>415-543-3663</t>
  </si>
  <si>
    <t>53 Stevenson Street</t>
  </si>
  <si>
    <t>info@thepanzon.com</t>
  </si>
  <si>
    <t>415-543-3661</t>
  </si>
  <si>
    <t>Papermill Creek Saloon</t>
  </si>
  <si>
    <t>Sam ER945</t>
  </si>
  <si>
    <t>Jared</t>
  </si>
  <si>
    <t>415-488-9235</t>
  </si>
  <si>
    <t>1 Castro Avenue</t>
  </si>
  <si>
    <t>Forest Knolls</t>
  </si>
  <si>
    <t>Rebecca=owner</t>
  </si>
  <si>
    <t>Paradise Park Café</t>
  </si>
  <si>
    <t>510-756-3131</t>
  </si>
  <si>
    <t>6334 San Pablo Avenue</t>
  </si>
  <si>
    <t>Paradise Wine &amp; Spirits</t>
  </si>
  <si>
    <t>Sam SAP-630</t>
  </si>
  <si>
    <t>Monty</t>
  </si>
  <si>
    <t>415-924-8739</t>
  </si>
  <si>
    <t>5641 Paradise Drive</t>
  </si>
  <si>
    <t>5641 Paradise Way</t>
  </si>
  <si>
    <t>Parson's Lumber &amp; Hardware</t>
  </si>
  <si>
    <t>Alan</t>
  </si>
  <si>
    <t>707-996-1008</t>
  </si>
  <si>
    <t>17800 Sonoma Hwy</t>
  </si>
  <si>
    <t>Boyes Hot Springs</t>
  </si>
  <si>
    <t>alanj516@gmail.com</t>
  </si>
  <si>
    <t>Peacock Gap Golf Club  ++5000++</t>
  </si>
  <si>
    <t>Ross</t>
  </si>
  <si>
    <t>415-453-4940x211</t>
  </si>
  <si>
    <t>337 Biscayne Drive</t>
  </si>
  <si>
    <t>hp_pg@peacockgapgolfclub.com</t>
  </si>
  <si>
    <t>US942167713500</t>
  </si>
  <si>
    <t>C/O SYUFY Enterprises</t>
  </si>
  <si>
    <t>PO BOX 42549</t>
  </si>
  <si>
    <t>Indianapolis</t>
  </si>
  <si>
    <t>In</t>
  </si>
  <si>
    <t>Pelton Café</t>
  </si>
  <si>
    <t xml:space="preserve">Luis </t>
  </si>
  <si>
    <t>510-483-0943</t>
  </si>
  <si>
    <t>510-329-1490</t>
  </si>
  <si>
    <t>194 Pelton Center Way</t>
  </si>
  <si>
    <t>peltoncafe1@attt.net</t>
  </si>
  <si>
    <t>Martha</t>
  </si>
  <si>
    <t>Pepito's - Canyon Crest</t>
  </si>
  <si>
    <t>Miguel/Amisha</t>
  </si>
  <si>
    <t>951-788-2652</t>
  </si>
  <si>
    <t>909-253-8502</t>
  </si>
  <si>
    <t>5225 Canyon Crest Dr</t>
  </si>
  <si>
    <t>office@pepitosfood.com</t>
  </si>
  <si>
    <t>5225 Canyon Crest</t>
  </si>
  <si>
    <t>Pepito's- Trautwein</t>
  </si>
  <si>
    <t>Eduardo</t>
  </si>
  <si>
    <t>951-500-3677</t>
  </si>
  <si>
    <t>6539 Magnolia Avenue</t>
  </si>
  <si>
    <t>pepitos-restaurant@hotmail.com</t>
  </si>
  <si>
    <t>15303 $28</t>
  </si>
  <si>
    <t>Perle Wine Bar</t>
  </si>
  <si>
    <t>KR</t>
  </si>
  <si>
    <t>Dino</t>
  </si>
  <si>
    <t>510-808-7767</t>
  </si>
  <si>
    <t>2058 Mountain Blvd</t>
  </si>
  <si>
    <t>info@townsquareeats.com</t>
  </si>
  <si>
    <t>perleoak@gmail.com</t>
  </si>
  <si>
    <t>&lt;-- main email 10/5/20</t>
  </si>
  <si>
    <t>510-808-7677</t>
  </si>
  <si>
    <t>Pet Central</t>
  </si>
  <si>
    <t>TEC MA1350</t>
  </si>
  <si>
    <t>415-399-0164</t>
  </si>
  <si>
    <t>1411 Powell Street</t>
  </si>
  <si>
    <t>415-399-0195</t>
  </si>
  <si>
    <t>Pet Food Express - Corp</t>
  </si>
  <si>
    <t>CAS API-30</t>
  </si>
  <si>
    <t>Francesca Greene</t>
  </si>
  <si>
    <t>510-346-7777</t>
  </si>
  <si>
    <t>510-924-3305</t>
  </si>
  <si>
    <t>pfe@ework.bigskytech.com</t>
  </si>
  <si>
    <t>510-347-4610</t>
  </si>
  <si>
    <t>Pete's 881 Club</t>
  </si>
  <si>
    <t>Kaeli Newkirk</t>
  </si>
  <si>
    <t>415-453-5888</t>
  </si>
  <si>
    <t>415-828-7223 cell</t>
  </si>
  <si>
    <t>721 Lincoln Avenue</t>
  </si>
  <si>
    <t>petes881@gmail.com</t>
  </si>
  <si>
    <t>721 Lincoln Ave</t>
  </si>
  <si>
    <t>Petite Left Bank</t>
  </si>
  <si>
    <t>Frank</t>
  </si>
  <si>
    <t>415-910-1010</t>
  </si>
  <si>
    <t>1696 Tiburon Blvd</t>
  </si>
  <si>
    <t>Petrified Forest Gift Shop</t>
  </si>
  <si>
    <t>RENTAL</t>
  </si>
  <si>
    <t>Janet</t>
  </si>
  <si>
    <t>707-942-6667</t>
  </si>
  <si>
    <t>707-332-6643 cell</t>
  </si>
  <si>
    <t>4100 Petrified Forest Road</t>
  </si>
  <si>
    <t>pforest@sonic.net</t>
  </si>
  <si>
    <t>Pho</t>
  </si>
  <si>
    <t>Boi</t>
  </si>
  <si>
    <t>415-419-5367</t>
  </si>
  <si>
    <t>75 Bellam</t>
  </si>
  <si>
    <t>San Refael</t>
  </si>
  <si>
    <t>CA</t>
  </si>
  <si>
    <t>Pho Real Kitchen &amp; Bar</t>
  </si>
  <si>
    <t>Van Thanh Thi Tran</t>
  </si>
  <si>
    <t>515-630-3552</t>
  </si>
  <si>
    <t>200 4th St</t>
  </si>
  <si>
    <t>Des Moines</t>
  </si>
  <si>
    <t>IA</t>
  </si>
  <si>
    <t>vynguyennn@gmail.com</t>
  </si>
  <si>
    <t>Phyllis' Giant Burger - Mill Valley</t>
  </si>
  <si>
    <t>415-381-6010</t>
  </si>
  <si>
    <t>8 East Blithedale</t>
  </si>
  <si>
    <t>8 E BLITHEDALE AVE</t>
  </si>
  <si>
    <t>Phyllis' Giant Burger - Piner Rd</t>
  </si>
  <si>
    <t>Scott Kim</t>
  </si>
  <si>
    <t>707-521-0890</t>
  </si>
  <si>
    <t>415-317-2652</t>
  </si>
  <si>
    <t>1774 Piner Rd</t>
  </si>
  <si>
    <t>Phyllis' Giant Burger - Sonoma Hwy</t>
  </si>
  <si>
    <t>707-538-4000</t>
  </si>
  <si>
    <t>4910 Sonoma Highway</t>
  </si>
  <si>
    <t>Picante</t>
  </si>
  <si>
    <t>Gabe</t>
  </si>
  <si>
    <t>415-485-6050</t>
  </si>
  <si>
    <t>480-577-0607</t>
  </si>
  <si>
    <t>340 Bellam Blvd</t>
  </si>
  <si>
    <t>340 BELLAM BLVD</t>
  </si>
  <si>
    <t>Picante- El Cerrito</t>
  </si>
  <si>
    <t>Arturo</t>
  </si>
  <si>
    <t>925-528-6126</t>
  </si>
  <si>
    <t>10012 San Pablo Avenue</t>
  </si>
  <si>
    <t>10012 San Pablo Ave</t>
  </si>
  <si>
    <t>Pick N' Go</t>
  </si>
  <si>
    <t>707-765-3965</t>
  </si>
  <si>
    <t>707-490-4690</t>
  </si>
  <si>
    <t>905 E. Washington Street</t>
  </si>
  <si>
    <t>Placerville News</t>
  </si>
  <si>
    <t>Mary</t>
  </si>
  <si>
    <t>530-622-4510</t>
  </si>
  <si>
    <t>Placerville</t>
  </si>
  <si>
    <t>409 Main Street</t>
  </si>
  <si>
    <t xml:space="preserve">Ca  </t>
  </si>
  <si>
    <t>email@pvillenews.com</t>
  </si>
  <si>
    <t>Playa Restaurant</t>
  </si>
  <si>
    <t>415-384-8871</t>
  </si>
  <si>
    <t>41 Throckmorton Avenue</t>
  </si>
  <si>
    <t>tiffany.deaton@realrestaurants.com</t>
  </si>
  <si>
    <t>AP= Tiffany Deaton</t>
  </si>
  <si>
    <t>Poggio Trattoria</t>
  </si>
  <si>
    <t>415-332-7771</t>
  </si>
  <si>
    <t>777 Bridgeway</t>
  </si>
  <si>
    <t xml:space="preserve">gm@poggiotrattoria.com </t>
  </si>
  <si>
    <t>amy@poggiotrattoria.com</t>
  </si>
  <si>
    <t>Point Richmond Market &amp; Deli</t>
  </si>
  <si>
    <t>Sam4s SPS-630</t>
  </si>
  <si>
    <t>Ben</t>
  </si>
  <si>
    <t>424-230-4423</t>
  </si>
  <si>
    <t>160 Washington Ave</t>
  </si>
  <si>
    <t>Ponyo Foods</t>
  </si>
  <si>
    <t>Vivian</t>
  </si>
  <si>
    <t>650-652-4881</t>
  </si>
  <si>
    <t>403 Broadway</t>
  </si>
  <si>
    <t>Port of Subs- Suisun</t>
  </si>
  <si>
    <t>707-422-7762</t>
  </si>
  <si>
    <t>274 Sunset Ave, Suite C</t>
  </si>
  <si>
    <t>274 Sunset Ave</t>
  </si>
  <si>
    <t>Precita Park Café</t>
  </si>
  <si>
    <t>Produce Pro</t>
  </si>
  <si>
    <t>831-512-4376</t>
  </si>
  <si>
    <t>2314 San Pablo Avenue</t>
  </si>
  <si>
    <t>office@producepromarket.com</t>
  </si>
  <si>
    <t>510-893-2222</t>
  </si>
  <si>
    <t>Pub Republic</t>
  </si>
  <si>
    <t>Jory Bergman</t>
  </si>
  <si>
    <t>707-782-9090</t>
  </si>
  <si>
    <t>3120 Lakeville Highway</t>
  </si>
  <si>
    <t>info@pubrepublicusa.com</t>
  </si>
  <si>
    <t>jory@pubrepublicusa.com</t>
  </si>
  <si>
    <t>ap@pubrepublicusa.com</t>
  </si>
  <si>
    <t>Lucy Crawford</t>
  </si>
  <si>
    <t>707-292-1692</t>
  </si>
  <si>
    <t>Puerto Vallarta Market</t>
  </si>
  <si>
    <t>Vicki</t>
  </si>
  <si>
    <t>707-942-1637</t>
  </si>
  <si>
    <t xml:space="preserve">#1493 </t>
  </si>
  <si>
    <t>1237 Lincoln Avenue</t>
  </si>
  <si>
    <t>Punta Azul</t>
  </si>
  <si>
    <t>Daniel Delavega</t>
  </si>
  <si>
    <t>415-910-7787</t>
  </si>
  <si>
    <t>2426 San Bruno Avenue</t>
  </si>
  <si>
    <t>taquerialaskatrinas@gmail</t>
  </si>
  <si>
    <t>Pupuseria Blankita</t>
  </si>
  <si>
    <t>Blankita/Ramon</t>
  </si>
  <si>
    <t>415-785-3443</t>
  </si>
  <si>
    <t>415-599-6561</t>
  </si>
  <si>
    <t>48 N San Pedro Road</t>
  </si>
  <si>
    <t>Purity Market</t>
  </si>
  <si>
    <t>707-964-0747</t>
  </si>
  <si>
    <t>242 N. Franklin Street</t>
  </si>
  <si>
    <t>707-964-6885</t>
  </si>
  <si>
    <t>1911B</t>
  </si>
  <si>
    <t>Quarter LB Big Burger</t>
  </si>
  <si>
    <t>Sandra</t>
  </si>
  <si>
    <t>925-228-3792</t>
  </si>
  <si>
    <t>3792 Pacheco Blvd</t>
  </si>
  <si>
    <t>925-228-9941</t>
  </si>
  <si>
    <t>Quick Mart</t>
  </si>
  <si>
    <t>Rasahaun</t>
  </si>
  <si>
    <t>650-733-7634</t>
  </si>
  <si>
    <t>2480 Skyline Blvd</t>
  </si>
  <si>
    <t>Quince Restaurant</t>
  </si>
  <si>
    <t>470 Pacific Street</t>
  </si>
  <si>
    <t>470 Pacific Avenue</t>
  </si>
  <si>
    <t>Rabalais Bistro</t>
  </si>
  <si>
    <t>Leo/David (owner</t>
  </si>
  <si>
    <t>805-525-2109</t>
  </si>
  <si>
    <t>805-218-3466</t>
  </si>
  <si>
    <t>S.Paula</t>
  </si>
  <si>
    <t>861 Main Street</t>
  </si>
  <si>
    <t>Santa Paula</t>
  </si>
  <si>
    <t>David Lippert</t>
  </si>
  <si>
    <t>805-701-3890</t>
  </si>
  <si>
    <t xml:space="preserve">cc235  </t>
  </si>
  <si>
    <t>Rail Sports Bar &amp; Club</t>
  </si>
  <si>
    <t>Max Lee</t>
  </si>
  <si>
    <t>510-219-2880</t>
  </si>
  <si>
    <t>650-622-9708</t>
  </si>
  <si>
    <t>612 El Camino Real</t>
  </si>
  <si>
    <t>johnlee@mrlbayarea.com</t>
  </si>
  <si>
    <t>Raja Sweets &amp; Indian Cuisine</t>
  </si>
  <si>
    <t>Makhan Bains</t>
  </si>
  <si>
    <t>510-489-9100</t>
  </si>
  <si>
    <t>510-715-1619</t>
  </si>
  <si>
    <t>31853 Alvarado Blvd</t>
  </si>
  <si>
    <t>msbains@rajasweets.com</t>
  </si>
  <si>
    <t>Ramon's Mexican Restaurant</t>
  </si>
  <si>
    <t>Roberto Lopez</t>
  </si>
  <si>
    <t>661-256-4602</t>
  </si>
  <si>
    <t>661-609-8068</t>
  </si>
  <si>
    <t>1431 W Rosemond Blvd, Ste 10</t>
  </si>
  <si>
    <t>Rosamond</t>
  </si>
  <si>
    <t>roberto06750@yahoo.com</t>
  </si>
  <si>
    <t>67-240</t>
  </si>
  <si>
    <t>Ramp Restaurant</t>
  </si>
  <si>
    <t>Josephine- GM</t>
  </si>
  <si>
    <t>415-621-2378</t>
  </si>
  <si>
    <t>835 Terry A Francois Blvd</t>
  </si>
  <si>
    <t>accounting@rampsf.com</t>
  </si>
  <si>
    <t>BEN A/P</t>
  </si>
  <si>
    <t>626-3470</t>
  </si>
  <si>
    <t>orchid</t>
  </si>
  <si>
    <t>415-449-9172</t>
  </si>
  <si>
    <t>415-449-9173</t>
  </si>
  <si>
    <t>835 Terry A Francois Street</t>
  </si>
  <si>
    <t>Rancho Nicasio</t>
  </si>
  <si>
    <t>Max Brown</t>
  </si>
  <si>
    <t>415-662-2219</t>
  </si>
  <si>
    <t>415-264-6859</t>
  </si>
  <si>
    <t>#1 Old Rancheria Road</t>
  </si>
  <si>
    <t>Nicasio</t>
  </si>
  <si>
    <t>ranchoinfo@ranchonicasio.com</t>
  </si>
  <si>
    <t>Sandra Home</t>
  </si>
  <si>
    <t>415-785-8227</t>
  </si>
  <si>
    <t>Sandra Cell</t>
  </si>
  <si>
    <t>510-910-0913</t>
  </si>
  <si>
    <t>#1 OLD RANCHERIA ROAD</t>
  </si>
  <si>
    <t>Rangoon Ruby's- Palo Alto</t>
  </si>
  <si>
    <t>Esther</t>
  </si>
  <si>
    <t>650-323-6543</t>
  </si>
  <si>
    <t>445 Emerson Street</t>
  </si>
  <si>
    <t>Ray's Food Center</t>
  </si>
  <si>
    <t>TEC 1595</t>
  </si>
  <si>
    <t>707-546-2508</t>
  </si>
  <si>
    <t>2455 Dutton Avenue</t>
  </si>
  <si>
    <t>707-578-2650</t>
  </si>
  <si>
    <t>Red Boy Pizza - Novato</t>
  </si>
  <si>
    <t>Marcelo</t>
  </si>
  <si>
    <t>415-382-7711</t>
  </si>
  <si>
    <t>415-244-2538</t>
  </si>
  <si>
    <t>454 Ignacio Boulevard</t>
  </si>
  <si>
    <t>Aram</t>
  </si>
  <si>
    <t>510-439-8224</t>
  </si>
  <si>
    <t>Redwood Bagel</t>
  </si>
  <si>
    <t>Tec FS1450/SAM4S ER900</t>
  </si>
  <si>
    <t>Sharon Nieh</t>
  </si>
  <si>
    <t>415-897-9007</t>
  </si>
  <si>
    <t>67655 $3.25/e</t>
  </si>
  <si>
    <t>Redwood Café - San Rafael</t>
  </si>
  <si>
    <t>Leo</t>
  </si>
  <si>
    <t>415-479-8989</t>
  </si>
  <si>
    <t>175 Paul Drive</t>
  </si>
  <si>
    <t>Emily</t>
  </si>
  <si>
    <t>Rest Inn Suites Motel</t>
  </si>
  <si>
    <t>Suki</t>
  </si>
  <si>
    <t>775-752-2277</t>
  </si>
  <si>
    <t>1509 E. Sixth Street</t>
  </si>
  <si>
    <t>Wells</t>
  </si>
  <si>
    <t>Revel &amp; Roost Kitchen</t>
  </si>
  <si>
    <t>Mark</t>
  </si>
  <si>
    <t>415-870-9946</t>
  </si>
  <si>
    <t>415-599-6383 cell</t>
  </si>
  <si>
    <t>901 B Street</t>
  </si>
  <si>
    <t>markedwardsbiz@gmail.com</t>
  </si>
  <si>
    <t xml:space="preserve">901 B Street </t>
  </si>
  <si>
    <t>415-599-6383</t>
  </si>
  <si>
    <t>Revival Clothing</t>
  </si>
  <si>
    <t>Melinda Sealander</t>
  </si>
  <si>
    <t>372 Main Street</t>
  </si>
  <si>
    <t>Lander</t>
  </si>
  <si>
    <t>WY</t>
  </si>
  <si>
    <t>sealander@wyoming.com</t>
  </si>
  <si>
    <t>Rex Ace Hardware</t>
  </si>
  <si>
    <t>Sam ER-260</t>
  </si>
  <si>
    <t>Jeff Tomasini</t>
  </si>
  <si>
    <t>707-762-7355</t>
  </si>
  <si>
    <t>707-484-6337</t>
  </si>
  <si>
    <t>313 B Street</t>
  </si>
  <si>
    <t>Carole</t>
  </si>
  <si>
    <t>70135 $7</t>
  </si>
  <si>
    <t>Richmond Park Bar &amp; Grill</t>
  </si>
  <si>
    <t>707-277-7240</t>
  </si>
  <si>
    <t>707-349-4416</t>
  </si>
  <si>
    <t>EL DOR</t>
  </si>
  <si>
    <t>9435 Konocti Bay Road</t>
  </si>
  <si>
    <t>Kelseyville</t>
  </si>
  <si>
    <t>Dstreckfus@aol.com</t>
  </si>
  <si>
    <t>tony@swipesuite.com</t>
  </si>
  <si>
    <t>415-898-3661</t>
  </si>
  <si>
    <t>707-944-2856</t>
  </si>
  <si>
    <t>9435 KONOCTI BAY ROAD</t>
  </si>
  <si>
    <t>707-277-7535</t>
  </si>
  <si>
    <t>Riley's Bar</t>
  </si>
  <si>
    <t>530-343-7459</t>
  </si>
  <si>
    <t>530-624-5350 cell</t>
  </si>
  <si>
    <t>702 W. 5th Street</t>
  </si>
  <si>
    <t>Terry AP</t>
  </si>
  <si>
    <t>530-342-8118</t>
  </si>
  <si>
    <t>Rio Adobe</t>
  </si>
  <si>
    <t>TEC  3600</t>
  </si>
  <si>
    <t>Jim Cargill</t>
  </si>
  <si>
    <t>408-873-1600</t>
  </si>
  <si>
    <t>408-497-6542</t>
  </si>
  <si>
    <t>10525 S. De Anza Blvd #100</t>
  </si>
  <si>
    <t>jim@rioadobe.com</t>
  </si>
  <si>
    <t>10525 S. DEANZA BLVD #100</t>
  </si>
  <si>
    <t>Risibisi Restaurant</t>
  </si>
  <si>
    <t>707-766-7600</t>
  </si>
  <si>
    <t>415-730-9794</t>
  </si>
  <si>
    <t>154 Petaluma Blvd North</t>
  </si>
  <si>
    <t>Jacob</t>
  </si>
  <si>
    <t>707-315-3320 cell</t>
  </si>
  <si>
    <t>707-766-7610</t>
  </si>
  <si>
    <t>River Front Café</t>
  </si>
  <si>
    <t>707-347-5147</t>
  </si>
  <si>
    <t>707-310-2505 cell</t>
  </si>
  <si>
    <t>224 B Street</t>
  </si>
  <si>
    <t>elias@ninonmotors.com</t>
  </si>
  <si>
    <t>Hadas</t>
  </si>
  <si>
    <t>707-328-3694</t>
  </si>
  <si>
    <t>707-647-5147</t>
  </si>
  <si>
    <t>River Time Restaurant &amp; Bar</t>
  </si>
  <si>
    <t>707-486-9907</t>
  </si>
  <si>
    <t>16225 Main Street</t>
  </si>
  <si>
    <t>Guerneville</t>
  </si>
  <si>
    <t>leslliecraine@gmail.com</t>
  </si>
  <si>
    <t>R'Noh Thai</t>
  </si>
  <si>
    <t>415-342-4840</t>
  </si>
  <si>
    <t>1000 Magnolia Avenue</t>
  </si>
  <si>
    <t>Roadside BBQ - RP</t>
  </si>
  <si>
    <t>707-206-9131</t>
  </si>
  <si>
    <t>Rohnert</t>
  </si>
  <si>
    <t>630 Park Court (Graton Casino MktPlace)</t>
  </si>
  <si>
    <t>Rohnert Park</t>
  </si>
  <si>
    <t>roadsidebbq8@gmail.com</t>
  </si>
  <si>
    <t>thebigguy@roadsidebbq.com</t>
  </si>
  <si>
    <t>Roadside BBQ - SR</t>
  </si>
  <si>
    <t>Toast</t>
  </si>
  <si>
    <t>Randy Kaplan</t>
  </si>
  <si>
    <t>415-479-7200</t>
  </si>
  <si>
    <t>415-261-2334</t>
  </si>
  <si>
    <t>5000 Northgate Mall #135</t>
  </si>
  <si>
    <t>Steve</t>
  </si>
  <si>
    <t>Randy Kaplan-owner</t>
  </si>
  <si>
    <t>415-479-7201</t>
  </si>
  <si>
    <t>415-472-7200</t>
  </si>
  <si>
    <t>Robata Grill</t>
  </si>
  <si>
    <t>415-381-8400</t>
  </si>
  <si>
    <t>415-987-0815</t>
  </si>
  <si>
    <t>591 Redwood Hwy</t>
  </si>
  <si>
    <t>415-461-7620</t>
  </si>
  <si>
    <t>Fred Home</t>
  </si>
  <si>
    <t>415-453-1178</t>
  </si>
  <si>
    <t>415-381-2942</t>
  </si>
  <si>
    <t>591 REDWOOD HWY</t>
  </si>
  <si>
    <t>Rocca Ristorante</t>
  </si>
  <si>
    <t>Orhan Kurt</t>
  </si>
  <si>
    <t>650-344-3900</t>
  </si>
  <si>
    <t>1205 Broadway</t>
  </si>
  <si>
    <t>Rockridge Café</t>
  </si>
  <si>
    <t>Daniel</t>
  </si>
  <si>
    <t>510-653-1567</t>
  </si>
  <si>
    <t>510-589-6472</t>
  </si>
  <si>
    <t>5492 College Avenue</t>
  </si>
  <si>
    <t>510-229-0216</t>
  </si>
  <si>
    <t>510-653-6806</t>
  </si>
  <si>
    <t>5492 COLLEGE AVE</t>
  </si>
  <si>
    <t>Roka Akor</t>
  </si>
  <si>
    <t>Miho</t>
  </si>
  <si>
    <t>415-362-8887</t>
  </si>
  <si>
    <t>801 Montgomery Street</t>
  </si>
  <si>
    <t>eforsyth@rokaakor.com</t>
  </si>
  <si>
    <t>AChan@rokaakor.com</t>
  </si>
  <si>
    <t>Angel</t>
  </si>
  <si>
    <t>Christina Tamayo = office mgr</t>
  </si>
  <si>
    <t>Rookies Sports Bar &amp; Grill</t>
  </si>
  <si>
    <t>Chaylin</t>
  </si>
  <si>
    <t>707-746-7665</t>
  </si>
  <si>
    <t>321 1st Street</t>
  </si>
  <si>
    <t>rob@towinginsurance.com</t>
  </si>
  <si>
    <t>312 1st Street</t>
  </si>
  <si>
    <t>Rose's Café</t>
  </si>
  <si>
    <t>Ava</t>
  </si>
  <si>
    <t>415-775-2200</t>
  </si>
  <si>
    <t>2298 Union Street</t>
  </si>
  <si>
    <t>ava@niceventures.com</t>
  </si>
  <si>
    <t>jesse@niceventures.com</t>
  </si>
  <si>
    <t>Round Table Pizza - Rohnert Park</t>
  </si>
  <si>
    <t>Cindi Vespa</t>
  </si>
  <si>
    <t>707-592-8931</t>
  </si>
  <si>
    <t>40 Raley's Towne Center</t>
  </si>
  <si>
    <t>Royal Exchange</t>
  </si>
  <si>
    <t>415-956-1710</t>
  </si>
  <si>
    <t>301 Sacramento Street</t>
  </si>
  <si>
    <t>301 SACRAMENTO ST</t>
  </si>
  <si>
    <t>Royal Indian Cuisine</t>
  </si>
  <si>
    <t>916-745-4939</t>
  </si>
  <si>
    <t>SAC</t>
  </si>
  <si>
    <t>8055 Greenback Lane</t>
  </si>
  <si>
    <t>Citrus Heights</t>
  </si>
  <si>
    <t>Ruth's Chris Steakhouse</t>
  </si>
  <si>
    <t>Bruce</t>
  </si>
  <si>
    <t>502-479-0026</t>
  </si>
  <si>
    <t>6100 Dutchman's Lane</t>
  </si>
  <si>
    <t>Louisville</t>
  </si>
  <si>
    <t>Ky</t>
  </si>
  <si>
    <t>Chef Chuck</t>
  </si>
  <si>
    <t>S &amp; S Liquor Store</t>
  </si>
  <si>
    <t>Casio TE7000s</t>
  </si>
  <si>
    <t>Sukjinder</t>
  </si>
  <si>
    <t>707-655-1023</t>
  </si>
  <si>
    <t>2901 Sonoma Blvd</t>
  </si>
  <si>
    <t>707-6551023</t>
  </si>
  <si>
    <t>Sabella LaTorre</t>
  </si>
  <si>
    <t>Tom LaTorre</t>
  </si>
  <si>
    <t>415-673-2824</t>
  </si>
  <si>
    <t>650-888-8814</t>
  </si>
  <si>
    <t>#3 Fishermans Wharf</t>
  </si>
  <si>
    <t>Gina</t>
  </si>
  <si>
    <t>415-923-0585</t>
  </si>
  <si>
    <t>#3 FISHERMANS WHARF</t>
  </si>
  <si>
    <t>Sabor A Mexico</t>
  </si>
  <si>
    <t>warr</t>
  </si>
  <si>
    <t>Milton</t>
  </si>
  <si>
    <t>415-306-9404</t>
  </si>
  <si>
    <t>1559 4th Street</t>
  </si>
  <si>
    <t>Sac's Tasty Hot Dog</t>
  </si>
  <si>
    <t>Cynthia Balanesi</t>
  </si>
  <si>
    <t>707-642-2442</t>
  </si>
  <si>
    <t>707-319-5595 cell</t>
  </si>
  <si>
    <t>2445 Springs Road</t>
  </si>
  <si>
    <t>Safarai Restaurant</t>
  </si>
  <si>
    <t>559-591-8616</t>
  </si>
  <si>
    <t>337 W. Tulare Street</t>
  </si>
  <si>
    <t>Sailing Goat Restaurant</t>
  </si>
  <si>
    <t>510-847-7426</t>
  </si>
  <si>
    <t>1900 Stenmark Drive</t>
  </si>
  <si>
    <t>600 Hoffman Blvd</t>
  </si>
  <si>
    <t>Sai's Restaurant &amp; Bar</t>
  </si>
  <si>
    <t>Charles</t>
  </si>
  <si>
    <t>415-362-3689</t>
  </si>
  <si>
    <t>42 Columbus Ave</t>
  </si>
  <si>
    <t>54-5230</t>
  </si>
  <si>
    <t>Salam Halal Market</t>
  </si>
  <si>
    <t>Jamal</t>
  </si>
  <si>
    <t>510-314-3861</t>
  </si>
  <si>
    <t>999 7th Street</t>
  </si>
  <si>
    <t>cleqq.inc@gmail.com</t>
  </si>
  <si>
    <t>Ahmed Ali - owner</t>
  </si>
  <si>
    <t>510-335-5956</t>
  </si>
  <si>
    <t>Salito's Crab House &amp; Prime Rib</t>
  </si>
  <si>
    <t>Raul</t>
  </si>
  <si>
    <t>415-331-3226</t>
  </si>
  <si>
    <t>415-971-7673</t>
  </si>
  <si>
    <t>1200 Bridgeway</t>
  </si>
  <si>
    <t>420 Columbus Ave</t>
  </si>
  <si>
    <t>Salt &amp; Stone</t>
  </si>
  <si>
    <t>David LaMonica</t>
  </si>
  <si>
    <t>707-833-6326</t>
  </si>
  <si>
    <t>707-357-1566</t>
  </si>
  <si>
    <t>9900 Sonoma Highway (CA 12)</t>
  </si>
  <si>
    <t>Kenwood</t>
  </si>
  <si>
    <t>DavidL@saltstonekenwood.com</t>
  </si>
  <si>
    <t>Krista (GM)</t>
  </si>
  <si>
    <t>www.saltstonekenwood.com</t>
  </si>
  <si>
    <t>Gebrez Restaurant Group Inc.</t>
  </si>
  <si>
    <t>Salt and Pepper - Tiburon</t>
  </si>
  <si>
    <t>CZ</t>
  </si>
  <si>
    <t>Pedro M</t>
  </si>
  <si>
    <t>415-435-3594</t>
  </si>
  <si>
    <t>38 Main St</t>
  </si>
  <si>
    <t>kkmonterroso@yahoo.com</t>
  </si>
  <si>
    <t>Salt House</t>
  </si>
  <si>
    <t>Reagan Hall</t>
  </si>
  <si>
    <t>415-543-8900</t>
  </si>
  <si>
    <t>545 Mission St</t>
  </si>
  <si>
    <t>raegan@salthousesf.com</t>
  </si>
  <si>
    <t>545 Mission Street</t>
  </si>
  <si>
    <t>Sam's Hof Brau</t>
  </si>
  <si>
    <t>Cecil</t>
  </si>
  <si>
    <t>916-482-2175</t>
  </si>
  <si>
    <t>2500 Watt Ave</t>
  </si>
  <si>
    <t>mickeyschle@gmail.com</t>
  </si>
  <si>
    <t>sarahpitzen6@gmail.com</t>
  </si>
  <si>
    <t>info@originalsamshofbrau.com</t>
  </si>
  <si>
    <t>cjackson@originalsamhofbrau.com</t>
  </si>
  <si>
    <t>San Anselmo Swirl</t>
  </si>
  <si>
    <t>Rick Flaster</t>
  </si>
  <si>
    <t>415-457-7947</t>
  </si>
  <si>
    <t>415-987-9680 cell</t>
  </si>
  <si>
    <t>916 Sir Francis Drake Blvd</t>
  </si>
  <si>
    <t>rflaster@earthlink.net</t>
  </si>
  <si>
    <t>Justine F(daughter)</t>
  </si>
  <si>
    <t>415-457-7950</t>
  </si>
  <si>
    <t>4 Heather Way</t>
  </si>
  <si>
    <t>415-615-0760</t>
  </si>
  <si>
    <t>San Bruno Supermarket</t>
  </si>
  <si>
    <t>Joe Lien</t>
  </si>
  <si>
    <t>415-468-5788</t>
  </si>
  <si>
    <t>415-407-2397</t>
  </si>
  <si>
    <t>2480 San Bruno Ave</t>
  </si>
  <si>
    <t>lien.joe@gmail.com</t>
  </si>
  <si>
    <t>415-468-3287</t>
  </si>
  <si>
    <t>2480 SAN BRUNO AVE</t>
  </si>
  <si>
    <t>San Francisco Bay Concessionaires</t>
  </si>
  <si>
    <t>Costas</t>
  </si>
  <si>
    <t>415-850-2576</t>
  </si>
  <si>
    <t>Pier 41</t>
  </si>
  <si>
    <t>San Juan Oaks Golf Club Restaurant</t>
  </si>
  <si>
    <t>Brandie Brewster</t>
  </si>
  <si>
    <t>831-636-6118</t>
  </si>
  <si>
    <t>Holl</t>
  </si>
  <si>
    <t>3825 Union Road</t>
  </si>
  <si>
    <t>Hollister</t>
  </si>
  <si>
    <t xml:space="preserve">mfreitas@sanjuanoaks.com </t>
  </si>
  <si>
    <t>831-636-6114</t>
  </si>
  <si>
    <t>San Leandro Public Library</t>
  </si>
  <si>
    <t>Casio TE3000</t>
  </si>
  <si>
    <t>Yolanda</t>
  </si>
  <si>
    <t>510-577-3968</t>
  </si>
  <si>
    <t>300 Estudillo Avenue</t>
  </si>
  <si>
    <t>ycarrasco@sanleandro.org</t>
  </si>
  <si>
    <t>San Pablo Liquor Store</t>
  </si>
  <si>
    <t>Sam4S-630</t>
  </si>
  <si>
    <t>SAP630-2</t>
  </si>
  <si>
    <t>Kaled</t>
  </si>
  <si>
    <t>510-599-3791</t>
  </si>
  <si>
    <t>2363 San Pablo Ave</t>
  </si>
  <si>
    <t>San Rafael Joe's</t>
  </si>
  <si>
    <t>Cynthia</t>
  </si>
  <si>
    <t>415-456-2425</t>
  </si>
  <si>
    <t>931 4th Street</t>
  </si>
  <si>
    <t>Sancho's Taqueria - Lytton Ave.</t>
  </si>
  <si>
    <t>650-322-8226</t>
  </si>
  <si>
    <t>650-862-6642 cell</t>
  </si>
  <si>
    <t>491 Lytton Ave</t>
  </si>
  <si>
    <t>info@sanchostaqueria.com</t>
  </si>
  <si>
    <t>Sancho's Taqueria - Middlefield Rd.</t>
  </si>
  <si>
    <t>2723 Middlefield Road</t>
  </si>
  <si>
    <t>Sancho's Taqueria - Redwood City</t>
  </si>
  <si>
    <t>650-222-3712</t>
  </si>
  <si>
    <t>3205 Oak Knoll</t>
  </si>
  <si>
    <t>atorres12AOL.COM</t>
  </si>
  <si>
    <t>650-862-6642</t>
  </si>
  <si>
    <t>Sandy's Cleaners</t>
  </si>
  <si>
    <t>Sandy</t>
  </si>
  <si>
    <t>415-564-8020</t>
  </si>
  <si>
    <t>364 W Portal Ave</t>
  </si>
  <si>
    <t>Santa Clara Produce</t>
  </si>
  <si>
    <t>Qt 6600</t>
  </si>
  <si>
    <t>Wael</t>
  </si>
  <si>
    <t>408-247-0997</t>
  </si>
  <si>
    <t>408-784-5774</t>
  </si>
  <si>
    <t>805 Scott Blvd.</t>
  </si>
  <si>
    <t>510-529-8495</t>
  </si>
  <si>
    <t>Santa Fe Importers - Seal Beach</t>
  </si>
  <si>
    <t>Vince Passanisi</t>
  </si>
  <si>
    <t>562-596-5800</t>
  </si>
  <si>
    <t>562-437-7775</t>
  </si>
  <si>
    <t>Seal B</t>
  </si>
  <si>
    <t>12430 Seal Beach Blvd. Unit B</t>
  </si>
  <si>
    <t>Seal Beach</t>
  </si>
  <si>
    <t>vince@santafeimporters.com</t>
  </si>
  <si>
    <t>Perla</t>
  </si>
  <si>
    <t>Allison</t>
  </si>
  <si>
    <t>Lindsay</t>
  </si>
  <si>
    <t>562-951-1867</t>
  </si>
  <si>
    <t>cards 20</t>
  </si>
  <si>
    <t>1401 Santa Fe Avenue</t>
  </si>
  <si>
    <t>Long Beach</t>
  </si>
  <si>
    <t>Sara's Southern Kitchen</t>
  </si>
  <si>
    <t>Sara Williams</t>
  </si>
  <si>
    <t>408-775-3316</t>
  </si>
  <si>
    <t>Los Gatos</t>
  </si>
  <si>
    <t>27 E Main St</t>
  </si>
  <si>
    <t>sarassouthernkitchen@gmail.com</t>
  </si>
  <si>
    <t>Sausalito Market</t>
  </si>
  <si>
    <t>Dhurba Pandey</t>
  </si>
  <si>
    <t>415-332-9963</t>
  </si>
  <si>
    <t>510-710-4136</t>
  </si>
  <si>
    <t>46 Caledonia Street</t>
  </si>
  <si>
    <t>Sausalito Yacht Club</t>
  </si>
  <si>
    <t>Jonas CC</t>
  </si>
  <si>
    <t>Ernest Morgan</t>
  </si>
  <si>
    <t>415-332-7400</t>
  </si>
  <si>
    <t>100 Humboldt Avenue</t>
  </si>
  <si>
    <t>office@sausalitoyachtclub.org</t>
  </si>
  <si>
    <t>Saylor's Restaurant &amp; Bar</t>
  </si>
  <si>
    <t>415-332-1512</t>
  </si>
  <si>
    <t>2009 Bridgeway</t>
  </si>
  <si>
    <t>Scoma's - Sausalito</t>
  </si>
  <si>
    <t>Roland</t>
  </si>
  <si>
    <t>415-332-9551</t>
  </si>
  <si>
    <t>588 Bridgeway</t>
  </si>
  <si>
    <t>Gail</t>
  </si>
  <si>
    <t>Sheri</t>
  </si>
  <si>
    <t>415-332-0827</t>
  </si>
  <si>
    <t>Seabowl +++Permantly Closed+++</t>
  </si>
  <si>
    <t>David Szeto</t>
  </si>
  <si>
    <t>650-738-8190</t>
  </si>
  <si>
    <t xml:space="preserve">415-564-1361 </t>
  </si>
  <si>
    <t>4625 Coast Hwy 1</t>
  </si>
  <si>
    <t>gm@seabowl.com</t>
  </si>
  <si>
    <t>teresa@seabowl.com</t>
  </si>
  <si>
    <t>650-296-8587</t>
  </si>
  <si>
    <t>650-738-8193</t>
  </si>
  <si>
    <t>4625 COAST HWY 1</t>
  </si>
  <si>
    <t>Seabreeze</t>
  </si>
  <si>
    <t>Joseph Zielinski</t>
  </si>
  <si>
    <t>415-242-6022</t>
  </si>
  <si>
    <t>415-747-5826</t>
  </si>
  <si>
    <t>3940 Judah St</t>
  </si>
  <si>
    <t>josephzilinski@me.com</t>
  </si>
  <si>
    <t>seabreeze3940@att.net</t>
  </si>
  <si>
    <t>josephzilinsky@me.com</t>
  </si>
  <si>
    <t>Angeles</t>
  </si>
  <si>
    <t>415-525-7005</t>
  </si>
  <si>
    <t>Servino's Restaurant</t>
  </si>
  <si>
    <t>Natale</t>
  </si>
  <si>
    <t>415-435-8515</t>
  </si>
  <si>
    <t>114 Main Street</t>
  </si>
  <si>
    <t>Seven Hills Restaurant</t>
  </si>
  <si>
    <t>Alexis Solomou</t>
  </si>
  <si>
    <t>415-533-5974</t>
  </si>
  <si>
    <t>1550 Hyde Street</t>
  </si>
  <si>
    <t>info@sevenhillssf.com</t>
  </si>
  <si>
    <t>SF Badlands</t>
  </si>
  <si>
    <t>Les Natali</t>
  </si>
  <si>
    <t>415-626-9320</t>
  </si>
  <si>
    <t>415-626-5017</t>
  </si>
  <si>
    <t>4121 18th Street</t>
  </si>
  <si>
    <t>natali7@comcast.net</t>
  </si>
  <si>
    <t>4121 18th St</t>
  </si>
  <si>
    <t>SFSU Station Café</t>
  </si>
  <si>
    <t>Allam El Qauan</t>
  </si>
  <si>
    <t>415-405-0463</t>
  </si>
  <si>
    <t>1601 Holloway Ave</t>
  </si>
  <si>
    <t>sfsucafe+1@sbcglobal.net</t>
  </si>
  <si>
    <t>Shish Market</t>
  </si>
  <si>
    <t>Gus</t>
  </si>
  <si>
    <t>925-415-3270</t>
  </si>
  <si>
    <t>1061 N. Market Place #B</t>
  </si>
  <si>
    <t>shishgrill@att.net</t>
  </si>
  <si>
    <t>Silbermann's Ice Cream</t>
  </si>
  <si>
    <t>Curtis</t>
  </si>
  <si>
    <t>415-479-1657</t>
  </si>
  <si>
    <t>196 Northgate One</t>
  </si>
  <si>
    <t xml:space="preserve">Spot On </t>
  </si>
  <si>
    <t>Silver Night Liquor</t>
  </si>
  <si>
    <t>Nasser</t>
  </si>
  <si>
    <t>925-378-8255</t>
  </si>
  <si>
    <t>Pittsbrg</t>
  </si>
  <si>
    <t>3738 Railroad Ave</t>
  </si>
  <si>
    <t>Pittsburg</t>
  </si>
  <si>
    <t>Silver's  ( do not use- see  " The Wharf")</t>
  </si>
  <si>
    <t>Sherry</t>
  </si>
  <si>
    <t>707-964-5049</t>
  </si>
  <si>
    <t>32260 N. Harbor Drive</t>
  </si>
  <si>
    <t>Ft. Bragg</t>
  </si>
  <si>
    <t>thewharf@mcn.org</t>
  </si>
  <si>
    <t>Jeannee</t>
  </si>
  <si>
    <t>707-964-0254</t>
  </si>
  <si>
    <t>P.O. Box 1429</t>
  </si>
  <si>
    <t>780 N. HARBOR DRIVE</t>
  </si>
  <si>
    <t>707-964-4283</t>
  </si>
  <si>
    <t>Skip's Music</t>
  </si>
  <si>
    <t>Casey</t>
  </si>
  <si>
    <t>916-484-7575</t>
  </si>
  <si>
    <t>2740 Auburn Blvd</t>
  </si>
  <si>
    <t>info@skipsmusic.com</t>
  </si>
  <si>
    <t>916-484-1916</t>
  </si>
  <si>
    <t>Skirball Cultural Center</t>
  </si>
  <si>
    <t>Julio Iturbe</t>
  </si>
  <si>
    <t>310-440-4500 x.4735</t>
  </si>
  <si>
    <t>2701 N. Sepulveda Blvd.</t>
  </si>
  <si>
    <t>310-440-4549</t>
  </si>
  <si>
    <t>310-440-4500</t>
  </si>
  <si>
    <t>Slanted Door - Napa</t>
  </si>
  <si>
    <t>Michelle Mah</t>
  </si>
  <si>
    <t>415-378-0546</t>
  </si>
  <si>
    <t>1650 Soscol Avenue</t>
  </si>
  <si>
    <t>michelle_mah@slanteddoorgroup.com</t>
  </si>
  <si>
    <t>charles_phan@slanteddoorgroup.com</t>
  </si>
  <si>
    <t>Charles Phan</t>
  </si>
  <si>
    <t>415-321-3745</t>
  </si>
  <si>
    <t>238 Cap Street</t>
  </si>
  <si>
    <t>Smiley's Saloon</t>
  </si>
  <si>
    <t>Gabriel Bryant</t>
  </si>
  <si>
    <t>415-868-1311</t>
  </si>
  <si>
    <t>41 Wharf Rd</t>
  </si>
  <si>
    <t>Smoke City Smoke</t>
  </si>
  <si>
    <t>Abdullah</t>
  </si>
  <si>
    <t>707-643-2788</t>
  </si>
  <si>
    <t>3752 Sonoma Blvd</t>
  </si>
  <si>
    <t>Sol Food</t>
  </si>
  <si>
    <t>ADORA</t>
  </si>
  <si>
    <t>415-451-4765</t>
  </si>
  <si>
    <t>415-595-4867</t>
  </si>
  <si>
    <t>victor@solfoodrestaurant.com</t>
  </si>
  <si>
    <t>receiving@solfoodrestaurant.com</t>
  </si>
  <si>
    <t>Vinnie</t>
  </si>
  <si>
    <t>415-424-2840</t>
  </si>
  <si>
    <t>sharon (AP)</t>
  </si>
  <si>
    <t>456-0120</t>
  </si>
  <si>
    <t>Sol Food -  Commissary</t>
  </si>
  <si>
    <t>Brent</t>
  </si>
  <si>
    <t>79 Mitchell Blvd</t>
  </si>
  <si>
    <t>Sol Food - Commissary</t>
  </si>
  <si>
    <t>Sonoma Bagel &amp; Deli</t>
  </si>
  <si>
    <t>707-526-1631</t>
  </si>
  <si>
    <t>515 Hahman Drive</t>
  </si>
  <si>
    <t>khenging8@gmail.com</t>
  </si>
  <si>
    <t>Sonoma County- Dept of Agriculture</t>
  </si>
  <si>
    <t>SAP630-F</t>
  </si>
  <si>
    <t>707-565-2371</t>
  </si>
  <si>
    <t>707-565-3436</t>
  </si>
  <si>
    <t>133 Aviation Blvd  # 110</t>
  </si>
  <si>
    <t>esther.martinez@sonoma-county.org</t>
  </si>
  <si>
    <t>Sonoma Taco</t>
  </si>
  <si>
    <t>SPS-520 Flat</t>
  </si>
  <si>
    <t>Aida</t>
  </si>
  <si>
    <t>415-479-9006</t>
  </si>
  <si>
    <t>210 Northgate</t>
  </si>
  <si>
    <t>Sonoma Valley Bagel</t>
  </si>
  <si>
    <t>ER5200m</t>
  </si>
  <si>
    <t>Mei Ling</t>
  </si>
  <si>
    <t>707-579-5484</t>
  </si>
  <si>
    <t>2194 Santa Rosa Avenue</t>
  </si>
  <si>
    <t>Sonoma Valley Market</t>
  </si>
  <si>
    <t>SAP-630</t>
  </si>
  <si>
    <t>Harry</t>
  </si>
  <si>
    <t>707-996-3411</t>
  </si>
  <si>
    <t>990 Grove Street</t>
  </si>
  <si>
    <t>Sorella Caffe</t>
  </si>
  <si>
    <t>Sonia Kang</t>
  </si>
  <si>
    <t>415-258-4520</t>
  </si>
  <si>
    <t>415-298-5060</t>
  </si>
  <si>
    <t>107 Bolinas Road</t>
  </si>
  <si>
    <t>soyaramalloy@gmail.com</t>
  </si>
  <si>
    <t>sorellasonia@gmail.com</t>
  </si>
  <si>
    <t>Soyara Malloy</t>
  </si>
  <si>
    <t>415-990-7420</t>
  </si>
  <si>
    <t>Soultran's Seafood Inc</t>
  </si>
  <si>
    <t>ER520RT</t>
  </si>
  <si>
    <t>Min Hong</t>
  </si>
  <si>
    <t>707-643-1587</t>
  </si>
  <si>
    <t>651 Broadway Street</t>
  </si>
  <si>
    <t>alex@soultranseafood.com</t>
  </si>
  <si>
    <t>tnly333@yahoo.com</t>
  </si>
  <si>
    <t>Sammy</t>
  </si>
  <si>
    <t>Sourdough &amp; Co</t>
  </si>
  <si>
    <t>Boj</t>
  </si>
  <si>
    <t>415-621-4061</t>
  </si>
  <si>
    <t>5800 Nave Drive, Building I, Suite 2</t>
  </si>
  <si>
    <t>5800 Nave Drive, Building I, Suite 2\</t>
  </si>
  <si>
    <t>415-612-4061</t>
  </si>
  <si>
    <t>SP Plus</t>
  </si>
  <si>
    <t>Ali/Alex</t>
  </si>
  <si>
    <t>415-788-1365</t>
  </si>
  <si>
    <t>415-606-2071 Alex</t>
  </si>
  <si>
    <t>333 Bush Street</t>
  </si>
  <si>
    <t>kdurden@spplus.com</t>
  </si>
  <si>
    <t>clopez@spplus.com</t>
  </si>
  <si>
    <t>&lt;-Kerstin Durden AP</t>
  </si>
  <si>
    <t>100 Pine Street, 2nd Floor</t>
  </si>
  <si>
    <t>415-317-4902</t>
  </si>
  <si>
    <t>Specialty's Café - Brisbane</t>
  </si>
  <si>
    <t>Renjie Wang</t>
  </si>
  <si>
    <t>510-388-5007</t>
  </si>
  <si>
    <t>S.MATEO</t>
  </si>
  <si>
    <t>800 Sierra Point Parkway</t>
  </si>
  <si>
    <t>Brisbane</t>
  </si>
  <si>
    <t>renjie.wang@specialtys.com</t>
  </si>
  <si>
    <t>6718 Gentry Oaks Place</t>
  </si>
  <si>
    <t>Specialty's Café - Ellis  #305</t>
  </si>
  <si>
    <t>MAITRED</t>
  </si>
  <si>
    <t>SH X650</t>
  </si>
  <si>
    <t>Jorlynne Leos</t>
  </si>
  <si>
    <t>415-362-2052 x.1305</t>
  </si>
  <si>
    <t>408-512-6736</t>
  </si>
  <si>
    <t>645 Ellis Street</t>
  </si>
  <si>
    <t>store0305@specialtys.com</t>
  </si>
  <si>
    <t>mike.shurm@specialtys.com</t>
  </si>
  <si>
    <t>ap@specialtys.com</t>
  </si>
  <si>
    <t>Nicole Florendo</t>
  </si>
  <si>
    <t>408-205-8558</t>
  </si>
  <si>
    <t>Matt Riley</t>
  </si>
  <si>
    <t>510-329-6110</t>
  </si>
  <si>
    <t>Marie Burrmann</t>
  </si>
  <si>
    <t>408-431-4112</t>
  </si>
  <si>
    <t>Karla Hernandez</t>
  </si>
  <si>
    <t>408-242-4083</t>
  </si>
  <si>
    <t>650-625-8771</t>
  </si>
  <si>
    <t>415-362-3406</t>
  </si>
  <si>
    <t>www.specialtys.com</t>
  </si>
  <si>
    <t>5050 Hopyard Road, Suite 250</t>
  </si>
  <si>
    <t>OP</t>
  </si>
  <si>
    <t>415-362-2052</t>
  </si>
  <si>
    <t>Spin - SF</t>
  </si>
  <si>
    <t>Josh</t>
  </si>
  <si>
    <t>415-636-5995</t>
  </si>
  <si>
    <t>845-893-7141 cell</t>
  </si>
  <si>
    <t>690 Folsom St</t>
  </si>
  <si>
    <t>Springstown Bottle Shop</t>
  </si>
  <si>
    <t>2154 Springs Road</t>
  </si>
  <si>
    <t>Squat and Gobble - Chestnut</t>
  </si>
  <si>
    <t>415-441-2200</t>
  </si>
  <si>
    <t>2263 Chestnut St</t>
  </si>
  <si>
    <t>jj+2@squatandgobble.com</t>
  </si>
  <si>
    <t>Squat and Gobble - West Portal</t>
  </si>
  <si>
    <t>415-665-9900</t>
  </si>
  <si>
    <t>1 West Portal Ave</t>
  </si>
  <si>
    <t>jj+3@squatandgobble.com</t>
  </si>
  <si>
    <t>St. Francis Fountain</t>
  </si>
  <si>
    <t>415-826-4200</t>
  </si>
  <si>
    <t>415-577-5266 cell</t>
  </si>
  <si>
    <t>2801 24th Street</t>
  </si>
  <si>
    <t>peterhood@sbcglobal.net</t>
  </si>
  <si>
    <t>2801 24TH STREET</t>
  </si>
  <si>
    <t>St. James Gate</t>
  </si>
  <si>
    <t>Chris Mottern</t>
  </si>
  <si>
    <t>650-592-5923</t>
  </si>
  <si>
    <t>510-851-1145</t>
  </si>
  <si>
    <t>Belmont</t>
  </si>
  <si>
    <t>1410 Old County Road</t>
  </si>
  <si>
    <t>mottren48@gmail.com</t>
  </si>
  <si>
    <t>Doug</t>
  </si>
  <si>
    <t>650-346-7821</t>
  </si>
  <si>
    <t>Joel</t>
  </si>
  <si>
    <t>Star Grocery</t>
  </si>
  <si>
    <t>TEC MA1595, SAM4s 5240</t>
  </si>
  <si>
    <t>510-652-2490</t>
  </si>
  <si>
    <t>510-540-1018</t>
  </si>
  <si>
    <t>3068 Claremont Ave</t>
  </si>
  <si>
    <t>stargrocery@sbcglobal.net</t>
  </si>
  <si>
    <t>510-652-2430</t>
  </si>
  <si>
    <t>3068 CLAREMONT AVENUE</t>
  </si>
  <si>
    <t>Starbelly</t>
  </si>
  <si>
    <t>Kayla</t>
  </si>
  <si>
    <t>415-252-7500</t>
  </si>
  <si>
    <t>3583 16th Street</t>
  </si>
  <si>
    <t>info@starbellysf.com</t>
  </si>
  <si>
    <t>starbelly@invoice.plateiq.com</t>
  </si>
  <si>
    <t>Stark's Steakhouse</t>
  </si>
  <si>
    <t>707-546-5100</t>
  </si>
  <si>
    <t>707-332-3377</t>
  </si>
  <si>
    <t>521 Adams Street</t>
  </si>
  <si>
    <t>info@starkssteakhouse.com</t>
  </si>
  <si>
    <t>starks@centralbooks.net</t>
  </si>
  <si>
    <t>State Bird Provisions</t>
  </si>
  <si>
    <t>415-795-1272</t>
  </si>
  <si>
    <t>510-928-2278</t>
  </si>
  <si>
    <t>1529 Fillmore Street</t>
  </si>
  <si>
    <t>gm@statebirdsf.com</t>
  </si>
  <si>
    <t>invoices@atomic-workshop.com</t>
  </si>
  <si>
    <t>www.statebirdsf.com</t>
  </si>
  <si>
    <t>State Market &amp; Liquor</t>
  </si>
  <si>
    <t>SAM 6600</t>
  </si>
  <si>
    <t>510-444-8842</t>
  </si>
  <si>
    <t>707 Willow Street</t>
  </si>
  <si>
    <t>Station House Café</t>
  </si>
  <si>
    <t>Aaron</t>
  </si>
  <si>
    <t>415-663-1515</t>
  </si>
  <si>
    <t>1180 State Route One</t>
  </si>
  <si>
    <t>Point Reyes Station</t>
  </si>
  <si>
    <t>sheryl@stationhousecafe.com</t>
  </si>
  <si>
    <t>Fran Towle</t>
  </si>
  <si>
    <t>415-663-9443</t>
  </si>
  <si>
    <t>P.O. Box 268</t>
  </si>
  <si>
    <t>Stefano's Pizza - Corte Madera</t>
  </si>
  <si>
    <t>Luciano</t>
  </si>
  <si>
    <t>415-294-9666</t>
  </si>
  <si>
    <t>225 Corte Madera Ave</t>
  </si>
  <si>
    <t>Stefano's Pizza - Mill Valley</t>
  </si>
  <si>
    <t>415-383-9666</t>
  </si>
  <si>
    <t>11 E. Blithedale Ave</t>
  </si>
  <si>
    <t>Bob-owner</t>
  </si>
  <si>
    <t>883-3965</t>
  </si>
  <si>
    <t>415-883-3293</t>
  </si>
  <si>
    <t>c/o  Valentino</t>
  </si>
  <si>
    <t>39 Palmer Drive</t>
  </si>
  <si>
    <t>11 E. BLITHEDALE AVENUE</t>
  </si>
  <si>
    <t>Stefano's Pizza - Terra Linda</t>
  </si>
  <si>
    <t>415-472-6277</t>
  </si>
  <si>
    <t>424 Las Gallinas Ave</t>
  </si>
  <si>
    <t>Terra Linda</t>
  </si>
  <si>
    <t>Steins Beer Garden - Mountain View</t>
  </si>
  <si>
    <t>Ted Kim</t>
  </si>
  <si>
    <t>650-963-9568</t>
  </si>
  <si>
    <t>895 Villa Street</t>
  </si>
  <si>
    <t>ted@steinsbeergarden.com</t>
  </si>
  <si>
    <t>accountspayable@steinsbeergarden.com</t>
  </si>
  <si>
    <t>tanya@steinsbeergarden.com</t>
  </si>
  <si>
    <t>Tanya Lee</t>
  </si>
  <si>
    <t>Exec. Office Admin</t>
  </si>
  <si>
    <t>www.steinsbeergarden.com</t>
  </si>
  <si>
    <t>Prost Restaurant Group, LLC</t>
  </si>
  <si>
    <t>Stony Point Market</t>
  </si>
  <si>
    <t>6600 TOUCH</t>
  </si>
  <si>
    <t>Tony &amp; Dee</t>
  </si>
  <si>
    <t>707-526-9983</t>
  </si>
  <si>
    <t>3207 Stony Point Rd</t>
  </si>
  <si>
    <t>tonyonline5@yahoo.com</t>
  </si>
  <si>
    <t>Stookey's Club Moderne</t>
  </si>
  <si>
    <t>Tim Stookey</t>
  </si>
  <si>
    <t>415-771-9695</t>
  </si>
  <si>
    <t>415-728-7965</t>
  </si>
  <si>
    <t>895 Bush Street</t>
  </si>
  <si>
    <t>timstookey63@gmail.com</t>
  </si>
  <si>
    <t>info@stookeysclubmoderne.com</t>
  </si>
  <si>
    <t>Aaron Cole</t>
  </si>
  <si>
    <t>510-828-8071</t>
  </si>
  <si>
    <t>Summer Vine</t>
  </si>
  <si>
    <t>707-933-8810</t>
  </si>
  <si>
    <t>100 W Spain St</t>
  </si>
  <si>
    <t>info@summervinesonoma.com</t>
  </si>
  <si>
    <t>Summerhouse</t>
  </si>
  <si>
    <t>TEC MA600/TEC 1535</t>
  </si>
  <si>
    <t>Debra</t>
  </si>
  <si>
    <t>415-383-0157</t>
  </si>
  <si>
    <t>57 Throckmorton Avenue</t>
  </si>
  <si>
    <t>Sun's Market</t>
  </si>
  <si>
    <t>Titan</t>
  </si>
  <si>
    <t>Vivian Li</t>
  </si>
  <si>
    <t>131 El Camino Real</t>
  </si>
  <si>
    <t>sunsmkt@gmail.com</t>
  </si>
  <si>
    <t>DTP #14</t>
  </si>
  <si>
    <t xml:space="preserve">131 El Camino Real </t>
  </si>
  <si>
    <t>Sunset True Value</t>
  </si>
  <si>
    <t>415-661-0607</t>
  </si>
  <si>
    <t>3126 Noriega Street</t>
  </si>
  <si>
    <t>12-100</t>
  </si>
  <si>
    <t>62-109</t>
  </si>
  <si>
    <t>707-931-7503</t>
  </si>
  <si>
    <t>Sushi Ko</t>
  </si>
  <si>
    <t xml:space="preserve">Ty </t>
  </si>
  <si>
    <t>415-461-8400</t>
  </si>
  <si>
    <t>415-461-8403</t>
  </si>
  <si>
    <t>1819 Larkspur Landing Circle</t>
  </si>
  <si>
    <t>KarIn (owner)</t>
  </si>
  <si>
    <t>415-606-6580</t>
  </si>
  <si>
    <t>Thui</t>
  </si>
  <si>
    <t>13305    $30</t>
  </si>
  <si>
    <t>1819 LARKSPUR LANDING CIRCLE</t>
  </si>
  <si>
    <t>Sutter Novato Community Hospital Gift Shop</t>
  </si>
  <si>
    <t>Sam Er-265- R</t>
  </si>
  <si>
    <t>Marilyn</t>
  </si>
  <si>
    <t>415-209-1316</t>
  </si>
  <si>
    <t>180 Rowland Way</t>
  </si>
  <si>
    <t>marilynr.smith@gmail.com</t>
  </si>
  <si>
    <t>A/P= Erin V.</t>
  </si>
  <si>
    <t>415-209-1300</t>
  </si>
  <si>
    <t>415-209-1323</t>
  </si>
  <si>
    <t>Sweeney's Grill &amp; Bar</t>
  </si>
  <si>
    <t>Peter</t>
  </si>
  <si>
    <t>925-634-5192</t>
  </si>
  <si>
    <t>301 Oak Street</t>
  </si>
  <si>
    <t>925-634-2420</t>
  </si>
  <si>
    <t>Syufy Enterprises  ++1000++</t>
  </si>
  <si>
    <t>Antoine</t>
  </si>
  <si>
    <t>415-448-8300</t>
  </si>
  <si>
    <t>150 Pelican Way</t>
  </si>
  <si>
    <t>US9421677131000</t>
  </si>
  <si>
    <t>Tacos El Chilango (Dules Kitchen)</t>
  </si>
  <si>
    <t>Sam Er-265f</t>
  </si>
  <si>
    <t>2 Sanchez St</t>
  </si>
  <si>
    <t>Tacos El Gordo - Hayward</t>
  </si>
  <si>
    <t>Carlos Montero</t>
  </si>
  <si>
    <t>510-798-9329</t>
  </si>
  <si>
    <t>792 B St</t>
  </si>
  <si>
    <t>carlosmontero@comcast.net</t>
  </si>
  <si>
    <t>Tacos El Gordo - Hesperian</t>
  </si>
  <si>
    <t>Jasmin</t>
  </si>
  <si>
    <t>510-278-1718</t>
  </si>
  <si>
    <t>15420 Hesperian Blvd</t>
  </si>
  <si>
    <t>Tacos El Gordo - San Leandro</t>
  </si>
  <si>
    <t>510-895-1769</t>
  </si>
  <si>
    <t>579-B Floresta Blvd</t>
  </si>
  <si>
    <t>taqelgordo@gmail.com</t>
  </si>
  <si>
    <t>Tacos El Patron- SF</t>
  </si>
  <si>
    <t>Mariana</t>
  </si>
  <si>
    <t>415-829-7315</t>
  </si>
  <si>
    <t>1500 S. Van Ness</t>
  </si>
  <si>
    <t>1500 S. Van Ness Ave</t>
  </si>
  <si>
    <t>925-322-3182</t>
  </si>
  <si>
    <t>Tacos Rodriguez</t>
  </si>
  <si>
    <t>510-506-4662</t>
  </si>
  <si>
    <t>4352 Appian Way</t>
  </si>
  <si>
    <t>El Sobrante</t>
  </si>
  <si>
    <t>Tacos Sinaloa - Berkeley</t>
  </si>
  <si>
    <t>Marlem</t>
  </si>
  <si>
    <t>510-325-5069</t>
  </si>
  <si>
    <t>2384 Telegraph Avenue</t>
  </si>
  <si>
    <t>tacossinaloaberkeley@gmail.com</t>
  </si>
  <si>
    <t>Tacos Sinaloa - Hayward</t>
  </si>
  <si>
    <t>Tacos Sinaloa - Oakland</t>
  </si>
  <si>
    <t>HL 618 TABLET</t>
  </si>
  <si>
    <t>2138 International Blvd</t>
  </si>
  <si>
    <t>Tagliaferri Deli</t>
  </si>
  <si>
    <t>SAM4S ER265 FLAT</t>
  </si>
  <si>
    <t>415-493-6894</t>
  </si>
  <si>
    <t>415-517-9677 cell</t>
  </si>
  <si>
    <t>1765 Grant Ave</t>
  </si>
  <si>
    <t>Tailor's Son</t>
  </si>
  <si>
    <t>2049 Fillmore Street</t>
  </si>
  <si>
    <t>Taqueria El Tejaban - Fairfield</t>
  </si>
  <si>
    <t>Sam4s ER 940 flat</t>
  </si>
  <si>
    <t>707-425-2174</t>
  </si>
  <si>
    <t>890 E. Travis Blvd #C</t>
  </si>
  <si>
    <t>415-265-0102</t>
  </si>
  <si>
    <t>Taqueria El Tejaban - Vacaville</t>
  </si>
  <si>
    <t>Patricia/Abraham</t>
  </si>
  <si>
    <t>707-451-9252</t>
  </si>
  <si>
    <t>707-392-8025 Abe</t>
  </si>
  <si>
    <t>871 Merchant Street</t>
  </si>
  <si>
    <t>Taqueria La Familia</t>
  </si>
  <si>
    <t>QT 6000</t>
  </si>
  <si>
    <t>510-548-3420</t>
  </si>
  <si>
    <t>510-708-9518</t>
  </si>
  <si>
    <t>2971 Shattuck Avenue</t>
  </si>
  <si>
    <t>delgadillo.maria90@gmail.com</t>
  </si>
  <si>
    <t>Taqueria Las Vegas - Fremont</t>
  </si>
  <si>
    <t>CRS</t>
  </si>
  <si>
    <t>SPS2000</t>
  </si>
  <si>
    <t>Abel</t>
  </si>
  <si>
    <t>510-668-0242</t>
  </si>
  <si>
    <t>408-832-1470</t>
  </si>
  <si>
    <t>45401 Fremont Blvd</t>
  </si>
  <si>
    <t>Taqueria Los Potrillos</t>
  </si>
  <si>
    <t>Sam4S ER940</t>
  </si>
  <si>
    <t>707-763-4220</t>
  </si>
  <si>
    <t>707-331-4228 cell</t>
  </si>
  <si>
    <t>355 E Washington St</t>
  </si>
  <si>
    <t>Taqueria Made en Tepa</t>
  </si>
  <si>
    <t>TEC 1450</t>
  </si>
  <si>
    <t>Ramon</t>
  </si>
  <si>
    <t>530-672-1549</t>
  </si>
  <si>
    <t>3440 Palmer Dr</t>
  </si>
  <si>
    <t>Cameron Park</t>
  </si>
  <si>
    <t>Taqueria y Mariscos El Pony</t>
  </si>
  <si>
    <t>JQ</t>
  </si>
  <si>
    <t>Jose Quevedo</t>
  </si>
  <si>
    <t>408-569-5267</t>
  </si>
  <si>
    <t>(Bernardo-mgr)</t>
  </si>
  <si>
    <t>SJ</t>
  </si>
  <si>
    <t>230 Umbarger Road</t>
  </si>
  <si>
    <t>Taqueria y Pupuseria</t>
  </si>
  <si>
    <t>Casio T2300</t>
  </si>
  <si>
    <t>Sylvia Carranza</t>
  </si>
  <si>
    <t>415-456-7147</t>
  </si>
  <si>
    <t>415-747-9550</t>
  </si>
  <si>
    <t>175 Belvedere Street #11</t>
  </si>
  <si>
    <t xml:space="preserve">Sergio  </t>
  </si>
  <si>
    <t>415-306-4261</t>
  </si>
  <si>
    <t>Tartine Bakery - 9th Ave</t>
  </si>
  <si>
    <t>415-742-5005</t>
  </si>
  <si>
    <t>1226 9th Avenue</t>
  </si>
  <si>
    <t>e201tartinebakery@bill.com</t>
  </si>
  <si>
    <t>Tartine Bakery - Guerrero</t>
  </si>
  <si>
    <t>Emiliana</t>
  </si>
  <si>
    <t>415-487-2600</t>
  </si>
  <si>
    <t>600 Guerrero Street</t>
  </si>
  <si>
    <t>Caroline Dittmann</t>
  </si>
  <si>
    <t>Zach Taylor</t>
  </si>
  <si>
    <t>Suzanne</t>
  </si>
  <si>
    <t>www.tartinebakery.com</t>
  </si>
  <si>
    <t>Telegraph Quality Market</t>
  </si>
  <si>
    <t>Mo</t>
  </si>
  <si>
    <t>510-821-3025</t>
  </si>
  <si>
    <t>2429 Telegraph Avenue</t>
  </si>
  <si>
    <t>Tenderloin Liquor</t>
  </si>
  <si>
    <t>SAM4S</t>
  </si>
  <si>
    <t>SAP 6600</t>
  </si>
  <si>
    <t>415-563-5542</t>
  </si>
  <si>
    <t>62 Turk St</t>
  </si>
  <si>
    <t>62 Turk Street</t>
  </si>
  <si>
    <t>Teriyaki Madness-  Billings</t>
  </si>
  <si>
    <t>1008 Shiloh Crossing Blvd, Suite #5</t>
  </si>
  <si>
    <t>Billings</t>
  </si>
  <si>
    <t>MT</t>
  </si>
  <si>
    <t>406-315-3388</t>
  </si>
  <si>
    <t>Teriyaki Madness - Chandler</t>
  </si>
  <si>
    <t>480-306-7807</t>
  </si>
  <si>
    <t>480-584-5353</t>
  </si>
  <si>
    <t>4225 S Gilbert Rd</t>
  </si>
  <si>
    <t>Chandler</t>
  </si>
  <si>
    <t>Teriyaki Madness - Fairfield</t>
  </si>
  <si>
    <t>Jaz</t>
  </si>
  <si>
    <t>707-673-2250</t>
  </si>
  <si>
    <t>707-292-8919 cell</t>
  </si>
  <si>
    <t>4222, 251 Pittman Road B</t>
  </si>
  <si>
    <t>tmad050@teriyakimadness.com</t>
  </si>
  <si>
    <t>Teriyaki Madness-  Firestone</t>
  </si>
  <si>
    <t>720-684-6484</t>
  </si>
  <si>
    <t>303-898-7980</t>
  </si>
  <si>
    <t>4275 City Centre Road  # 500</t>
  </si>
  <si>
    <t>Firestone</t>
  </si>
  <si>
    <t>Co</t>
  </si>
  <si>
    <t>4275 City Centre Road # 500</t>
  </si>
  <si>
    <t>Teriyaki Madness - Gilbert</t>
  </si>
  <si>
    <t>Keith</t>
  </si>
  <si>
    <t>3131 S. Market Street # 108</t>
  </si>
  <si>
    <t>tmad060@teriyakimadness.com</t>
  </si>
  <si>
    <t>3131 S. Market St  #108</t>
  </si>
  <si>
    <t>Teriyaki Madness - Great Falls</t>
  </si>
  <si>
    <t>Aaron Weissman</t>
  </si>
  <si>
    <t>406-868-8982</t>
  </si>
  <si>
    <t>1710 10th Ave S.</t>
  </si>
  <si>
    <t>Great Falls</t>
  </si>
  <si>
    <t>Kathy Mitchell-  406-205-4480</t>
  </si>
  <si>
    <t>Teriyaki Madness - Greenwood Village</t>
  </si>
  <si>
    <t>Ting</t>
  </si>
  <si>
    <t>303-771-5280</t>
  </si>
  <si>
    <t>8547 East Arapahoe Road Ste. F</t>
  </si>
  <si>
    <t>Greenwood Village</t>
  </si>
  <si>
    <t>Teriyaki Madness-  Littleton</t>
  </si>
  <si>
    <t>303-995-6334</t>
  </si>
  <si>
    <t>5866 S. Wadsworth Blvd,Suite 3600</t>
  </si>
  <si>
    <t>Littleton</t>
  </si>
  <si>
    <t>5866 S. Wadsworth Blvd, Suite 3600</t>
  </si>
  <si>
    <t>Teriyaki Madness-  Longmont</t>
  </si>
  <si>
    <t>303-532-5232</t>
  </si>
  <si>
    <t>1232 S. Hover St, #C100</t>
  </si>
  <si>
    <t>Longmont</t>
  </si>
  <si>
    <t>1232 S. Hover St # C100</t>
  </si>
  <si>
    <t>Teriyaki Madness - Macomb</t>
  </si>
  <si>
    <t>Barney</t>
  </si>
  <si>
    <t>586-566-6288</t>
  </si>
  <si>
    <t>15619 Hall Road</t>
  </si>
  <si>
    <t>Macomb Township</t>
  </si>
  <si>
    <t>MI</t>
  </si>
  <si>
    <t>Teriyaki Madness - Marina</t>
  </si>
  <si>
    <t xml:space="preserve">John Marsh </t>
  </si>
  <si>
    <t>831-324-4932</t>
  </si>
  <si>
    <t>110 General Stilwell Building B, #102</t>
  </si>
  <si>
    <t>tmad031@teriyakimadness.com</t>
  </si>
  <si>
    <t>Teriyaki Madness - Santa Clara</t>
  </si>
  <si>
    <t>Avez</t>
  </si>
  <si>
    <t>408-352-5148</t>
  </si>
  <si>
    <t>408-460-3122</t>
  </si>
  <si>
    <t>2020 Wyatt Drive Suite 120</t>
  </si>
  <si>
    <t>tmad123@teriyakimadness.com</t>
  </si>
  <si>
    <t>Teriyaki Madness - Wheatridge</t>
  </si>
  <si>
    <t>720-767-4581</t>
  </si>
  <si>
    <t>3500 Youngfield Street</t>
  </si>
  <si>
    <t>Wheatridge</t>
  </si>
  <si>
    <t>3500 Youngfield St</t>
  </si>
  <si>
    <t>Terzo Restaurant</t>
  </si>
  <si>
    <t>415-441-3200</t>
  </si>
  <si>
    <t>3011 Steiner Street</t>
  </si>
  <si>
    <t>terzosf@niceventures.com</t>
  </si>
  <si>
    <t>Thai Peru - Camarillo</t>
  </si>
  <si>
    <t>Maitre'd</t>
  </si>
  <si>
    <t>Dominick Dongo</t>
  </si>
  <si>
    <t>805-384-0965</t>
  </si>
  <si>
    <t>805-889-0923</t>
  </si>
  <si>
    <t>Ventura</t>
  </si>
  <si>
    <t>5021 Verdugo Way, Suite 109</t>
  </si>
  <si>
    <t>Camarillo</t>
  </si>
  <si>
    <t>dominickdongo@sbcglobal.net</t>
  </si>
  <si>
    <t>The Bird - SF</t>
  </si>
  <si>
    <t>415-872-9825</t>
  </si>
  <si>
    <t>115 New Montgomery</t>
  </si>
  <si>
    <t>info@thebirdsf.com</t>
  </si>
  <si>
    <t>thebirdsanfrancisco@invoice.plateiq.com</t>
  </si>
  <si>
    <t>The Buena Vista</t>
  </si>
  <si>
    <t>Larry</t>
  </si>
  <si>
    <t>415-474-5044</t>
  </si>
  <si>
    <t>2765 Hyde Street</t>
  </si>
  <si>
    <t>The Bungalow Kitchen Tiburon</t>
  </si>
  <si>
    <t>CO</t>
  </si>
  <si>
    <t>Bruce Dombrosky</t>
  </si>
  <si>
    <t>510-912-1818</t>
  </si>
  <si>
    <t>5 Main St</t>
  </si>
  <si>
    <t>The Cantina</t>
  </si>
  <si>
    <t>Doc Miles</t>
  </si>
  <si>
    <t>415-381-1070</t>
  </si>
  <si>
    <t>415-244-5655</t>
  </si>
  <si>
    <t>651 East Blithedale</t>
  </si>
  <si>
    <t>The Caprice</t>
  </si>
  <si>
    <t>Jerry</t>
  </si>
  <si>
    <t>415-435-3400</t>
  </si>
  <si>
    <t>415-781-7676</t>
  </si>
  <si>
    <t>MARIN</t>
  </si>
  <si>
    <t>2000 Paradise Drive</t>
  </si>
  <si>
    <t>The Caviar Company</t>
  </si>
  <si>
    <t>Petra Higby</t>
  </si>
  <si>
    <t>806-777-5864</t>
  </si>
  <si>
    <t>46-A Main St</t>
  </si>
  <si>
    <t>The Cheese Parlor</t>
  </si>
  <si>
    <t>Brandon Wood</t>
  </si>
  <si>
    <t>925- 409-7730</t>
  </si>
  <si>
    <t>158 Maple St</t>
  </si>
  <si>
    <t>158 Maple Street</t>
  </si>
  <si>
    <t>925-409-7730</t>
  </si>
  <si>
    <t>The Coffee Bar</t>
  </si>
  <si>
    <t>CF</t>
  </si>
  <si>
    <t>Firas Masarweh</t>
  </si>
  <si>
    <t>415-871-7941</t>
  </si>
  <si>
    <t>740 Texas St Suite 101</t>
  </si>
  <si>
    <t>fmasarweh@gmail.com</t>
  </si>
  <si>
    <t>The Cooler</t>
  </si>
  <si>
    <t>Jeff</t>
  </si>
  <si>
    <t>510-357-3949</t>
  </si>
  <si>
    <t>1517 E 14th Street</t>
  </si>
  <si>
    <t>The Edge</t>
  </si>
  <si>
    <t>Rob</t>
  </si>
  <si>
    <t>415-863-4027</t>
  </si>
  <si>
    <t>415-572-4150</t>
  </si>
  <si>
    <t>4149 18th St</t>
  </si>
  <si>
    <t>The Forge Pizza</t>
  </si>
  <si>
    <t>Leah Whittaker</t>
  </si>
  <si>
    <t>510-268-3200</t>
  </si>
  <si>
    <t>619-709-5272 cell</t>
  </si>
  <si>
    <t>66 Franklin Street</t>
  </si>
  <si>
    <t>leah@theforgepizza.com</t>
  </si>
  <si>
    <t>The Gold Club Copper Valley</t>
  </si>
  <si>
    <t>Kaponi</t>
  </si>
  <si>
    <t>209-785-7420</t>
  </si>
  <si>
    <t>CALAV</t>
  </si>
  <si>
    <t>1001 Saddle Creek Drive</t>
  </si>
  <si>
    <t>Copperoppolis</t>
  </si>
  <si>
    <t>209-785-6859</t>
  </si>
  <si>
    <t>The Hideout Kitchen</t>
  </si>
  <si>
    <t>Ursula</t>
  </si>
  <si>
    <t>415-847-5094</t>
  </si>
  <si>
    <t>32 Lafayette Circle</t>
  </si>
  <si>
    <t>3400 Mt Diablo Blvd Suite $</t>
  </si>
  <si>
    <t>The Morris</t>
  </si>
  <si>
    <t>Amy</t>
  </si>
  <si>
    <t>415-612-8480</t>
  </si>
  <si>
    <t>2501 Mariposa Street</t>
  </si>
  <si>
    <t>info@themorris-sf.com</t>
  </si>
  <si>
    <t>510521-1000</t>
  </si>
  <si>
    <t>1700 Park Street #100</t>
  </si>
  <si>
    <t>1700 Park Street # 100</t>
  </si>
  <si>
    <t>510-521-1000</t>
  </si>
  <si>
    <t>The Old Wagon Saloon &amp; Grill</t>
  </si>
  <si>
    <t>Radu Dugala</t>
  </si>
  <si>
    <t>408-971-9346</t>
  </si>
  <si>
    <t>435-640-8706 cell</t>
  </si>
  <si>
    <t>75 N San Pedro St</t>
  </si>
  <si>
    <t xml:space="preserve">San Jose </t>
  </si>
  <si>
    <t>radu@theoldwagonsaloon.com</t>
  </si>
  <si>
    <t>The Sandwich Spot</t>
  </si>
  <si>
    <t>Li</t>
  </si>
  <si>
    <t>408-899-8999</t>
  </si>
  <si>
    <t>1258 S. Bascom Avenue</t>
  </si>
  <si>
    <t>The Sea by Alexander's Steakhouse</t>
  </si>
  <si>
    <t>650-213-1111</t>
  </si>
  <si>
    <t>4269 El Camino Real</t>
  </si>
  <si>
    <t>joshfriedman@theseausa.com</t>
  </si>
  <si>
    <t>A/P Erin Murphy</t>
  </si>
  <si>
    <t>408-446-2222</t>
  </si>
  <si>
    <t>408-446-2242</t>
  </si>
  <si>
    <t>The Stinking Rose</t>
  </si>
  <si>
    <t>415-781-7673</t>
  </si>
  <si>
    <t>430 Columbus Ave</t>
  </si>
  <si>
    <t>4158-781-7673</t>
  </si>
  <si>
    <t>The Tipsy Pig</t>
  </si>
  <si>
    <t>Adrian Pena</t>
  </si>
  <si>
    <t>415-292-2300</t>
  </si>
  <si>
    <t>2231 Chestnut Street</t>
  </si>
  <si>
    <t>The Trident</t>
  </si>
  <si>
    <t>Jimmy</t>
  </si>
  <si>
    <t>415-331-3232</t>
  </si>
  <si>
    <t>keithshaw@pacbell.net</t>
  </si>
  <si>
    <t>thetridentsausalito@gmail.com</t>
  </si>
  <si>
    <t>A/P Kim</t>
  </si>
  <si>
    <t>415-497-7365</t>
  </si>
  <si>
    <t xml:space="preserve">13305C </t>
  </si>
  <si>
    <t xml:space="preserve">558 Bridgeway </t>
  </si>
  <si>
    <t>The Village Italian Restaurant</t>
  </si>
  <si>
    <t>Aaron Sabido</t>
  </si>
  <si>
    <t>415-898-2234</t>
  </si>
  <si>
    <t>1200 Grant Ave</t>
  </si>
  <si>
    <t>The Vine &amp; Spirits</t>
  </si>
  <si>
    <t>DOB</t>
  </si>
  <si>
    <t>Randi Negi</t>
  </si>
  <si>
    <t>925-820-7210</t>
  </si>
  <si>
    <t>480 Hartz Ave</t>
  </si>
  <si>
    <t>rnegi+1@aol.com</t>
  </si>
  <si>
    <t>The Wharf and Anchor Lodge</t>
  </si>
  <si>
    <t>Theresa &amp; Johnny's Café</t>
  </si>
  <si>
    <t>415-306-4020</t>
  </si>
  <si>
    <t>817-A  Fourth Street</t>
  </si>
  <si>
    <t>817-A Fourth St</t>
  </si>
  <si>
    <t>Three Brothers Grill - Harleysville</t>
  </si>
  <si>
    <t>Eneas</t>
  </si>
  <si>
    <t>267-932-8455</t>
  </si>
  <si>
    <t>267-572-1654 cell</t>
  </si>
  <si>
    <t>488 Main St</t>
  </si>
  <si>
    <t>Harleysville</t>
  </si>
  <si>
    <t>Pa</t>
  </si>
  <si>
    <t>veneas123@gmail.com</t>
  </si>
  <si>
    <t>abelvasquez824@icloud.com</t>
  </si>
  <si>
    <t>Abel- brother</t>
  </si>
  <si>
    <t>Three Brothers Grill - Phoenixville</t>
  </si>
  <si>
    <t>484-302-5132</t>
  </si>
  <si>
    <t>650-722-3213</t>
  </si>
  <si>
    <t>17 S Main St</t>
  </si>
  <si>
    <t>Phoenixville</t>
  </si>
  <si>
    <t>17 S Main St.</t>
  </si>
  <si>
    <t>Three Brothers Grill - Pottstown</t>
  </si>
  <si>
    <t>484-752-4527</t>
  </si>
  <si>
    <t>1432 East High Street</t>
  </si>
  <si>
    <t xml:space="preserve">Pottstown </t>
  </si>
  <si>
    <t>Pottstown</t>
  </si>
  <si>
    <t>Tia Margarita</t>
  </si>
  <si>
    <t>415-752-9274</t>
  </si>
  <si>
    <t>300 19th Ave</t>
  </si>
  <si>
    <t>TN Bagel</t>
  </si>
  <si>
    <t>Bill Hannon</t>
  </si>
  <si>
    <t>973-609-2463</t>
  </si>
  <si>
    <t>133 Baye Road</t>
  </si>
  <si>
    <t>Rutledge</t>
  </si>
  <si>
    <t>TN</t>
  </si>
  <si>
    <t>133 baye Road</t>
  </si>
  <si>
    <t>Toad Hall</t>
  </si>
  <si>
    <t>4146 18th Street</t>
  </si>
  <si>
    <t>Tomatina - Alameda  ++4130++</t>
  </si>
  <si>
    <t>Jen Yang</t>
  </si>
  <si>
    <t>1338 Park Street</t>
  </si>
  <si>
    <t>accountspayable@150pelican.com</t>
  </si>
  <si>
    <t>jennifer_leung@150pelican.com</t>
  </si>
  <si>
    <t>arnel_judilla@150pelican.com</t>
  </si>
  <si>
    <t>Jamie McFall A/P</t>
  </si>
  <si>
    <t>NBR corp A/P</t>
  </si>
  <si>
    <t>415-448-8525</t>
  </si>
  <si>
    <t>Ben Nuss</t>
  </si>
  <si>
    <t>415-521-2298</t>
  </si>
  <si>
    <t>316-927-4680</t>
  </si>
  <si>
    <t>US9421677134130</t>
  </si>
  <si>
    <t>Tomatina - Roseville ++</t>
  </si>
  <si>
    <t>Mara</t>
  </si>
  <si>
    <t>279-399-2205</t>
  </si>
  <si>
    <t>10505 Fairway Dr</t>
  </si>
  <si>
    <t>Tomatina - San Mateo  ++4150++</t>
  </si>
  <si>
    <t>Randol Conner</t>
  </si>
  <si>
    <t>650-918-5030</t>
  </si>
  <si>
    <t>401 South " B" Street</t>
  </si>
  <si>
    <t>US9421677134150</t>
  </si>
  <si>
    <t>Tomatina - Santa Clara  ++4120++</t>
  </si>
  <si>
    <t>Joycelin Magno</t>
  </si>
  <si>
    <t>408-654-9000</t>
  </si>
  <si>
    <t>3127 Mission College Blvd</t>
  </si>
  <si>
    <t>US9421677134120</t>
  </si>
  <si>
    <t>Tomatina - Santa Rosa  ++4160++</t>
  </si>
  <si>
    <t>707-583-0035</t>
  </si>
  <si>
    <t>2323 Sonoma Avenue</t>
  </si>
  <si>
    <t>Darwin</t>
  </si>
  <si>
    <t>US9421677134160</t>
  </si>
  <si>
    <t>Tomatina - Union Landing  ++4155++</t>
  </si>
  <si>
    <t>Chloe</t>
  </si>
  <si>
    <t>510-431-5132</t>
  </si>
  <si>
    <t>415-448-8352</t>
  </si>
  <si>
    <t>32155 Union Landing</t>
  </si>
  <si>
    <t>Zina</t>
  </si>
  <si>
    <t>US9421677134155</t>
  </si>
  <si>
    <t>Tomatina - Walnut Creek  ++4125++</t>
  </si>
  <si>
    <t>925-930-9999</t>
  </si>
  <si>
    <t>1325 N. Main Street</t>
  </si>
  <si>
    <t>Daron</t>
  </si>
  <si>
    <t>925-930-9919</t>
  </si>
  <si>
    <t>US9421677134125</t>
  </si>
  <si>
    <t>Tomatina - West Valley  ++4145++</t>
  </si>
  <si>
    <t>408-380-0040</t>
  </si>
  <si>
    <t>408-796-2527</t>
  </si>
  <si>
    <t>5245 Prospect Road</t>
  </si>
  <si>
    <t>Brenda</t>
  </si>
  <si>
    <t>408-409-9793</t>
  </si>
  <si>
    <t>US9421677134145</t>
  </si>
  <si>
    <t>Tony's Cable Car</t>
  </si>
  <si>
    <t>415-931-2416</t>
  </si>
  <si>
    <t>415-699-2067</t>
  </si>
  <si>
    <t>2500 Geary Blvd</t>
  </si>
  <si>
    <t>lizfannoun@gmail.com</t>
  </si>
  <si>
    <t>650-867-1766</t>
  </si>
  <si>
    <t>2500 GEARY BLVD</t>
  </si>
  <si>
    <t>Town &amp; Country Market</t>
  </si>
  <si>
    <t>Sam 4S 530</t>
  </si>
  <si>
    <t>415-776-4067</t>
  </si>
  <si>
    <t>650-580-4536 cell</t>
  </si>
  <si>
    <t>600 Post Street</t>
  </si>
  <si>
    <t>415-441-3649</t>
  </si>
  <si>
    <t>Town Square Bar</t>
  </si>
  <si>
    <t>Megan</t>
  </si>
  <si>
    <t>707-996-2922</t>
  </si>
  <si>
    <t>707-888-2583 cell</t>
  </si>
  <si>
    <t>482 1st Street E</t>
  </si>
  <si>
    <t>Tracy Feed &amp; Pet Store Inc.</t>
  </si>
  <si>
    <t>Darryl Sutton</t>
  </si>
  <si>
    <t>209-835-3172</t>
  </si>
  <si>
    <t>1031 F Street</t>
  </si>
  <si>
    <t>Tree House Café</t>
  </si>
  <si>
    <t>760-586-6947</t>
  </si>
  <si>
    <t>8160 North Lake Blvd</t>
  </si>
  <si>
    <t>Kings Beach</t>
  </si>
  <si>
    <t>Tribune Restaurant</t>
  </si>
  <si>
    <t>Darrin</t>
  </si>
  <si>
    <t>510-607-8187</t>
  </si>
  <si>
    <t>401 13th Street</t>
  </si>
  <si>
    <t>eat@tribuneoakland.com</t>
  </si>
  <si>
    <t>tribuneteam@tribuneoakland.com</t>
  </si>
  <si>
    <t>Troy Greek Cuisine - Alameda</t>
  </si>
  <si>
    <t>510-522-2800</t>
  </si>
  <si>
    <t>925-293-4077 cell</t>
  </si>
  <si>
    <t>2318-A Central Ave</t>
  </si>
  <si>
    <t>fmasarweh+3@gmail.com</t>
  </si>
  <si>
    <t>Troy Greek Cuisine - Berkeley</t>
  </si>
  <si>
    <t>510-559-8769</t>
  </si>
  <si>
    <t>925-293-4077</t>
  </si>
  <si>
    <t>1843 Solano Ave</t>
  </si>
  <si>
    <t>fmasarweh+2@gmail.com</t>
  </si>
  <si>
    <t>Troy Greek Cuisine - Martinez</t>
  </si>
  <si>
    <t>720 Main St</t>
  </si>
  <si>
    <t>Troy Greek Express</t>
  </si>
  <si>
    <t>740 Texas St</t>
  </si>
  <si>
    <t>U Save Beer &amp; Wine</t>
  </si>
  <si>
    <t>707-664-8045</t>
  </si>
  <si>
    <t>1535-C So. Novato Blvd</t>
  </si>
  <si>
    <t>U Save Liquor - Cotati</t>
  </si>
  <si>
    <t>707-529-5661 cell</t>
  </si>
  <si>
    <t>7500 Commerce Blvd</t>
  </si>
  <si>
    <t>Godex  2.25</t>
  </si>
  <si>
    <t>UC Market</t>
  </si>
  <si>
    <t>TEC MA600</t>
  </si>
  <si>
    <t>Mekonnen</t>
  </si>
  <si>
    <t>415-566-2819</t>
  </si>
  <si>
    <t>1251 3rd Ave</t>
  </si>
  <si>
    <t>Benson Yang</t>
  </si>
  <si>
    <t>415-524-2727</t>
  </si>
  <si>
    <t>415-847-0133</t>
  </si>
  <si>
    <t>821 B Street</t>
  </si>
  <si>
    <t>info@uchiwaramen.com</t>
  </si>
  <si>
    <t>Kevin Fong</t>
  </si>
  <si>
    <t>415-680-4272</t>
  </si>
  <si>
    <t>Uncle Sam's Liquors</t>
  </si>
  <si>
    <t>510-234-0412</t>
  </si>
  <si>
    <t>510-660-9706</t>
  </si>
  <si>
    <t>322 Cutting Blvd</t>
  </si>
  <si>
    <t>Uncle Yu's at the Vineyard</t>
  </si>
  <si>
    <t>Lucas</t>
  </si>
  <si>
    <t>925-449-7000</t>
  </si>
  <si>
    <t>39 South Livermore Avenue</t>
  </si>
  <si>
    <t>UNCLEYUATTHEVINEYARD@GMAIL.COM</t>
  </si>
  <si>
    <t>925-449-7010</t>
  </si>
  <si>
    <t>39 South Livermore Ave</t>
  </si>
  <si>
    <t>Union Espanola De California</t>
  </si>
  <si>
    <t>650-799-9137</t>
  </si>
  <si>
    <t>2850 Allemany Blvd</t>
  </si>
  <si>
    <t>Union St Produce Co</t>
  </si>
  <si>
    <t>Spiro</t>
  </si>
  <si>
    <t>415-928-2611</t>
  </si>
  <si>
    <t>801 Union Street</t>
  </si>
  <si>
    <t>smakras@msn.com</t>
  </si>
  <si>
    <t>801 Union St</t>
  </si>
  <si>
    <t>United Food Mart</t>
  </si>
  <si>
    <t>SPT3000</t>
  </si>
  <si>
    <t>Deepa</t>
  </si>
  <si>
    <t>510-275-9041</t>
  </si>
  <si>
    <t>510-356-8442</t>
  </si>
  <si>
    <t xml:space="preserve">521 Appian Way </t>
  </si>
  <si>
    <t>521 Appian Way</t>
  </si>
  <si>
    <t>Uno Dos Taco - Market</t>
  </si>
  <si>
    <t>415-974-6922</t>
  </si>
  <si>
    <t>510-589-2466</t>
  </si>
  <si>
    <t>595 Market Street</t>
  </si>
  <si>
    <t>unodostaco@invoice.plateiq.com</t>
  </si>
  <si>
    <t>owner/chef Luisa</t>
  </si>
  <si>
    <t>650-200-7502</t>
  </si>
  <si>
    <t>Up &amp; Under Pub</t>
  </si>
  <si>
    <t>Jaclyn</t>
  </si>
  <si>
    <t>510-778-1313</t>
  </si>
  <si>
    <t>916-351-9100</t>
  </si>
  <si>
    <t>2 West Richmond Avenue</t>
  </si>
  <si>
    <t>Point Richmond</t>
  </si>
  <si>
    <t>Urban Deli</t>
  </si>
  <si>
    <t>Wisam</t>
  </si>
  <si>
    <t>707-658-2183</t>
  </si>
  <si>
    <t>415-720-4951</t>
  </si>
  <si>
    <t>151 Petaluma Blvd Suite#109</t>
  </si>
  <si>
    <t>US Liquor Market (Rancho Market)</t>
  </si>
  <si>
    <t>Anees</t>
  </si>
  <si>
    <t>510-235-3066</t>
  </si>
  <si>
    <t>930 23rd Street</t>
  </si>
  <si>
    <t>Valencia Whole Foods</t>
  </si>
  <si>
    <t>Casio Te7000</t>
  </si>
  <si>
    <t>Joseph</t>
  </si>
  <si>
    <t>415-285-0231</t>
  </si>
  <si>
    <t>999 Valencia Street</t>
  </si>
  <si>
    <t>sirulz@aol.com</t>
  </si>
  <si>
    <t>info@sbfinancialservices.com</t>
  </si>
  <si>
    <t xml:space="preserve">1433B  </t>
  </si>
  <si>
    <t xml:space="preserve">cas x-1477 </t>
  </si>
  <si>
    <t>Valenti &amp; Co</t>
  </si>
  <si>
    <t>Dullio</t>
  </si>
  <si>
    <t>415-454-7800</t>
  </si>
  <si>
    <t>357 San Anselmo Avenue</t>
  </si>
  <si>
    <t>337 San Anselmo Avenue</t>
  </si>
  <si>
    <t>Valley Tavern</t>
  </si>
  <si>
    <t>Vince</t>
  </si>
  <si>
    <t>415-285-0674</t>
  </si>
  <si>
    <t>415-595-7636</t>
  </si>
  <si>
    <t>4054 24th Street</t>
  </si>
  <si>
    <t>Vince home fax</t>
  </si>
  <si>
    <t>415-584-8814</t>
  </si>
  <si>
    <t>fernanda</t>
  </si>
  <si>
    <t>415-794-2118</t>
  </si>
  <si>
    <t>4054 24TH STREET</t>
  </si>
  <si>
    <t>Vape &amp; Cigarette City</t>
  </si>
  <si>
    <t>TE7000</t>
  </si>
  <si>
    <t>209-518-9949</t>
  </si>
  <si>
    <t>SanJoaq</t>
  </si>
  <si>
    <t>15148 S. Harland Road</t>
  </si>
  <si>
    <t>Vegan Picnic</t>
  </si>
  <si>
    <t>RM</t>
  </si>
  <si>
    <t>Jill Ritchie</t>
  </si>
  <si>
    <t>415-508-6736</t>
  </si>
  <si>
    <t>1323 Polk St</t>
  </si>
  <si>
    <t>jill@veganpicnic.com</t>
  </si>
  <si>
    <t>Vesuvio</t>
  </si>
  <si>
    <t>Janet Clyde</t>
  </si>
  <si>
    <t>415-362-3370</t>
  </si>
  <si>
    <t>415-595-9313</t>
  </si>
  <si>
    <t>255 Columbus Street</t>
  </si>
  <si>
    <t>janet.clyde@gmail.com</t>
  </si>
  <si>
    <t>Via Piccola Trattoria</t>
  </si>
  <si>
    <t>Pedro Ulloa</t>
  </si>
  <si>
    <t>415-388-9100</t>
  </si>
  <si>
    <t>1 Blackfield Drive #11</t>
  </si>
  <si>
    <t>Viking Cocktail Lounge</t>
  </si>
  <si>
    <t>Cattarina Vandentoorn</t>
  </si>
  <si>
    <t>415-897-3624</t>
  </si>
  <si>
    <t>7377 Redwood Blvd</t>
  </si>
  <si>
    <t>cbvan@aol.com</t>
  </si>
  <si>
    <t>Villa Corona</t>
  </si>
  <si>
    <t>Reflections</t>
  </si>
  <si>
    <t>Daniel Villasenor</t>
  </si>
  <si>
    <t>707-963-7812</t>
  </si>
  <si>
    <t>707-592-7306</t>
  </si>
  <si>
    <t>1138 Main Street</t>
  </si>
  <si>
    <t>villacosh99@gmail.com</t>
  </si>
  <si>
    <t>707-963-2481</t>
  </si>
  <si>
    <t>1138 MAIN STREET</t>
  </si>
  <si>
    <t>Villa Sport-  Beaverton  ++6020++</t>
  </si>
  <si>
    <t>Tanner</t>
  </si>
  <si>
    <t>971-317-2646</t>
  </si>
  <si>
    <t>13900 SW Meridian Street</t>
  </si>
  <si>
    <t>Beaverton</t>
  </si>
  <si>
    <t>OR</t>
  </si>
  <si>
    <t>US9421677136020</t>
  </si>
  <si>
    <t>IN</t>
  </si>
  <si>
    <t>Villa Sport - Cinco Ranch ++++</t>
  </si>
  <si>
    <t>Deanna Vivian</t>
  </si>
  <si>
    <t>415-448-8350</t>
  </si>
  <si>
    <t>9930 Gaston Ranch</t>
  </si>
  <si>
    <t>Katy</t>
  </si>
  <si>
    <t>PO Box 42549</t>
  </si>
  <si>
    <t>Villa Sport-  Colorado Springs ++++</t>
  </si>
  <si>
    <t>719-522-1221</t>
  </si>
  <si>
    <t>5904 Prairie Schooner Drive</t>
  </si>
  <si>
    <t>Colorado Springs</t>
  </si>
  <si>
    <t>US9421677136010</t>
  </si>
  <si>
    <t>Villa Sport-  Cypress  ++6025++</t>
  </si>
  <si>
    <t>832-225-3035</t>
  </si>
  <si>
    <t>12951 Baker Cypress Road</t>
  </si>
  <si>
    <t>Cypress</t>
  </si>
  <si>
    <t>TX</t>
  </si>
  <si>
    <t>US9421677136025</t>
  </si>
  <si>
    <t>Villa Sport-  Roseville  ++++</t>
  </si>
  <si>
    <t>Willie/Ed Reyes</t>
  </si>
  <si>
    <t>916-831-7070</t>
  </si>
  <si>
    <t>291 Conference Center Drive</t>
  </si>
  <si>
    <t>VSRV.FFE.11103</t>
  </si>
  <si>
    <t>Villa Sport-  San Jose ++++</t>
  </si>
  <si>
    <t>Will</t>
  </si>
  <si>
    <t>408-785-0320</t>
  </si>
  <si>
    <t>1167 N. Capitol Avenue</t>
  </si>
  <si>
    <t>US9421677136630</t>
  </si>
  <si>
    <t>Village Bottle Shop</t>
  </si>
  <si>
    <t>510-590-0456</t>
  </si>
  <si>
    <t>1577 East 14th Street</t>
  </si>
  <si>
    <t>1577 East 14th St</t>
  </si>
  <si>
    <t>Village Grill- Office</t>
  </si>
  <si>
    <t>Soledad</t>
  </si>
  <si>
    <t>5098 Pearl Avenue</t>
  </si>
  <si>
    <t>Village Market &amp; Pizza</t>
  </si>
  <si>
    <t>Allam</t>
  </si>
  <si>
    <t>415-405-2292</t>
  </si>
  <si>
    <t>415-377-4525</t>
  </si>
  <si>
    <t>750 Font Blvd, Building A</t>
  </si>
  <si>
    <t>sfsucafe@sbcglobal.net</t>
  </si>
  <si>
    <t>415-405-2545</t>
  </si>
  <si>
    <t>Village Rotisserie</t>
  </si>
  <si>
    <t>415-660-7852</t>
  </si>
  <si>
    <t>4063 24th Street</t>
  </si>
  <si>
    <t>info@villagerotisserie.com</t>
  </si>
  <si>
    <t>Vineyard Market</t>
  </si>
  <si>
    <t>Kharma</t>
  </si>
  <si>
    <t>707-935-6919</t>
  </si>
  <si>
    <t>707-853-0133 cell</t>
  </si>
  <si>
    <t>18913 Highway 12</t>
  </si>
  <si>
    <t>15-185</t>
  </si>
  <si>
    <t>Vintage Wine Merchant</t>
  </si>
  <si>
    <t>Vee Maharu</t>
  </si>
  <si>
    <t>408-985-9463</t>
  </si>
  <si>
    <t>408-666-9005</t>
  </si>
  <si>
    <t>377 Santana Row #1135</t>
  </si>
  <si>
    <t>harry@vintagewinemerchants.com</t>
  </si>
  <si>
    <t>vee@vintagewinemerchants.com</t>
  </si>
  <si>
    <t>Vee</t>
  </si>
  <si>
    <t>Vintner's Golf Club</t>
  </si>
  <si>
    <t>Harrell</t>
  </si>
  <si>
    <t>707-944-1992</t>
  </si>
  <si>
    <t>7901 Solano Ave</t>
  </si>
  <si>
    <t>Yountville</t>
  </si>
  <si>
    <t>7901 Solano Avenue</t>
  </si>
  <si>
    <t>Vlahos Orchard</t>
  </si>
  <si>
    <t>SAM4S ER945</t>
  </si>
  <si>
    <t>George Vlahos</t>
  </si>
  <si>
    <t>404-518-1649</t>
  </si>
  <si>
    <t>Pier 39, Bldg Q, Level 1</t>
  </si>
  <si>
    <t>Waffle Cone Shop</t>
  </si>
  <si>
    <t>TEC MA-600</t>
  </si>
  <si>
    <t>Moses</t>
  </si>
  <si>
    <t>415-370-9988</t>
  </si>
  <si>
    <t>Pier 30, Bldg. B</t>
  </si>
  <si>
    <t>moseslim@gmail.com</t>
  </si>
  <si>
    <t>Pier 39, Bldg. B</t>
  </si>
  <si>
    <t>415-956-9312</t>
  </si>
  <si>
    <t>Wagon Wheel Liquors</t>
  </si>
  <si>
    <t>Anwar</t>
  </si>
  <si>
    <t>707-648-1490</t>
  </si>
  <si>
    <t>925-719-1057 cell</t>
  </si>
  <si>
    <t>90 Admiral Callaghan Ln</t>
  </si>
  <si>
    <t>WaterBar</t>
  </si>
  <si>
    <t>415-284-9922</t>
  </si>
  <si>
    <t>Pier 26, Box 7</t>
  </si>
  <si>
    <t>Casey H</t>
  </si>
  <si>
    <t>415-284-0161</t>
  </si>
  <si>
    <t>415-543-4679</t>
  </si>
  <si>
    <t>OLO RESIDUAL</t>
  </si>
  <si>
    <t>Wen's Kitchen</t>
  </si>
  <si>
    <t>925-548-2178</t>
  </si>
  <si>
    <t>1150 Polk Street</t>
  </si>
  <si>
    <t>WesBurger N' More</t>
  </si>
  <si>
    <t>Wes Rowe</t>
  </si>
  <si>
    <t>415-745-9371</t>
  </si>
  <si>
    <t>2240 Mission Street</t>
  </si>
  <si>
    <t>wesrowe@gmail.com</t>
  </si>
  <si>
    <t>Mike Nguyen</t>
  </si>
  <si>
    <t>West Portal Daily</t>
  </si>
  <si>
    <t>Issa</t>
  </si>
  <si>
    <t>415-410-5268</t>
  </si>
  <si>
    <t>36 West Portal Ave</t>
  </si>
  <si>
    <t>1 West Portal Avenue</t>
  </si>
  <si>
    <t>West Wind - Coliseum ++++</t>
  </si>
  <si>
    <t>Willie Wong</t>
  </si>
  <si>
    <t>510-533-1601</t>
  </si>
  <si>
    <t>5401 Coliseum Way</t>
  </si>
  <si>
    <t>US9421677132015</t>
  </si>
  <si>
    <t>SYUFY</t>
  </si>
  <si>
    <t>West Wind - Glendale ++++</t>
  </si>
  <si>
    <t>Sam4s SP32</t>
  </si>
  <si>
    <t>Nancy Crane</t>
  </si>
  <si>
    <t>623-939-9715</t>
  </si>
  <si>
    <t>5650 N. 55th Ave</t>
  </si>
  <si>
    <t>US9421677132040</t>
  </si>
  <si>
    <t>West Wind - Las Vegas ++++</t>
  </si>
  <si>
    <t>Eric Gonzalez</t>
  </si>
  <si>
    <t>702-646-3565</t>
  </si>
  <si>
    <t>415-448-8388 Ext 8402</t>
  </si>
  <si>
    <t>4150 West Carey Avenue</t>
  </si>
  <si>
    <t>702-647-1379</t>
  </si>
  <si>
    <t>US9421677132030</t>
  </si>
  <si>
    <t>SYUFY Enterprises</t>
  </si>
  <si>
    <t>West Wind - Reno ++++</t>
  </si>
  <si>
    <t>Er-940</t>
  </si>
  <si>
    <t>775-358-6920</t>
  </si>
  <si>
    <t>555 El Rancho Drive</t>
  </si>
  <si>
    <t>Sparks</t>
  </si>
  <si>
    <t>West Wind - Sacramento ++++</t>
  </si>
  <si>
    <t>916-363-6572</t>
  </si>
  <si>
    <t>9616 Oates Dr</t>
  </si>
  <si>
    <t>West Wind - San Jose ++++</t>
  </si>
  <si>
    <t>408-226-2251</t>
  </si>
  <si>
    <t>3630 Hillcap Ave</t>
  </si>
  <si>
    <t>West Wind - Solano ++++</t>
  </si>
  <si>
    <t>sam er 940</t>
  </si>
  <si>
    <t>925-687-6445</t>
  </si>
  <si>
    <t>916-505-1405 cell</t>
  </si>
  <si>
    <t>1611 Solano Way</t>
  </si>
  <si>
    <t>US9421677132035</t>
  </si>
  <si>
    <t>West Wind- Santa Barbara</t>
  </si>
  <si>
    <t>SAM sps-300</t>
  </si>
  <si>
    <t>James Milligan</t>
  </si>
  <si>
    <t>805-837-0380</t>
  </si>
  <si>
    <t>907 S. Kellogg Ave</t>
  </si>
  <si>
    <t>Goleta</t>
  </si>
  <si>
    <t>Western Sunset Market</t>
  </si>
  <si>
    <t>Pawon</t>
  </si>
  <si>
    <t>415-665-9632</t>
  </si>
  <si>
    <t>4099 Judah St</t>
  </si>
  <si>
    <t>WhiteChapel</t>
  </si>
  <si>
    <t>Alex Smith</t>
  </si>
  <si>
    <t>415-292-5800</t>
  </si>
  <si>
    <t>510-333-0944</t>
  </si>
  <si>
    <t>600 Polk Street</t>
  </si>
  <si>
    <t>alex@whitechapelsf.com</t>
  </si>
  <si>
    <t>david@mas.us.com</t>
  </si>
  <si>
    <t>anthony@whitechapelsf.com</t>
  </si>
  <si>
    <t>Anthony = GM</t>
  </si>
  <si>
    <t>707-637-3974</t>
  </si>
  <si>
    <t xml:space="preserve">                         </t>
  </si>
  <si>
    <t>Wild Fire Public House</t>
  </si>
  <si>
    <t>Manita</t>
  </si>
  <si>
    <t>209-521-8667</t>
  </si>
  <si>
    <t>209-484-1442</t>
  </si>
  <si>
    <t>1533 Oakdale Road #A</t>
  </si>
  <si>
    <t>manitasom@gmail.com</t>
  </si>
  <si>
    <t>MAXSTICK</t>
  </si>
  <si>
    <t>1533 Oakdale Road</t>
  </si>
  <si>
    <t>ca</t>
  </si>
  <si>
    <t>Wild West Ferments</t>
  </si>
  <si>
    <t>415-233-3612</t>
  </si>
  <si>
    <t>80 4th Street</t>
  </si>
  <si>
    <t>Wildseed - Palo Alto</t>
  </si>
  <si>
    <t>408-781-0211</t>
  </si>
  <si>
    <t>Wildseed - San Francisco</t>
  </si>
  <si>
    <t>415-872-7350</t>
  </si>
  <si>
    <t>2000 Union Street</t>
  </si>
  <si>
    <t>info@wildseedsf.com</t>
  </si>
  <si>
    <t>2020 Union Street</t>
  </si>
  <si>
    <t>Carl Revelle</t>
  </si>
  <si>
    <t>707-433-9191</t>
  </si>
  <si>
    <t>403 Healdsburg Ave</t>
  </si>
  <si>
    <t>403 Healdsburg Avenue</t>
  </si>
  <si>
    <t>Willi's Wine Bar</t>
  </si>
  <si>
    <t>707-526-3096</t>
  </si>
  <si>
    <t>1415 Town &amp; Country Road</t>
  </si>
  <si>
    <t>Woerner's Liquors</t>
  </si>
  <si>
    <t>Sam Er-945</t>
  </si>
  <si>
    <t>Andy Patel</t>
  </si>
  <si>
    <t>415-359-1050</t>
  </si>
  <si>
    <t>901 Geary Street</t>
  </si>
  <si>
    <t>andypatel@aol.com</t>
  </si>
  <si>
    <t>Aldo Denegri</t>
  </si>
  <si>
    <t>510-326-4768</t>
  </si>
  <si>
    <t>Woodside Manor Liquors</t>
  </si>
  <si>
    <t>6600-2</t>
  </si>
  <si>
    <t>AJ</t>
  </si>
  <si>
    <t>925-518-4587</t>
  </si>
  <si>
    <t>524 Woodside Road</t>
  </si>
  <si>
    <t>ajiwani69@gmail.com</t>
  </si>
  <si>
    <t>GODEX  2.25 X1.25</t>
  </si>
  <si>
    <t>World Wrapps-  Corte Madera</t>
  </si>
  <si>
    <t>415-927-3663</t>
  </si>
  <si>
    <t>208 Corte Madera Town Center</t>
  </si>
  <si>
    <t>Worldpay</t>
  </si>
  <si>
    <t>Merch</t>
  </si>
  <si>
    <t>Yang Guang Jewelry</t>
  </si>
  <si>
    <t>Mr. Ho</t>
  </si>
  <si>
    <t>415-379-4129</t>
  </si>
  <si>
    <t>440 Clement Street</t>
  </si>
  <si>
    <t>Yank Sing - Rincon</t>
  </si>
  <si>
    <t>Lina</t>
  </si>
  <si>
    <t>415-957-9388</t>
  </si>
  <si>
    <t>415-819-2080</t>
  </si>
  <si>
    <t>101 Spear Street #A-17</t>
  </si>
  <si>
    <t>info@yanksing.com</t>
  </si>
  <si>
    <t>verawaller@yanksing.com</t>
  </si>
  <si>
    <t>tkleung@yanksing.com</t>
  </si>
  <si>
    <t>&lt;-------- AP email</t>
  </si>
  <si>
    <t>415-957-9990</t>
  </si>
  <si>
    <t>415-957-0356</t>
  </si>
  <si>
    <t>415-957-9322</t>
  </si>
  <si>
    <t>101 SPEAR STREET, # A-17</t>
  </si>
  <si>
    <t>Yank Sing - Stevenson</t>
  </si>
  <si>
    <t>Vera</t>
  </si>
  <si>
    <t>415-541-4949</t>
  </si>
  <si>
    <t>415-816-3351</t>
  </si>
  <si>
    <t>49 Stevenson Street</t>
  </si>
  <si>
    <t>415-957-9900</t>
  </si>
  <si>
    <t>415-541-0308</t>
  </si>
  <si>
    <t>49 STEVENSON STREET</t>
  </si>
  <si>
    <t>Z Café &amp; Bar</t>
  </si>
  <si>
    <t>Mehdi</t>
  </si>
  <si>
    <t>510-451-2905</t>
  </si>
  <si>
    <t>2735 Broadway</t>
  </si>
  <si>
    <t>Zarzour Kabob</t>
  </si>
  <si>
    <t>SPS 520</t>
  </si>
  <si>
    <t>408-559-3397</t>
  </si>
  <si>
    <t>2052 Curtner Ave</t>
  </si>
  <si>
    <t>Zaytoon</t>
  </si>
  <si>
    <t>510-898-1316</t>
  </si>
  <si>
    <t>Albany</t>
  </si>
  <si>
    <t>1133 Solano Avenue</t>
  </si>
  <si>
    <t>zaytoon.mediterranean@gmail.com</t>
  </si>
  <si>
    <t>izateliyan@gmail.com</t>
  </si>
  <si>
    <t>Zio Fraedo</t>
  </si>
  <si>
    <t>707-642-8984</t>
  </si>
  <si>
    <t>925-286-9234 cell</t>
  </si>
  <si>
    <t>23 Harbor Way</t>
  </si>
  <si>
    <t>ziofraedos@yahoo.com</t>
  </si>
  <si>
    <t>Shaun</t>
  </si>
  <si>
    <t>707-642-3029</t>
  </si>
  <si>
    <t>ZZZZZZ</t>
  </si>
  <si>
    <t>PPOS product list</t>
  </si>
  <si>
    <t>Item#</t>
  </si>
  <si>
    <t>Description</t>
  </si>
  <si>
    <t>Price</t>
  </si>
  <si>
    <t>Ext</t>
  </si>
  <si>
    <t>PAPER</t>
  </si>
  <si>
    <t># 13-305</t>
  </si>
  <si>
    <t>Epson Impact</t>
  </si>
  <si>
    <t>3" one ply x 165</t>
  </si>
  <si>
    <t># CC-235</t>
  </si>
  <si>
    <t>3" TWO ply</t>
  </si>
  <si>
    <t>Epson TMU-220</t>
  </si>
  <si>
    <t>0047</t>
  </si>
  <si>
    <t># 15-741</t>
  </si>
  <si>
    <t>CC Machine</t>
  </si>
  <si>
    <t>2.25" x 74 feet</t>
  </si>
  <si>
    <t>5061</t>
  </si>
  <si>
    <t># 11-094</t>
  </si>
  <si>
    <t>one ply paper</t>
  </si>
  <si>
    <t>3" one ply x 194</t>
  </si>
  <si>
    <t># 12-100</t>
  </si>
  <si>
    <t>2 1/4" x 150 feet</t>
  </si>
  <si>
    <t>0510</t>
  </si>
  <si>
    <t xml:space="preserve">100 rolls </t>
  </si>
  <si>
    <t># 13-305C</t>
  </si>
  <si>
    <t>3" one ply canary</t>
  </si>
  <si>
    <t>2015</t>
  </si>
  <si>
    <t xml:space="preserve">50 rolls </t>
  </si>
  <si>
    <t># 13-305G</t>
  </si>
  <si>
    <t>3" one ply   green</t>
  </si>
  <si>
    <t>2016</t>
  </si>
  <si>
    <t># 15-044</t>
  </si>
  <si>
    <t>thermal paper</t>
  </si>
  <si>
    <t>44mm x 230 feet</t>
  </si>
  <si>
    <t># 15-157</t>
  </si>
  <si>
    <r>
      <t xml:space="preserve">2 1/4 x </t>
    </r>
    <r>
      <rPr>
        <b/>
        <sz val="10"/>
        <rFont val="Book Antiqua"/>
        <family val="1"/>
      </rPr>
      <t>230</t>
    </r>
    <r>
      <rPr>
        <sz val="10"/>
        <rFont val="Book Antiqua"/>
        <family val="1"/>
      </rPr>
      <t>'thermal</t>
    </r>
  </si>
  <si>
    <t>Cash Reg- Thermal</t>
  </si>
  <si>
    <t>2983</t>
  </si>
  <si>
    <t># 15-160</t>
  </si>
  <si>
    <t>2 1/4 x  60' thermal</t>
  </si>
  <si>
    <t>Verifone Thermal</t>
  </si>
  <si>
    <t># 15-185</t>
  </si>
  <si>
    <r>
      <t xml:space="preserve">2 1/4 x  </t>
    </r>
    <r>
      <rPr>
        <b/>
        <sz val="10"/>
        <rFont val="Book Antiqua"/>
        <family val="1"/>
      </rPr>
      <t>85</t>
    </r>
    <r>
      <rPr>
        <sz val="10"/>
        <rFont val="Book Antiqua"/>
        <family val="1"/>
      </rPr>
      <t>' thermal</t>
    </r>
  </si>
  <si>
    <t>0549</t>
  </si>
  <si>
    <t># 15-040</t>
  </si>
  <si>
    <t>Poynt CC station</t>
  </si>
  <si>
    <t>2.25" x 16 feet</t>
  </si>
  <si>
    <t>5040</t>
  </si>
  <si>
    <t># 15-303</t>
  </si>
  <si>
    <t>2.25" x 42 feet</t>
  </si>
  <si>
    <t>2981</t>
  </si>
  <si>
    <t xml:space="preserve">48 rolls </t>
  </si>
  <si>
    <t># 18-333</t>
  </si>
  <si>
    <t>three ply paper</t>
  </si>
  <si>
    <t>3"  w/c/p</t>
  </si>
  <si>
    <t># 46-015</t>
  </si>
  <si>
    <t>3" x 230 feet</t>
  </si>
  <si>
    <t># 46-175</t>
  </si>
  <si>
    <t xml:space="preserve">3 1/8 Heavy </t>
  </si>
  <si>
    <t># 54-170</t>
  </si>
  <si>
    <t>3 1/8" x 110 feet</t>
  </si>
  <si>
    <t># 54-273</t>
  </si>
  <si>
    <t>3 1/8 x 273'</t>
  </si>
  <si>
    <t>0566</t>
  </si>
  <si>
    <t># 64-437</t>
  </si>
  <si>
    <t>44mm one ply paper</t>
  </si>
  <si>
    <t>44mm  x 150 ft</t>
  </si>
  <si>
    <t>100 rolls</t>
  </si>
  <si>
    <t># 15-999</t>
  </si>
  <si>
    <t>POS paper rolls</t>
  </si>
  <si>
    <t>INK</t>
  </si>
  <si>
    <t># 62245</t>
  </si>
  <si>
    <t>black/red ribbons</t>
  </si>
  <si>
    <t>EPSON TM-220 series</t>
  </si>
  <si>
    <t>Per Dozen</t>
  </si>
  <si>
    <t># 67240</t>
  </si>
  <si>
    <t>STAR SP700 series</t>
  </si>
  <si>
    <t># ERC-38</t>
  </si>
  <si>
    <t>Epson TM-U2220</t>
  </si>
  <si>
    <t># 67655</t>
  </si>
  <si>
    <t>purple ribbons</t>
  </si>
  <si>
    <t>Tec 1450/1650</t>
  </si>
  <si>
    <t># 67215</t>
  </si>
  <si>
    <t>Tec RKP300</t>
  </si>
  <si>
    <t># 62285</t>
  </si>
  <si>
    <t># 62240</t>
  </si>
  <si>
    <t>Epson 30/34/38</t>
  </si>
  <si>
    <t># 62235</t>
  </si>
  <si>
    <t>black ribbons</t>
  </si>
  <si>
    <t># 62225</t>
  </si>
  <si>
    <t>Tec DRS207</t>
  </si>
  <si>
    <t># 62-199</t>
  </si>
  <si>
    <t>POS ribbon/ink</t>
  </si>
  <si>
    <t># 62-198</t>
  </si>
  <si>
    <t>each</t>
  </si>
  <si>
    <t># 62-197</t>
  </si>
  <si>
    <t>Office Printer Toner</t>
  </si>
  <si>
    <t># 62-196</t>
  </si>
  <si>
    <t>Office Printer Drum</t>
  </si>
  <si>
    <t xml:space="preserve"> LABELS</t>
  </si>
  <si>
    <t># 1612-B</t>
  </si>
  <si>
    <t>Tec Sl9000/SL5300</t>
  </si>
  <si>
    <t xml:space="preserve">continuous </t>
  </si>
  <si>
    <t>case</t>
  </si>
  <si>
    <t># 1681</t>
  </si>
  <si>
    <t>57mm x 49.2 mm</t>
  </si>
  <si>
    <t>UPC</t>
  </si>
  <si>
    <t># 1478</t>
  </si>
  <si>
    <t>Cas</t>
  </si>
  <si>
    <t>58mm x 60mm</t>
  </si>
  <si>
    <t>S/H</t>
  </si>
  <si>
    <t># 1493</t>
  </si>
  <si>
    <t>58mm x 40 mm</t>
  </si>
  <si>
    <t># 1477</t>
  </si>
  <si>
    <t>Ingredient</t>
  </si>
  <si>
    <t># 1433B</t>
  </si>
  <si>
    <t>Berkel 65mm</t>
  </si>
  <si>
    <t>Scale Labels</t>
  </si>
  <si>
    <t># 1850-b</t>
  </si>
  <si>
    <t>Kilotech</t>
  </si>
  <si>
    <t>(10 cas min order… 4 week ETA)</t>
  </si>
  <si>
    <t># 1909</t>
  </si>
  <si>
    <t>Hobart- Quantum</t>
  </si>
  <si>
    <t>1.75"</t>
  </si>
  <si>
    <t>1600/roll</t>
  </si>
  <si>
    <t># 1911</t>
  </si>
  <si>
    <t>3"</t>
  </si>
  <si>
    <t>1000/roll</t>
  </si>
  <si>
    <t># 61-620</t>
  </si>
  <si>
    <t># Shelf Tag Labels  3" x 1"</t>
  </si>
  <si>
    <t>3"  x 1"</t>
  </si>
  <si>
    <t>per roll</t>
  </si>
  <si>
    <t># 61-630</t>
  </si>
  <si>
    <t># Shelf Tag -Godex  2.25" x 1.25"</t>
  </si>
  <si>
    <t># 61-640</t>
  </si>
  <si>
    <t># MaxStick</t>
  </si>
  <si>
    <t>3 1/8" x  240ft</t>
  </si>
  <si>
    <t># 61-670</t>
  </si>
  <si>
    <t>Datamax- Direct Thermal</t>
  </si>
  <si>
    <t>SUPPLY MISC</t>
  </si>
  <si>
    <t># 71-100</t>
  </si>
  <si>
    <t>Server Swipe Card</t>
  </si>
  <si>
    <t>ea</t>
  </si>
  <si>
    <t># 71-200</t>
  </si>
  <si>
    <t>Manager Swipe card</t>
  </si>
  <si>
    <t># 71-300</t>
  </si>
  <si>
    <t>Retractable reel &amp; plastic holder for Swipe card</t>
  </si>
  <si>
    <t># 71-400</t>
  </si>
  <si>
    <t>MSR cleaner card</t>
  </si>
  <si>
    <t># 71-500</t>
  </si>
  <si>
    <t>Thermal Printer Cleaner Card</t>
  </si>
  <si>
    <t># 71-600</t>
  </si>
  <si>
    <t>Thermal Head Cleaner Pen</t>
  </si>
  <si>
    <t># 71-700</t>
  </si>
  <si>
    <t>Compressed Gas Cleaner can</t>
  </si>
  <si>
    <t># 71-800</t>
  </si>
  <si>
    <t>Hand Sanitizer- jar</t>
  </si>
  <si>
    <t># 71-900</t>
  </si>
  <si>
    <t>Supply Item</t>
  </si>
  <si>
    <t># 72-100</t>
  </si>
  <si>
    <t>Cash Drawer Till</t>
  </si>
  <si>
    <t># 72-150</t>
  </si>
  <si>
    <t>Cash Drawer Till- reconditioned</t>
  </si>
  <si>
    <t># 72-200</t>
  </si>
  <si>
    <t>Silicon protective KB cover- Cash reg</t>
  </si>
  <si>
    <t># 72-220</t>
  </si>
  <si>
    <t>Silicon protective screen cover- WS</t>
  </si>
  <si>
    <t># 72-250</t>
  </si>
  <si>
    <t>Silicon protective cover- Pay station</t>
  </si>
  <si>
    <t>FREIGHT</t>
  </si>
  <si>
    <t>per box</t>
  </si>
  <si>
    <t># 80-100</t>
  </si>
  <si>
    <t>Ground Shipping- Zone 1</t>
  </si>
  <si>
    <t># 80-110</t>
  </si>
  <si>
    <t>Ground Shipping- Zone 2</t>
  </si>
  <si>
    <t># 80-120</t>
  </si>
  <si>
    <t>Ground Shipping- Zone 3</t>
  </si>
  <si>
    <t># 80-130</t>
  </si>
  <si>
    <t>Ground Shipping- Zone 4</t>
  </si>
  <si>
    <t># 80-140</t>
  </si>
  <si>
    <t>Overnight Shipping- up to 5 pound</t>
  </si>
  <si>
    <t># 80-150</t>
  </si>
  <si>
    <t>Overnight Shipping- up to 15 pound</t>
  </si>
  <si>
    <t># 80-160</t>
  </si>
  <si>
    <t>Overnight Shipping- up to 30 pound</t>
  </si>
  <si>
    <t>WORKSTATIONS</t>
  </si>
  <si>
    <t># 30-100</t>
  </si>
  <si>
    <t>POS workstation- Windows</t>
  </si>
  <si>
    <t># 30-101</t>
  </si>
  <si>
    <t>POS workstation- Embedded</t>
  </si>
  <si>
    <t># 30-103</t>
  </si>
  <si>
    <t>POS workstation- Rear Display  2 x 20</t>
  </si>
  <si>
    <t># 30-104</t>
  </si>
  <si>
    <t>POS workstation- Pole Display  2x20</t>
  </si>
  <si>
    <t># 30-105</t>
  </si>
  <si>
    <t>POS workstation- Multi-Line Display</t>
  </si>
  <si>
    <t># 30-108</t>
  </si>
  <si>
    <t>POS workstation- Windows- reconditioned</t>
  </si>
  <si>
    <t># 30-109</t>
  </si>
  <si>
    <t>POS workstation- Embedded- reconditioned</t>
  </si>
  <si>
    <t>TABLETS</t>
  </si>
  <si>
    <t># 30-110</t>
  </si>
  <si>
    <t>POS Tablet- Windows</t>
  </si>
  <si>
    <t># 30-111</t>
  </si>
  <si>
    <t>POS Tablet- Android/non-Windows</t>
  </si>
  <si>
    <t># 30-112</t>
  </si>
  <si>
    <t>POS Tablet- add scanner</t>
  </si>
  <si>
    <t># 30-113</t>
  </si>
  <si>
    <t>POS Tablet- Charging Dock</t>
  </si>
  <si>
    <t># 30-114</t>
  </si>
  <si>
    <t>POS Tablet- Charger</t>
  </si>
  <si>
    <t># 30-118</t>
  </si>
  <si>
    <t>POS Tablet- Windows- reconditioned</t>
  </si>
  <si>
    <t># 30-119</t>
  </si>
  <si>
    <t>POS Tablet- Android/non-Windows- reconditioned</t>
  </si>
  <si>
    <t>SOFTWARE</t>
  </si>
  <si>
    <t># 30-120</t>
  </si>
  <si>
    <t>POS Software- NCC</t>
  </si>
  <si>
    <t>per WS</t>
  </si>
  <si>
    <t># 30-121</t>
  </si>
  <si>
    <t>POS Software- SAM4S</t>
  </si>
  <si>
    <t># 30-122</t>
  </si>
  <si>
    <t>POS Software- Microsale</t>
  </si>
  <si>
    <t># 30-123</t>
  </si>
  <si>
    <t>POS Software- Maitre'd- addon</t>
  </si>
  <si>
    <t># 30-124</t>
  </si>
  <si>
    <t>POS Software- Maitre'd- new system</t>
  </si>
  <si>
    <t>per month</t>
  </si>
  <si>
    <t># 30-125</t>
  </si>
  <si>
    <t>POS Software</t>
  </si>
  <si>
    <t># 30-126</t>
  </si>
  <si>
    <t>POS Software- Upgrade</t>
  </si>
  <si>
    <t>PRINTERS</t>
  </si>
  <si>
    <t># 30-130</t>
  </si>
  <si>
    <t>POS Thermal Printer</t>
  </si>
  <si>
    <t># 30-131</t>
  </si>
  <si>
    <t>TMT88</t>
  </si>
  <si>
    <t># 30-132</t>
  </si>
  <si>
    <t>POS Thermal Printer- reconditioned</t>
  </si>
  <si>
    <t># 30-133</t>
  </si>
  <si>
    <t>POS Impact Printer</t>
  </si>
  <si>
    <t># 30-134</t>
  </si>
  <si>
    <t>Epson 220</t>
  </si>
  <si>
    <t>Ser</t>
  </si>
  <si>
    <t># 30-135</t>
  </si>
  <si>
    <t>IP</t>
  </si>
  <si>
    <t># 30-138</t>
  </si>
  <si>
    <t>Reconditioned</t>
  </si>
  <si>
    <t># 30-140</t>
  </si>
  <si>
    <t>Shelf Tag printer</t>
  </si>
  <si>
    <t># 30-141</t>
  </si>
  <si>
    <t>Godex</t>
  </si>
  <si>
    <t># 30-142</t>
  </si>
  <si>
    <t>Label Printer-Datamax M Class</t>
  </si>
  <si>
    <t># 30-148</t>
  </si>
  <si>
    <t>Office Report Printer</t>
  </si>
  <si>
    <t>SCALES</t>
  </si>
  <si>
    <t># 30-150</t>
  </si>
  <si>
    <t>Scale- Integrated POS</t>
  </si>
  <si>
    <t># 30-151</t>
  </si>
  <si>
    <t>Scale- Scanner Integrated</t>
  </si>
  <si>
    <t># 30-155</t>
  </si>
  <si>
    <t xml:space="preserve">Scale- Cas LP 1000 </t>
  </si>
  <si>
    <t># 30-156</t>
  </si>
  <si>
    <t>Scale- Cas  CL5500</t>
  </si>
  <si>
    <t># 30-157</t>
  </si>
  <si>
    <t>Scale- Cas  CL7200 touch</t>
  </si>
  <si>
    <t># 30-158</t>
  </si>
  <si>
    <t>Scale- Other</t>
  </si>
  <si>
    <t>SCANNERS</t>
  </si>
  <si>
    <t># 30-160</t>
  </si>
  <si>
    <t>Scanner- POS  multi line</t>
  </si>
  <si>
    <t># 30-161</t>
  </si>
  <si>
    <t>Scanner- POS  single line</t>
  </si>
  <si>
    <t># 30-162</t>
  </si>
  <si>
    <t>Scanner- POS  wireless</t>
  </si>
  <si>
    <t>CASH DRAWERS</t>
  </si>
  <si>
    <t># 30-165</t>
  </si>
  <si>
    <t>Cash Drawer- Standard</t>
  </si>
  <si>
    <t># 30-166</t>
  </si>
  <si>
    <t>Cash Drawer- Heavy duty</t>
  </si>
  <si>
    <t># 30-167</t>
  </si>
  <si>
    <t>Cash Drawer- Small footprint</t>
  </si>
  <si>
    <t># 30-168</t>
  </si>
  <si>
    <t>Cash Drawer- Cable or Splitter</t>
  </si>
  <si>
    <t># 30-169</t>
  </si>
  <si>
    <t>Cash Drawer- reconditioned</t>
  </si>
  <si>
    <t>KITCHEN VIDEO</t>
  </si>
  <si>
    <t># 30-170</t>
  </si>
  <si>
    <t>Kitchen Video- station w/ Mon</t>
  </si>
  <si>
    <t># 30-171</t>
  </si>
  <si>
    <t>Kitchen Video- station w/ Touch</t>
  </si>
  <si>
    <t># 30-172</t>
  </si>
  <si>
    <t>Kitchen Video- CPU only</t>
  </si>
  <si>
    <t># 30-173</t>
  </si>
  <si>
    <t>Kitchen Video- Bump Bar only</t>
  </si>
  <si>
    <t># 30-174</t>
  </si>
  <si>
    <t>Kitchen Video- Monitor Only</t>
  </si>
  <si>
    <t># 30-175</t>
  </si>
  <si>
    <t>Kitchen Video- Mount Bracket only</t>
  </si>
  <si>
    <t>PAYMENTS</t>
  </si>
  <si>
    <t># 30-180</t>
  </si>
  <si>
    <t>Pinpad- EMV enabled</t>
  </si>
  <si>
    <t># 30-181</t>
  </si>
  <si>
    <t>Pinpad- EMV- Touch</t>
  </si>
  <si>
    <t># 30-182</t>
  </si>
  <si>
    <t>Payment Station- Stand Alone</t>
  </si>
  <si>
    <t># 30-183</t>
  </si>
  <si>
    <t>Payment Station- Touch</t>
  </si>
  <si>
    <t># 30-184</t>
  </si>
  <si>
    <t>Datacap- Net Epay/Tran  SW</t>
  </si>
  <si>
    <t>Station #1</t>
  </si>
  <si>
    <t># 30-185</t>
  </si>
  <si>
    <t>Add Station</t>
  </si>
  <si>
    <t>NETWORK</t>
  </si>
  <si>
    <t># 30-190</t>
  </si>
  <si>
    <t>Network switch- 5 Port</t>
  </si>
  <si>
    <t># 30-191</t>
  </si>
  <si>
    <t>Network switch- 8 Port</t>
  </si>
  <si>
    <t># 30-192</t>
  </si>
  <si>
    <t>Network switch- 16 port</t>
  </si>
  <si>
    <t># 30-193</t>
  </si>
  <si>
    <t>Network switch- 24 port</t>
  </si>
  <si>
    <t># 30-194</t>
  </si>
  <si>
    <t>Router</t>
  </si>
  <si>
    <t># 30-195</t>
  </si>
  <si>
    <t>Access Point- standard</t>
  </si>
  <si>
    <t># 30-196</t>
  </si>
  <si>
    <t>Access Point- Cisco</t>
  </si>
  <si>
    <t># 30-197</t>
  </si>
  <si>
    <t>POE for Access Point</t>
  </si>
  <si>
    <t>OFFICE</t>
  </si>
  <si>
    <t># 30-200</t>
  </si>
  <si>
    <t>Dell office PC, inc kb &amp; mouse</t>
  </si>
  <si>
    <t># 30-201</t>
  </si>
  <si>
    <t>Office PC- Monitor</t>
  </si>
  <si>
    <t># 30-202</t>
  </si>
  <si>
    <t>Office Printer</t>
  </si>
  <si>
    <t># 30-203</t>
  </si>
  <si>
    <t>Office Printer/Copy/Scan</t>
  </si>
  <si>
    <t># 30-204</t>
  </si>
  <si>
    <t>Office=-KVM switch box</t>
  </si>
  <si>
    <t>CASH REGISTER</t>
  </si>
  <si>
    <t># 30-210</t>
  </si>
  <si>
    <t>Sam 4S</t>
  </si>
  <si>
    <t>ER 260</t>
  </si>
  <si>
    <t>raised kb</t>
  </si>
  <si>
    <t># 30-211</t>
  </si>
  <si>
    <t>ER 265</t>
  </si>
  <si>
    <t>flat kb</t>
  </si>
  <si>
    <t># 30-212</t>
  </si>
  <si>
    <t>ER 940</t>
  </si>
  <si>
    <t># 30-213</t>
  </si>
  <si>
    <t>ER 945</t>
  </si>
  <si>
    <t># 30-214</t>
  </si>
  <si>
    <t>SAP 630</t>
  </si>
  <si>
    <t># 30-215</t>
  </si>
  <si>
    <t># 30-216</t>
  </si>
  <si>
    <t>Cash Register</t>
  </si>
  <si>
    <t># 30-217</t>
  </si>
  <si>
    <t>Cash Register- reconditioned</t>
  </si>
  <si>
    <t># 30-218</t>
  </si>
  <si>
    <t>Cash Register- peripheral</t>
  </si>
  <si>
    <t>POWER CONDITIONER</t>
  </si>
  <si>
    <t># 30-220</t>
  </si>
  <si>
    <t>Power Conditioner- Printer- reconditioned</t>
  </si>
  <si>
    <t># 30-221</t>
  </si>
  <si>
    <t>Power Conditioner- Workstation- reconditioned</t>
  </si>
  <si>
    <t># 30-222</t>
  </si>
  <si>
    <t>Power Conditioner- Large- reconditioned</t>
  </si>
  <si>
    <t># 30-223</t>
  </si>
  <si>
    <t>PWC + UPS- reconditioned</t>
  </si>
  <si>
    <t># 30-224</t>
  </si>
  <si>
    <t>UPS for workstation</t>
  </si>
  <si>
    <t>DISCOUNT</t>
  </si>
  <si>
    <t># 30-999</t>
  </si>
  <si>
    <t>Courtesy Discount on this transaction</t>
  </si>
  <si>
    <t>REPAIR PARTS</t>
  </si>
  <si>
    <t># 40-100</t>
  </si>
  <si>
    <t>Printer repair part</t>
  </si>
  <si>
    <t># 40-110</t>
  </si>
  <si>
    <t>Printer power brick</t>
  </si>
  <si>
    <t># 40-111</t>
  </si>
  <si>
    <t>Printer power brick- reconditioned</t>
  </si>
  <si>
    <t># 40-120</t>
  </si>
  <si>
    <t>Workstation- replacement touchscreen</t>
  </si>
  <si>
    <t># 40-121</t>
  </si>
  <si>
    <t>Workstation- replacement LCD</t>
  </si>
  <si>
    <t># 40-122</t>
  </si>
  <si>
    <t>Workstation- replacement MSR</t>
  </si>
  <si>
    <t># 40-123</t>
  </si>
  <si>
    <t>Workstation- replacement rear display</t>
  </si>
  <si>
    <t># 40-124</t>
  </si>
  <si>
    <t>Workstation- replacement hard drive</t>
  </si>
  <si>
    <t>Workstation- power brick</t>
  </si>
  <si>
    <t># 40-128</t>
  </si>
  <si>
    <t>Workstation- replacement part</t>
  </si>
  <si>
    <t># 40-130</t>
  </si>
  <si>
    <t>Install/Repair Part</t>
  </si>
  <si>
    <t># 40-131</t>
  </si>
  <si>
    <t># 40-132</t>
  </si>
  <si>
    <t># 40-133</t>
  </si>
  <si>
    <t># 40-134</t>
  </si>
  <si>
    <t># 40-135</t>
  </si>
  <si>
    <t>LABOR</t>
  </si>
  <si>
    <t>y</t>
  </si>
  <si>
    <t># 40-500</t>
  </si>
  <si>
    <t>In-Shop labor</t>
  </si>
  <si>
    <t>per hour</t>
  </si>
  <si>
    <t># 40-501</t>
  </si>
  <si>
    <t>On-Site Labor</t>
  </si>
  <si>
    <t># 40-502</t>
  </si>
  <si>
    <t>POS System- database creation, ore-install</t>
  </si>
  <si>
    <t># 40-503</t>
  </si>
  <si>
    <t>Day Rate Labor- discounted rate</t>
  </si>
  <si>
    <t>up to 8hrs</t>
  </si>
  <si>
    <t># 40-504</t>
  </si>
  <si>
    <t>Day Rate Labor- discounted rate- 2nd or more day</t>
  </si>
  <si>
    <t># 40-510</t>
  </si>
  <si>
    <t>Labor- Travel to Site- Zone 1</t>
  </si>
  <si>
    <t># 40-511</t>
  </si>
  <si>
    <t>Labor- Travel to Site- Zone 2</t>
  </si>
  <si>
    <t># 40-512</t>
  </si>
  <si>
    <t>Labor- Travel to Site- Zone 3</t>
  </si>
  <si>
    <t># 40-513</t>
  </si>
  <si>
    <t>Labor- Travel to Site- Zone 4</t>
  </si>
  <si>
    <t>SUPPORT SVCS</t>
  </si>
  <si>
    <t># 40-600</t>
  </si>
  <si>
    <t>Labor- Help Desk- Business Hours</t>
  </si>
  <si>
    <t># 40-601</t>
  </si>
  <si>
    <t>per year</t>
  </si>
  <si>
    <t># 40-602</t>
  </si>
  <si>
    <t>Labor- Help Desk- 7 x 24</t>
  </si>
  <si>
    <t># 40-603</t>
  </si>
  <si>
    <t># 40-604</t>
  </si>
  <si>
    <t>Labor- Depot hardware repair- business hours</t>
  </si>
  <si>
    <t>per WS/yr</t>
  </si>
  <si>
    <t># 40-605</t>
  </si>
  <si>
    <t>Labor- Onsite hardware repair- business hours</t>
  </si>
  <si>
    <t>Effective Sales and Use Tax Rates</t>
  </si>
  <si>
    <t>Location</t>
  </si>
  <si>
    <t>County</t>
  </si>
  <si>
    <t>Type</t>
  </si>
  <si>
    <t>Notes</t>
  </si>
  <si>
    <t>Adelanto</t>
  </si>
  <si>
    <t>San Bernardino</t>
  </si>
  <si>
    <t>Agoura Hills</t>
  </si>
  <si>
    <t>Alameda County</t>
  </si>
  <si>
    <t>Alhambra</t>
  </si>
  <si>
    <t>Aliso Viejo</t>
  </si>
  <si>
    <t>Orange</t>
  </si>
  <si>
    <t>Alpine County</t>
  </si>
  <si>
    <t>Alpine</t>
  </si>
  <si>
    <t>Alturas</t>
  </si>
  <si>
    <t>Modoc</t>
  </si>
  <si>
    <t>Amador City</t>
  </si>
  <si>
    <t>Amador</t>
  </si>
  <si>
    <t>Amador County</t>
  </si>
  <si>
    <t>Anderson</t>
  </si>
  <si>
    <t>Shasta</t>
  </si>
  <si>
    <t>Angels Camp</t>
  </si>
  <si>
    <t>Calaveras</t>
  </si>
  <si>
    <t>Contra Costa</t>
  </si>
  <si>
    <t>Apple Valley</t>
  </si>
  <si>
    <t>Arcadia</t>
  </si>
  <si>
    <t>Humboldt</t>
  </si>
  <si>
    <t>Arroyo Grande</t>
  </si>
  <si>
    <t>San Luis Obispo</t>
  </si>
  <si>
    <t>Artesia</t>
  </si>
  <si>
    <t>Arvin</t>
  </si>
  <si>
    <t>Kern</t>
  </si>
  <si>
    <t>Atascadero</t>
  </si>
  <si>
    <t>Atherton</t>
  </si>
  <si>
    <t>Atwater</t>
  </si>
  <si>
    <t>Merced</t>
  </si>
  <si>
    <t>Avalon</t>
  </si>
  <si>
    <t>Avenal</t>
  </si>
  <si>
    <t>Kings</t>
  </si>
  <si>
    <t>Azusa</t>
  </si>
  <si>
    <t>Bakersfield</t>
  </si>
  <si>
    <t>Baldwin Park</t>
  </si>
  <si>
    <t>Banning</t>
  </si>
  <si>
    <t>Barstow</t>
  </si>
  <si>
    <t>Beaumont</t>
  </si>
  <si>
    <t>Bell</t>
  </si>
  <si>
    <t>Bell Gardens</t>
  </si>
  <si>
    <t>Bellflower</t>
  </si>
  <si>
    <t>Belvedere</t>
  </si>
  <si>
    <t>Solano</t>
  </si>
  <si>
    <t>Beverly Hills</t>
  </si>
  <si>
    <t>Big Bear Lake</t>
  </si>
  <si>
    <t>Biggs</t>
  </si>
  <si>
    <t>Butte</t>
  </si>
  <si>
    <t>Bishop</t>
  </si>
  <si>
    <t>Inyo</t>
  </si>
  <si>
    <t>Blue Lake</t>
  </si>
  <si>
    <t>Blythe</t>
  </si>
  <si>
    <t>Bradbury</t>
  </si>
  <si>
    <t>Brawley</t>
  </si>
  <si>
    <t>Imperial</t>
  </si>
  <si>
    <t>Brea</t>
  </si>
  <si>
    <t>Buellton</t>
  </si>
  <si>
    <t>Buena Park</t>
  </si>
  <si>
    <t>Burbank</t>
  </si>
  <si>
    <t>Butte County</t>
  </si>
  <si>
    <t>Calabasas</t>
  </si>
  <si>
    <t>Calaveras County</t>
  </si>
  <si>
    <t>Calexico</t>
  </si>
  <si>
    <t>California City</t>
  </si>
  <si>
    <t>Calimesa</t>
  </si>
  <si>
    <t>Calipatria</t>
  </si>
  <si>
    <t>Campbell</t>
  </si>
  <si>
    <t>Canyon Lake</t>
  </si>
  <si>
    <t>Capitola</t>
  </si>
  <si>
    <t>Carlsbad</t>
  </si>
  <si>
    <t>San Diego</t>
  </si>
  <si>
    <t>Carmel-by-the-Sea</t>
  </si>
  <si>
    <t>Carpinteria</t>
  </si>
  <si>
    <t>Carson</t>
  </si>
  <si>
    <t>Cathedral City</t>
  </si>
  <si>
    <t>Stanislaus</t>
  </si>
  <si>
    <t>Cerritos</t>
  </si>
  <si>
    <t>Chino</t>
  </si>
  <si>
    <t>Chino Hills</t>
  </si>
  <si>
    <t>Chowchilla</t>
  </si>
  <si>
    <t>Madera</t>
  </si>
  <si>
    <t>Chula Vista</t>
  </si>
  <si>
    <t>City of Commerce</t>
  </si>
  <si>
    <t>City of Industry</t>
  </si>
  <si>
    <t>Claremont</t>
  </si>
  <si>
    <t>Clayton</t>
  </si>
  <si>
    <t>Clearlake</t>
  </si>
  <si>
    <t>Lake</t>
  </si>
  <si>
    <t>Cloverdale</t>
  </si>
  <si>
    <t>Clovis</t>
  </si>
  <si>
    <t>Coachella</t>
  </si>
  <si>
    <t>Coalinga</t>
  </si>
  <si>
    <t>Colfax</t>
  </si>
  <si>
    <t>Colma</t>
  </si>
  <si>
    <t>Colton</t>
  </si>
  <si>
    <t>Colusa</t>
  </si>
  <si>
    <t>Colusa County</t>
  </si>
  <si>
    <t>Compton</t>
  </si>
  <si>
    <t>Contra Costa County</t>
  </si>
  <si>
    <t>Corcoran</t>
  </si>
  <si>
    <t>Corning</t>
  </si>
  <si>
    <t>Tehama</t>
  </si>
  <si>
    <t>Corona</t>
  </si>
  <si>
    <t>Coronado</t>
  </si>
  <si>
    <t>Costa Mesa</t>
  </si>
  <si>
    <t>Covina</t>
  </si>
  <si>
    <t>Crescent City</t>
  </si>
  <si>
    <t>Del Norte</t>
  </si>
  <si>
    <t>Cudahy</t>
  </si>
  <si>
    <t>Culver City</t>
  </si>
  <si>
    <t>Dana Point</t>
  </si>
  <si>
    <t>Davis</t>
  </si>
  <si>
    <t>Yolo</t>
  </si>
  <si>
    <t>Del Mar</t>
  </si>
  <si>
    <t>Del Norte County</t>
  </si>
  <si>
    <t>This county tax rate applies to areas that are within the boundaries of any incorporated city within the county of Del Norte</t>
  </si>
  <si>
    <t>Del Norte County Unincorporated Area</t>
  </si>
  <si>
    <t>This county tax rate applies to areas that are not within the boundaries of any incorporated city within the county of Del Norte</t>
  </si>
  <si>
    <t>Del Rey Oaks</t>
  </si>
  <si>
    <t>Delano</t>
  </si>
  <si>
    <t>Desert Hot Springs</t>
  </si>
  <si>
    <t>Diamond Bar</t>
  </si>
  <si>
    <t>Dixon</t>
  </si>
  <si>
    <t>Dorris</t>
  </si>
  <si>
    <t>Siskiyou</t>
  </si>
  <si>
    <t>Dos Palos</t>
  </si>
  <si>
    <t>Downey</t>
  </si>
  <si>
    <t>Duarte</t>
  </si>
  <si>
    <t>Dunsmuir</t>
  </si>
  <si>
    <t>Eastvale</t>
  </si>
  <si>
    <t>El Cajon</t>
  </si>
  <si>
    <t>El Centro</t>
  </si>
  <si>
    <t>El Dorado County</t>
  </si>
  <si>
    <t>El Dorado</t>
  </si>
  <si>
    <t>El Monte</t>
  </si>
  <si>
    <t>El Segundo</t>
  </si>
  <si>
    <t>Encinitas</t>
  </si>
  <si>
    <t>Escalon</t>
  </si>
  <si>
    <t>San Joaquin</t>
  </si>
  <si>
    <t>Escondido</t>
  </si>
  <si>
    <t>Etna</t>
  </si>
  <si>
    <t>Eureka</t>
  </si>
  <si>
    <t>Exeter</t>
  </si>
  <si>
    <t>Farmersville</t>
  </si>
  <si>
    <t>Ferndale</t>
  </si>
  <si>
    <t>Fillmore</t>
  </si>
  <si>
    <t>Firebaugh</t>
  </si>
  <si>
    <t>Fontana</t>
  </si>
  <si>
    <t>Mendocino</t>
  </si>
  <si>
    <t>Fort Jones</t>
  </si>
  <si>
    <t>Fortuna</t>
  </si>
  <si>
    <t>Foster City</t>
  </si>
  <si>
    <t>Fountain Valley</t>
  </si>
  <si>
    <t>Fowler</t>
  </si>
  <si>
    <t>Fresno County</t>
  </si>
  <si>
    <t>Fullerton</t>
  </si>
  <si>
    <t>Galt</t>
  </si>
  <si>
    <t>Garden Grove</t>
  </si>
  <si>
    <t>Gardena</t>
  </si>
  <si>
    <t>Glendora</t>
  </si>
  <si>
    <t>Glenn County</t>
  </si>
  <si>
    <t>Glenn</t>
  </si>
  <si>
    <t>Gonzales</t>
  </si>
  <si>
    <t>Grand Terrace</t>
  </si>
  <si>
    <t>Nevada</t>
  </si>
  <si>
    <t>Greenfield</t>
  </si>
  <si>
    <t>Grover Beach</t>
  </si>
  <si>
    <t>Guadalupe</t>
  </si>
  <si>
    <t>Gustine</t>
  </si>
  <si>
    <t>Hanford</t>
  </si>
  <si>
    <t>Hawaiian Gardens</t>
  </si>
  <si>
    <t>Hawthorne</t>
  </si>
  <si>
    <t>Hemet</t>
  </si>
  <si>
    <t>Hermosa Beach</t>
  </si>
  <si>
    <t>Hesperia</t>
  </si>
  <si>
    <t>Hidden Hills</t>
  </si>
  <si>
    <t>Highland</t>
  </si>
  <si>
    <t>Hillsborough</t>
  </si>
  <si>
    <t>San Benito</t>
  </si>
  <si>
    <t>Holtville</t>
  </si>
  <si>
    <t>Hughson</t>
  </si>
  <si>
    <t>Humboldt County</t>
  </si>
  <si>
    <t>Huntington Beach</t>
  </si>
  <si>
    <t>Huntington Park</t>
  </si>
  <si>
    <t>Huron</t>
  </si>
  <si>
    <t>Imperial Beach</t>
  </si>
  <si>
    <t>Imperial County</t>
  </si>
  <si>
    <t>Indian Wells</t>
  </si>
  <si>
    <t>Indio</t>
  </si>
  <si>
    <t>Inglewood</t>
  </si>
  <si>
    <t>Inyo County</t>
  </si>
  <si>
    <t>Ione</t>
  </si>
  <si>
    <t>Irvine</t>
  </si>
  <si>
    <t>Irwindale</t>
  </si>
  <si>
    <t>Isleton</t>
  </si>
  <si>
    <t>Jackson</t>
  </si>
  <si>
    <t>Kerman</t>
  </si>
  <si>
    <t>Kern County</t>
  </si>
  <si>
    <t>This county tax rate applies to areas that are within the boundaries of any incorporated city within the county of Kern</t>
  </si>
  <si>
    <t>Kern County Unincorporated Area</t>
  </si>
  <si>
    <t>This county tax rate applies to areas that are not within the boundaries of any incorporated city within the county of Kern</t>
  </si>
  <si>
    <t>King City</t>
  </si>
  <si>
    <t>Kings County</t>
  </si>
  <si>
    <t>Kingsburg</t>
  </si>
  <si>
    <t>La Canada Flintridge</t>
  </si>
  <si>
    <t>La Habra</t>
  </si>
  <si>
    <t>La Habra Heights</t>
  </si>
  <si>
    <t>La Mesa</t>
  </si>
  <si>
    <t>La Mirada</t>
  </si>
  <si>
    <t>La Palma</t>
  </si>
  <si>
    <t>La Puente</t>
  </si>
  <si>
    <t>La Quinta</t>
  </si>
  <si>
    <t>La Verne</t>
  </si>
  <si>
    <t>Laguna Beach</t>
  </si>
  <si>
    <t>Laguna Hills</t>
  </si>
  <si>
    <t>Laguna Niguel</t>
  </si>
  <si>
    <t>Laguna Woods</t>
  </si>
  <si>
    <t>Lake County</t>
  </si>
  <si>
    <t>Lake Elsinore</t>
  </si>
  <si>
    <t>Lake Forest</t>
  </si>
  <si>
    <t>Lakeport</t>
  </si>
  <si>
    <t>Lakewood</t>
  </si>
  <si>
    <t>Lancaster</t>
  </si>
  <si>
    <t>Lassen County</t>
  </si>
  <si>
    <t>Lassen</t>
  </si>
  <si>
    <t>Lawndale</t>
  </si>
  <si>
    <t>Lemon Grove</t>
  </si>
  <si>
    <t>Lemoore</t>
  </si>
  <si>
    <t>Lincoln</t>
  </si>
  <si>
    <t>Live Oak</t>
  </si>
  <si>
    <t>Sutter</t>
  </si>
  <si>
    <t>Livingston</t>
  </si>
  <si>
    <t>Loma Linda</t>
  </si>
  <si>
    <t>Lomita</t>
  </si>
  <si>
    <t>Lompoc</t>
  </si>
  <si>
    <t>Loomis</t>
  </si>
  <si>
    <t>Los Alamitos</t>
  </si>
  <si>
    <t>Los Altos Hills</t>
  </si>
  <si>
    <t>Los Angeles County</t>
  </si>
  <si>
    <t>Los Banos</t>
  </si>
  <si>
    <t>Loyalton</t>
  </si>
  <si>
    <t>Sierra</t>
  </si>
  <si>
    <t>Lynwood</t>
  </si>
  <si>
    <t>Madera County</t>
  </si>
  <si>
    <t>Malibu</t>
  </si>
  <si>
    <t>Mammoth Lakes</t>
  </si>
  <si>
    <t>Mono</t>
  </si>
  <si>
    <t>Manhattan Beach</t>
  </si>
  <si>
    <t>Manteca</t>
  </si>
  <si>
    <t>Maricopa</t>
  </si>
  <si>
    <t>Marin County</t>
  </si>
  <si>
    <t>Mariposa County</t>
  </si>
  <si>
    <t>Mariposa</t>
  </si>
  <si>
    <t>Marysville</t>
  </si>
  <si>
    <t>Yuba</t>
  </si>
  <si>
    <t>Maywood</t>
  </si>
  <si>
    <t>McFarland</t>
  </si>
  <si>
    <t>Mendocino County</t>
  </si>
  <si>
    <t>Mendota</t>
  </si>
  <si>
    <t>Menifee</t>
  </si>
  <si>
    <t>Menlo Park</t>
  </si>
  <si>
    <t>Merced County</t>
  </si>
  <si>
    <t>Mission Viejo</t>
  </si>
  <si>
    <t>Modoc County</t>
  </si>
  <si>
    <t>Mono County</t>
  </si>
  <si>
    <t>Monrovia</t>
  </si>
  <si>
    <t>Montague</t>
  </si>
  <si>
    <t>Montclair</t>
  </si>
  <si>
    <t>Monte Sereno</t>
  </si>
  <si>
    <t>Montebello</t>
  </si>
  <si>
    <t>Monterey County</t>
  </si>
  <si>
    <t>Monterey Park</t>
  </si>
  <si>
    <t>Moorpark</t>
  </si>
  <si>
    <t>Moraga</t>
  </si>
  <si>
    <t>Moreno Valley</t>
  </si>
  <si>
    <t>Morgan Hill</t>
  </si>
  <si>
    <t>Morro Bay</t>
  </si>
  <si>
    <t>Mount Shasta</t>
  </si>
  <si>
    <t>Murrieta</t>
  </si>
  <si>
    <t>Napa County</t>
  </si>
  <si>
    <t>National City</t>
  </si>
  <si>
    <t>Needles</t>
  </si>
  <si>
    <t>Nevada City</t>
  </si>
  <si>
    <t>Nevada County</t>
  </si>
  <si>
    <t>Newman</t>
  </si>
  <si>
    <t>Newport Beach</t>
  </si>
  <si>
    <t>Norco</t>
  </si>
  <si>
    <t>Norwalk</t>
  </si>
  <si>
    <t>Oakdale</t>
  </si>
  <si>
    <t>Oakley</t>
  </si>
  <si>
    <t>Ojai</t>
  </si>
  <si>
    <t>Ontario</t>
  </si>
  <si>
    <t>Orange County</t>
  </si>
  <si>
    <t>Orange Cove</t>
  </si>
  <si>
    <t>Orinda</t>
  </si>
  <si>
    <t>Orland</t>
  </si>
  <si>
    <t>Oroville</t>
  </si>
  <si>
    <t>Oxnard</t>
  </si>
  <si>
    <t>Pacific Grove</t>
  </si>
  <si>
    <t>Palm Springs</t>
  </si>
  <si>
    <t>Palos Verdes Estates</t>
  </si>
  <si>
    <t>Paradise</t>
  </si>
  <si>
    <t>Paramount</t>
  </si>
  <si>
    <t>Parlier</t>
  </si>
  <si>
    <t>Paso Robles</t>
  </si>
  <si>
    <t>Perris</t>
  </si>
  <si>
    <t>Pico Rivera</t>
  </si>
  <si>
    <t>Piedmont</t>
  </si>
  <si>
    <t>Pismo Beach</t>
  </si>
  <si>
    <t>Placentia</t>
  </si>
  <si>
    <t>Placer County</t>
  </si>
  <si>
    <t>Plumas County</t>
  </si>
  <si>
    <t>Plumas</t>
  </si>
  <si>
    <t>Plymouth</t>
  </si>
  <si>
    <t>Point Arena</t>
  </si>
  <si>
    <t>Pomona</t>
  </si>
  <si>
    <t>Port Hueneme</t>
  </si>
  <si>
    <t>Porterville</t>
  </si>
  <si>
    <t>Portola</t>
  </si>
  <si>
    <t>Portola Valley</t>
  </si>
  <si>
    <t>Poway</t>
  </si>
  <si>
    <t>Rancho Cordova</t>
  </si>
  <si>
    <t>Rancho Cucamonga</t>
  </si>
  <si>
    <t>Rancho Mirage</t>
  </si>
  <si>
    <t>Rancho Palos Verdes</t>
  </si>
  <si>
    <t>Rancho Santa Margarita</t>
  </si>
  <si>
    <t>Red Bluff</t>
  </si>
  <si>
    <t>Redding</t>
  </si>
  <si>
    <t>Redlands</t>
  </si>
  <si>
    <t>Redondo Beach</t>
  </si>
  <si>
    <t>Reedley</t>
  </si>
  <si>
    <t>Rialto</t>
  </si>
  <si>
    <t>Ridgecrest</t>
  </si>
  <si>
    <t>Rio Dell</t>
  </si>
  <si>
    <t>Riverside County</t>
  </si>
  <si>
    <t>Rocklin</t>
  </si>
  <si>
    <t>Rolling Hills</t>
  </si>
  <si>
    <t>Rolling Hills Estates</t>
  </si>
  <si>
    <t>Sacramento County</t>
  </si>
  <si>
    <t>Salinas</t>
  </si>
  <si>
    <t>San Benito County</t>
  </si>
  <si>
    <t>San Bernardino County</t>
  </si>
  <si>
    <t>San Clemente</t>
  </si>
  <si>
    <t>San Diego County</t>
  </si>
  <si>
    <t>San Dimas</t>
  </si>
  <si>
    <t>San Fernando</t>
  </si>
  <si>
    <t>San Francisco County</t>
  </si>
  <si>
    <t>San Gabriel</t>
  </si>
  <si>
    <t>San Jacinto</t>
  </si>
  <si>
    <t>San Joaquin County</t>
  </si>
  <si>
    <t>San Juan Bautista</t>
  </si>
  <si>
    <t>San Juan Capistrano</t>
  </si>
  <si>
    <t>San Luis Obispo County</t>
  </si>
  <si>
    <t>San Marcos</t>
  </si>
  <si>
    <t>San Marino</t>
  </si>
  <si>
    <t>San Mateo County</t>
  </si>
  <si>
    <t>Sand City</t>
  </si>
  <si>
    <t>Sanger</t>
  </si>
  <si>
    <t>Santa Barbara County</t>
  </si>
  <si>
    <t>Santa Clara County</t>
  </si>
  <si>
    <t>Santa Clarita</t>
  </si>
  <si>
    <t>Santa Cruz County</t>
  </si>
  <si>
    <t>This county tax rate applies to areas that are within the boundaries of any incorporated city within the county of Santa Cruz</t>
  </si>
  <si>
    <t>Santa Cruz County Unincorporated Area</t>
  </si>
  <si>
    <t>This county tax rate applies to areas that are not within the boundaries of any incorporated city within the county of Santa Cruz</t>
  </si>
  <si>
    <t>Santa Fe Springs</t>
  </si>
  <si>
    <t>Santa Maria</t>
  </si>
  <si>
    <t>Santa Monica</t>
  </si>
  <si>
    <t>Santee</t>
  </si>
  <si>
    <t>Saratoga</t>
  </si>
  <si>
    <t>Scotts Valley</t>
  </si>
  <si>
    <t>Selma</t>
  </si>
  <si>
    <t>Shafter</t>
  </si>
  <si>
    <t>Shasta County</t>
  </si>
  <si>
    <t>Shasta Lake</t>
  </si>
  <si>
    <t>Sierra County</t>
  </si>
  <si>
    <t>Sierra Madre</t>
  </si>
  <si>
    <t>Signal Hill</t>
  </si>
  <si>
    <t>Simi Valley</t>
  </si>
  <si>
    <t>Siskiyou County</t>
  </si>
  <si>
    <t>Solana Beach</t>
  </si>
  <si>
    <t>Solano County</t>
  </si>
  <si>
    <t>Solvang</t>
  </si>
  <si>
    <t>Sonoma County</t>
  </si>
  <si>
    <t>Sonora</t>
  </si>
  <si>
    <t>Tuolumne</t>
  </si>
  <si>
    <t>South El Monte</t>
  </si>
  <si>
    <t>South Gate</t>
  </si>
  <si>
    <t>South Lake Tahoe</t>
  </si>
  <si>
    <t>South Pasadena</t>
  </si>
  <si>
    <t>Stanislaus County</t>
  </si>
  <si>
    <t>Stanton</t>
  </si>
  <si>
    <t>Susanville</t>
  </si>
  <si>
    <t>Sutter County</t>
  </si>
  <si>
    <t>Sutter Creek</t>
  </si>
  <si>
    <t>Taft</t>
  </si>
  <si>
    <t>Tehama County</t>
  </si>
  <si>
    <t>Temecula</t>
  </si>
  <si>
    <t>Temple City</t>
  </si>
  <si>
    <t>Thousand Oaks</t>
  </si>
  <si>
    <t>Torrance</t>
  </si>
  <si>
    <t>Trinidad</t>
  </si>
  <si>
    <t>Trinity County</t>
  </si>
  <si>
    <t>Trinity</t>
  </si>
  <si>
    <t>Truckee</t>
  </si>
  <si>
    <t>Tulare County</t>
  </si>
  <si>
    <t>Tulelake</t>
  </si>
  <si>
    <t>Tuolumne County</t>
  </si>
  <si>
    <t>Tustin</t>
  </si>
  <si>
    <t>Twentynine Palms</t>
  </si>
  <si>
    <t>Upland</t>
  </si>
  <si>
    <t>Ventura County</t>
  </si>
  <si>
    <t>Villa Park</t>
  </si>
  <si>
    <t>Visalia</t>
  </si>
  <si>
    <t>Vista</t>
  </si>
  <si>
    <t>Walnut</t>
  </si>
  <si>
    <t>Wasco</t>
  </si>
  <si>
    <t>Waterford</t>
  </si>
  <si>
    <t>Watsonville</t>
  </si>
  <si>
    <t>Weed</t>
  </si>
  <si>
    <t>West Covina</t>
  </si>
  <si>
    <t>West Hollywood</t>
  </si>
  <si>
    <t>West Sacramento</t>
  </si>
  <si>
    <t>Westlake Village</t>
  </si>
  <si>
    <t>Westminster</t>
  </si>
  <si>
    <t>Westmorland</t>
  </si>
  <si>
    <t>Wheatland</t>
  </si>
  <si>
    <t>Whittier</t>
  </si>
  <si>
    <t>Wildomar</t>
  </si>
  <si>
    <t>Williams</t>
  </si>
  <si>
    <t>Willits</t>
  </si>
  <si>
    <t>Willows</t>
  </si>
  <si>
    <t>Winters</t>
  </si>
  <si>
    <t>Woodlake</t>
  </si>
  <si>
    <t>Woodland</t>
  </si>
  <si>
    <t>Woodside</t>
  </si>
  <si>
    <t>Yolo County</t>
  </si>
  <si>
    <t>Yorba Linda</t>
  </si>
  <si>
    <t>Yreka</t>
  </si>
  <si>
    <t>Yuba County</t>
  </si>
  <si>
    <t>This county tax rate applies to areas that are within the boundaries of any incorporated city within the county of Yuba.</t>
  </si>
  <si>
    <t>Yuba County Unincorporated Area</t>
  </si>
  <si>
    <t>This county tax rate applies to areas that are not within the boundaries of any incorporated city within the county of Yuba</t>
  </si>
  <si>
    <t>Yucaipa</t>
  </si>
  <si>
    <t>Yucca Valley</t>
  </si>
  <si>
    <t>Performance POS    415-451-4861    100-A Pelican Way, San Rafael CA 94901</t>
  </si>
  <si>
    <t>Toll-Free Support: 888-411-3375   support@performancepos.com</t>
  </si>
  <si>
    <t>Employee</t>
  </si>
  <si>
    <t>Desk</t>
  </si>
  <si>
    <t>Email</t>
  </si>
  <si>
    <t>Antonio Hudnall</t>
  </si>
  <si>
    <t>415-720-8345</t>
  </si>
  <si>
    <t>415-532-6834</t>
  </si>
  <si>
    <t>antonio@performancepos.com</t>
  </si>
  <si>
    <t>Austen</t>
  </si>
  <si>
    <t>515-337-3309</t>
  </si>
  <si>
    <t>650-242-6487</t>
  </si>
  <si>
    <t>Rick Villasin</t>
  </si>
  <si>
    <t>415-203-9112</t>
  </si>
  <si>
    <t>Denny Deyerle</t>
  </si>
  <si>
    <t>415-755-3512</t>
  </si>
  <si>
    <t>209-801-2674</t>
  </si>
  <si>
    <t>denny@performancepos.com</t>
  </si>
  <si>
    <t>Doug Kelly</t>
  </si>
  <si>
    <t>415-521-0979</t>
  </si>
  <si>
    <t>415-432-0630</t>
  </si>
  <si>
    <t>dougkelly@performancepos.com</t>
  </si>
  <si>
    <t>Eltjon Lala</t>
  </si>
  <si>
    <t>EL</t>
  </si>
  <si>
    <t>415-755-0408</t>
  </si>
  <si>
    <t>978-608-3975</t>
  </si>
  <si>
    <t>eltjon@performancepos.com</t>
  </si>
  <si>
    <t>Ernesto</t>
  </si>
  <si>
    <t>415-706-5775</t>
  </si>
  <si>
    <t>Jose Santos</t>
  </si>
  <si>
    <t>415-755-0111</t>
  </si>
  <si>
    <t>415-747-2564</t>
  </si>
  <si>
    <t>josesantos@performancepos.com</t>
  </si>
  <si>
    <t>Josue</t>
  </si>
  <si>
    <t>510-480-5415</t>
  </si>
  <si>
    <t>Lowell Galang</t>
  </si>
  <si>
    <t>415-755-5910</t>
  </si>
  <si>
    <t>650-278-2997</t>
  </si>
  <si>
    <t>lgalang@performancepos.com</t>
  </si>
  <si>
    <t>Milton Bland</t>
  </si>
  <si>
    <t>415-755-0337</t>
  </si>
  <si>
    <t>415-747-0039</t>
  </si>
  <si>
    <t>milton@performancepos.com</t>
  </si>
  <si>
    <t>Rich Alden</t>
  </si>
  <si>
    <t>415-521-0776</t>
  </si>
  <si>
    <t>415-747-0038</t>
  </si>
  <si>
    <t>richalden@performancepos.com</t>
  </si>
  <si>
    <t>Rob Freaney</t>
  </si>
  <si>
    <t>415-521-0548</t>
  </si>
  <si>
    <t>415-747-2568</t>
  </si>
  <si>
    <t>robfreaney@performancepos.com</t>
  </si>
  <si>
    <t>Outside Tech Resources</t>
  </si>
  <si>
    <t>Pete Pizzino</t>
  </si>
  <si>
    <t>PP</t>
  </si>
  <si>
    <t>cashreg@sbcglobal.net</t>
  </si>
  <si>
    <t>POS &amp; ECR</t>
  </si>
  <si>
    <t>NCC &amp; RHQ</t>
  </si>
  <si>
    <t>866-944-5164</t>
  </si>
  <si>
    <t>nccusa.com  &amp;  nccusa.com/rhq</t>
  </si>
  <si>
    <t>Posera Maitre'd</t>
  </si>
  <si>
    <t>888-404-2662</t>
  </si>
  <si>
    <t>distributors.maitredpos.com</t>
  </si>
  <si>
    <t>Casio</t>
  </si>
  <si>
    <t>800-633-5586</t>
  </si>
  <si>
    <t>casio.com</t>
  </si>
  <si>
    <t>Credit Cards</t>
  </si>
  <si>
    <t>Datacap</t>
  </si>
  <si>
    <t>215-997-8989</t>
  </si>
  <si>
    <t>datacapsystems.com</t>
  </si>
  <si>
    <t>Mercury Vantiv</t>
  </si>
  <si>
    <t>800-846-4472</t>
  </si>
  <si>
    <t>techsupport@mercurypay.com</t>
  </si>
  <si>
    <t>Sterling</t>
  </si>
  <si>
    <t>800-591-6098</t>
  </si>
  <si>
    <t>sterlingpayment.com</t>
  </si>
  <si>
    <t>2411 Stanwell Dr</t>
  </si>
  <si>
    <t>Web 999/Ordering 360</t>
  </si>
  <si>
    <t>joshua@mas.us.com</t>
  </si>
  <si>
    <t>Willi's Seafood &amp; Raw Bar</t>
  </si>
  <si>
    <t>info@willisseafood.net</t>
  </si>
  <si>
    <t>dclark@wildseedsf.com</t>
  </si>
  <si>
    <t>office@oceanviewonfourth.com</t>
  </si>
  <si>
    <t>sabidoaf87@gmail.com</t>
  </si>
  <si>
    <t>accounting@minagroup.net</t>
  </si>
  <si>
    <t>tacoselpatron2290@gmail.com</t>
  </si>
  <si>
    <t>cynthiarosefarina@gmail.com</t>
  </si>
  <si>
    <t>attayebs@yahoo.com</t>
  </si>
  <si>
    <t>bernie@andyslocalmarket.com</t>
  </si>
  <si>
    <t>408-679-5061</t>
  </si>
  <si>
    <t>msun@quinceandcosf.com</t>
  </si>
  <si>
    <t>aware@quinceandcosf.com</t>
  </si>
  <si>
    <t>Heather</t>
  </si>
  <si>
    <t>elvismce@hotmail.com</t>
  </si>
  <si>
    <t>emakye@gmail.com</t>
  </si>
  <si>
    <t>Sebas</t>
  </si>
  <si>
    <t>Son.City</t>
  </si>
  <si>
    <t>Son.Ciy</t>
  </si>
  <si>
    <t>#15-350</t>
  </si>
  <si>
    <t>2.25" x 50 ft</t>
  </si>
  <si>
    <t>8056</t>
  </si>
  <si>
    <t>2 1/4" x 50' thermal</t>
  </si>
  <si>
    <t> jassykang@gmail.com</t>
  </si>
  <si>
    <t>kennedy.hawaiianbbq@gmail.com</t>
  </si>
  <si>
    <t>thebuenavista@comcast.net</t>
  </si>
  <si>
    <t>charles.vong@outlook.com</t>
  </si>
  <si>
    <t xml:space="preserve">	sais.eatery@gmail.com</t>
  </si>
  <si>
    <t>chef_chui@yahoo.com</t>
  </si>
  <si>
    <t>Epson  black/red</t>
  </si>
  <si>
    <t>Mageed Alwasim</t>
  </si>
  <si>
    <t>510-599-3129</t>
  </si>
  <si>
    <t>y2ma@yahoo.com</t>
  </si>
  <si>
    <t>evergreenproduce2@gmail.com</t>
  </si>
  <si>
    <t>916-821-1607</t>
  </si>
  <si>
    <t>China Live Ventures Limited, L.P.</t>
  </si>
  <si>
    <t>415-788-8188</t>
  </si>
  <si>
    <t>644 Broadway</t>
  </si>
  <si>
    <t>robert@chinalivesf.com</t>
  </si>
  <si>
    <t xml:space="preserve">	crystal.tan@chinalivesf.com</t>
  </si>
  <si>
    <t>ruben.parker555@gmail.com</t>
  </si>
  <si>
    <t>kirsten@acre-restaurant.com</t>
  </si>
  <si>
    <t>El Quetzal Deli</t>
  </si>
  <si>
    <t>Daniel Duarte</t>
  </si>
  <si>
    <t>415-654-6312</t>
  </si>
  <si>
    <t>136 Bellam Boulevard</t>
  </si>
  <si>
    <t>daniel.josue@hotmail.com</t>
  </si>
  <si>
    <t>415-259-7333</t>
  </si>
  <si>
    <t>Whiskey Tango Foxtrot Antioch</t>
  </si>
  <si>
    <t>Janet Jule</t>
  </si>
  <si>
    <t>925-658-5600</t>
  </si>
  <si>
    <t>2737 Hillcrest Avenue</t>
  </si>
  <si>
    <t>admin@wtfrestaurantbargrill.com</t>
  </si>
  <si>
    <t>Brian Howard</t>
  </si>
  <si>
    <t>Sirene</t>
  </si>
  <si>
    <t>Chris Vittorino</t>
  </si>
  <si>
    <t>510-200-8750</t>
  </si>
  <si>
    <t>Oak</t>
  </si>
  <si>
    <t xml:space="preserve">3308 Grand Ave </t>
  </si>
  <si>
    <t>chris@themorris-sf.com</t>
  </si>
  <si>
    <t>Jake Michahelles</t>
  </si>
  <si>
    <t>Emma Faith</t>
  </si>
  <si>
    <t>darren@chinalivesf.com</t>
  </si>
  <si>
    <t>Brad</t>
  </si>
  <si>
    <t>415-577-0103</t>
  </si>
  <si>
    <t>Golden Star Market</t>
  </si>
  <si>
    <t>Lucio</t>
  </si>
  <si>
    <t>925-439-9600</t>
  </si>
  <si>
    <t>44 W 10th St</t>
  </si>
  <si>
    <t>925-439-9300</t>
  </si>
  <si>
    <t>phanhuynh@fhda.edu</t>
  </si>
  <si>
    <t>barrelhouse2000@gmail.com</t>
  </si>
  <si>
    <t>ofer@solfoodrestaurant.com</t>
  </si>
  <si>
    <t>903 Lincoln Avenue</t>
  </si>
  <si>
    <t>gm_trv@tomatina.com</t>
  </si>
  <si>
    <t>Darwin_Mejia@tomatina.com</t>
  </si>
  <si>
    <t>Rogelio_Jacinto@tomatina.com</t>
  </si>
  <si>
    <t>gm_twc@tomatina.com</t>
  </si>
  <si>
    <t>gm_tsc@tomatina.com</t>
  </si>
  <si>
    <t>gm_tal@tomatina.com</t>
  </si>
  <si>
    <t>gm_tsm@tomatina.com</t>
  </si>
  <si>
    <t>gm_tul@tomatina.com</t>
  </si>
  <si>
    <t>gm_tmv@tomatina.com</t>
  </si>
  <si>
    <t>gm_twv@tomatina.com</t>
  </si>
  <si>
    <t>aapodaca@wildseedsf.com</t>
  </si>
  <si>
    <t>accounting@teriyakimadnessmt.com</t>
  </si>
  <si>
    <t>525 Central Ave, Suite L8</t>
  </si>
  <si>
    <t>525 Central Avenue, Suite L8</t>
  </si>
  <si>
    <t>aaron@teriyakimadnessmt.com</t>
  </si>
  <si>
    <t>Teriyaki Madness - Helena</t>
  </si>
  <si>
    <t xml:space="preserve">Aaron </t>
  </si>
  <si>
    <t>Helena</t>
  </si>
  <si>
    <t>633 North Montana #B</t>
  </si>
  <si>
    <t>406-409-3388</t>
  </si>
  <si>
    <t>406-415-5533</t>
  </si>
  <si>
    <t>khalid@backofthehouseinc.com</t>
  </si>
  <si>
    <t>bobmxlt3@aol.com</t>
  </si>
  <si>
    <t>Calistoga Liquor</t>
  </si>
  <si>
    <t>SPS-530</t>
  </si>
  <si>
    <t>Surinder Singh</t>
  </si>
  <si>
    <t>707-942-8990</t>
  </si>
  <si>
    <t>1102 Tubbs Lane</t>
  </si>
  <si>
    <t>kkhurana@vinehospitality.com</t>
  </si>
  <si>
    <t>S3CCAPSCO@sutterhealth.org</t>
  </si>
  <si>
    <t>Tropa Modern Filipino</t>
  </si>
  <si>
    <t>Eddie</t>
  </si>
  <si>
    <t>925-900-8861</t>
  </si>
  <si>
    <t>3400 Mount Diablo Blvd</t>
  </si>
  <si>
    <t>3400 Mt Diablo Blvd</t>
  </si>
  <si>
    <t>925-300-8318</t>
  </si>
  <si>
    <t>chef.hideout@gmail.com</t>
  </si>
  <si>
    <t>Mekong Kitchen</t>
  </si>
  <si>
    <t>The Noodle Lovers Club</t>
  </si>
  <si>
    <t>Creative Ideas Café</t>
  </si>
  <si>
    <t>Partick</t>
  </si>
  <si>
    <t>415-828-9143</t>
  </si>
  <si>
    <t>58 Leland Avenue</t>
  </si>
  <si>
    <t>patar2457@gmail.com</t>
  </si>
  <si>
    <t>Lina Mills</t>
  </si>
  <si>
    <t>La Ginestra</t>
  </si>
  <si>
    <t>Tino</t>
  </si>
  <si>
    <t>415-388-0224</t>
  </si>
  <si>
    <t>127 Throckmorton Ave</t>
  </si>
  <si>
    <t>laginestra@sbcglobal.net</t>
  </si>
  <si>
    <t>g2mv@yahoo.com</t>
  </si>
  <si>
    <t>Fabio Aversa</t>
  </si>
  <si>
    <t>415-608-1864</t>
  </si>
  <si>
    <t>Costanito</t>
  </si>
  <si>
    <t>415-722-0224</t>
  </si>
  <si>
    <t>510-326-3402</t>
  </si>
  <si>
    <t>phannavongm@gmail.com</t>
  </si>
  <si>
    <t>aphannavong0404@gmail.com</t>
  </si>
  <si>
    <t>April</t>
  </si>
  <si>
    <t>510-522-8200</t>
  </si>
  <si>
    <t>Muna</t>
  </si>
  <si>
    <t>1700 Park St #100</t>
  </si>
  <si>
    <t>Eight North</t>
  </si>
  <si>
    <t>abby@tasteeightnorth.com</t>
  </si>
  <si>
    <t>831-247-7461</t>
  </si>
  <si>
    <t>1374 Lincoln Avenue</t>
  </si>
  <si>
    <t>18315 Pinnacle Court</t>
  </si>
  <si>
    <t>Hidden Valley Lake</t>
  </si>
  <si>
    <t>gilbert@parkcafegroup.com</t>
  </si>
  <si>
    <t>jcattelin@quincerestaurant.com</t>
  </si>
  <si>
    <t>Hops &amp; Grapes</t>
  </si>
  <si>
    <t>Humberto Martinez</t>
  </si>
  <si>
    <t>925-435-2671</t>
  </si>
  <si>
    <t>22 West 10th Street</t>
  </si>
  <si>
    <t>hopsandgrapes2025@outlook.com</t>
  </si>
  <si>
    <t>johnkonstin@johnsgrill.com</t>
  </si>
  <si>
    <t>info@kitchendoornapa.com</t>
  </si>
  <si>
    <t>ap@greenwaygolf.com</t>
  </si>
  <si>
    <t>Net30</t>
  </si>
  <si>
    <t>12315805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</si>
</sst>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164" formatCode="&quot;$&quot;#,##0.00"/>
    <numFmt numFmtId="165" formatCode="0.000%"/>
    <numFmt numFmtId="166" formatCode="m/d/yy;@"/>
    <numFmt numFmtId="167" formatCode="00000"/>
    <numFmt numFmtId="168" formatCode="&quot;$&quot;#,##0"/>
    <numFmt numFmtId="169" formatCode="mm/dd/yy;@"/>
  </numFmts>
  <fonts count="6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Book Antiqua"/>
      <family val="1"/>
    </font>
    <font>
      <sz val="12"/>
      <name val="Book Antiqua"/>
      <family val="1"/>
    </font>
    <font>
      <sz val="10"/>
      <name val="Book Antiqua"/>
      <family val="1"/>
    </font>
    <font>
      <b/>
      <sz val="12"/>
      <name val="Book Antiqua"/>
      <family val="1"/>
    </font>
    <font>
      <sz val="10"/>
      <name val="Bookman Old Style"/>
      <family val="1"/>
    </font>
    <font>
      <b/>
      <sz val="14"/>
      <name val="Book Antiqua"/>
      <family val="1"/>
    </font>
    <font>
      <i/>
      <sz val="10"/>
      <name val="Book Antiqua"/>
      <family val="1"/>
    </font>
    <font>
      <u/>
      <sz val="10"/>
      <color indexed="12"/>
      <name val="Book Antiqua"/>
      <family val="1"/>
    </font>
    <font>
      <b/>
      <i/>
      <sz val="18"/>
      <name val="Book Antiqua"/>
      <family val="1"/>
    </font>
    <font>
      <u/>
      <sz val="8"/>
      <color indexed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Comic Sans MS"/>
      <family val="4"/>
    </font>
    <font>
      <b/>
      <sz val="9"/>
      <name val="Comic Sans MS"/>
      <family val="4"/>
    </font>
    <font>
      <b/>
      <sz val="9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mic Sans MS"/>
      <family val="4"/>
    </font>
    <font>
      <b/>
      <sz val="10"/>
      <name val="Comic Sans MS"/>
      <family val="4"/>
    </font>
    <font>
      <sz val="8"/>
      <color indexed="9"/>
      <name val="Arial"/>
      <family val="2"/>
    </font>
    <font>
      <b/>
      <sz val="8"/>
      <color indexed="9"/>
      <name val="Arial"/>
      <family val="2"/>
    </font>
    <font>
      <sz val="10"/>
      <name val="Comic Sans MS"/>
      <family val="4"/>
    </font>
    <font>
      <b/>
      <sz val="12"/>
      <name val="Comic Sans MS"/>
      <family val="4"/>
    </font>
    <font>
      <sz val="12"/>
      <name val="Comic Sans MS"/>
      <family val="4"/>
    </font>
    <font>
      <sz val="8"/>
      <name val="Arial"/>
      <family val="2"/>
    </font>
    <font>
      <sz val="8"/>
      <name val="Book Antiqua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Comic Sans MS"/>
      <family val="4"/>
    </font>
    <font>
      <sz val="8"/>
      <color indexed="8"/>
      <name val="Comic Sans MS"/>
      <family val="4"/>
    </font>
    <font>
      <b/>
      <sz val="16"/>
      <name val="Arial"/>
      <family val="2"/>
    </font>
    <font>
      <b/>
      <i/>
      <sz val="10"/>
      <name val="Book Antiqua"/>
      <family val="1"/>
    </font>
    <font>
      <b/>
      <sz val="14"/>
      <name val="Comic Sans MS"/>
      <family val="4"/>
    </font>
    <font>
      <sz val="14"/>
      <name val="Comic Sans MS"/>
      <family val="4"/>
    </font>
    <font>
      <sz val="10"/>
      <color rgb="FF222222"/>
      <name val="Arial"/>
      <family val="2"/>
    </font>
    <font>
      <b/>
      <sz val="8"/>
      <color theme="3" tint="-0.249977111117893"/>
      <name val="Arial"/>
      <family val="2"/>
    </font>
    <font>
      <sz val="8"/>
      <color rgb="FF222222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9"/>
      <color indexed="8"/>
      <name val="Comic Sans MS"/>
      <family val="4"/>
    </font>
    <font>
      <b/>
      <sz val="11"/>
      <name val="Book Antiqua"/>
      <family val="1"/>
    </font>
    <font>
      <u/>
      <sz val="9"/>
      <color indexed="12"/>
      <name val="Arial"/>
      <family val="2"/>
    </font>
    <font>
      <sz val="8"/>
      <color rgb="FF333333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5FD8D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7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2" fillId="0" borderId="0"/>
    <xf numFmtId="0" fontId="48" fillId="0" borderId="61" applyNumberFormat="0" applyFill="0" applyAlignment="0" applyProtection="0"/>
    <xf numFmtId="0" fontId="49" fillId="0" borderId="62" applyNumberFormat="0" applyFill="0" applyAlignment="0" applyProtection="0"/>
    <xf numFmtId="0" fontId="50" fillId="0" borderId="63" applyNumberFormat="0" applyFill="0" applyAlignment="0" applyProtection="0"/>
    <xf numFmtId="0" fontId="50" fillId="0" borderId="0" applyNumberFormat="0" applyFill="0" applyBorder="0" applyAlignment="0" applyProtection="0"/>
    <xf numFmtId="0" fontId="51" fillId="14" borderId="0" applyNumberFormat="0" applyBorder="0" applyAlignment="0" applyProtection="0"/>
    <xf numFmtId="0" fontId="52" fillId="15" borderId="0" applyNumberFormat="0" applyBorder="0" applyAlignment="0" applyProtection="0"/>
    <xf numFmtId="0" fontId="53" fillId="17" borderId="64" applyNumberFormat="0" applyAlignment="0" applyProtection="0"/>
    <xf numFmtId="0" fontId="54" fillId="18" borderId="65" applyNumberFormat="0" applyAlignment="0" applyProtection="0"/>
    <xf numFmtId="0" fontId="55" fillId="18" borderId="64" applyNumberFormat="0" applyAlignment="0" applyProtection="0"/>
    <xf numFmtId="0" fontId="56" fillId="0" borderId="66" applyNumberFormat="0" applyFill="0" applyAlignment="0" applyProtection="0"/>
    <xf numFmtId="0" fontId="57" fillId="19" borderId="67" applyNumberFormat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69" applyNumberFormat="0" applyFill="0" applyAlignment="0" applyProtection="0"/>
    <xf numFmtId="0" fontId="6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6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6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6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6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0" borderId="0"/>
    <xf numFmtId="0" fontId="61" fillId="24" borderId="0" applyNumberFormat="0" applyBorder="0" applyAlignment="0" applyProtection="0"/>
    <xf numFmtId="0" fontId="61" fillId="28" borderId="0" applyNumberFormat="0" applyBorder="0" applyAlignment="0" applyProtection="0"/>
    <xf numFmtId="0" fontId="61" fillId="32" borderId="0" applyNumberFormat="0" applyBorder="0" applyAlignment="0" applyProtection="0"/>
    <xf numFmtId="0" fontId="61" fillId="36" borderId="0" applyNumberFormat="0" applyBorder="0" applyAlignment="0" applyProtection="0"/>
    <xf numFmtId="0" fontId="61" fillId="40" borderId="0" applyNumberFormat="0" applyBorder="0" applyAlignment="0" applyProtection="0"/>
    <xf numFmtId="0" fontId="61" fillId="44" borderId="0" applyNumberFormat="0" applyBorder="0" applyAlignment="0" applyProtection="0"/>
    <xf numFmtId="0" fontId="62" fillId="16" borderId="0" applyNumberFormat="0" applyBorder="0" applyAlignment="0" applyProtection="0"/>
    <xf numFmtId="0" fontId="1" fillId="20" borderId="68" applyNumberFormat="0" applyFont="0" applyAlignment="0" applyProtection="0"/>
    <xf numFmtId="9" fontId="1" fillId="0" borderId="0" applyFont="0" applyFill="0" applyBorder="0" applyAlignment="0" applyProtection="0"/>
    <xf numFmtId="0" fontId="63" fillId="0" borderId="0" applyNumberFormat="0" applyFill="0" applyBorder="0" applyAlignment="0" applyProtection="0"/>
  </cellStyleXfs>
  <cellXfs count="460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10" fillId="0" borderId="0" xfId="0" applyFont="1"/>
    <xf numFmtId="4" fontId="8" fillId="0" borderId="0" xfId="0" applyNumberFormat="1" applyFont="1"/>
    <xf numFmtId="0" fontId="8" fillId="0" borderId="1" xfId="0" applyFont="1" applyBorder="1"/>
    <xf numFmtId="164" fontId="8" fillId="0" borderId="0" xfId="0" applyNumberFormat="1" applyFont="1"/>
    <xf numFmtId="0" fontId="11" fillId="0" borderId="0" xfId="0" applyFont="1"/>
    <xf numFmtId="0" fontId="8" fillId="0" borderId="2" xfId="0" applyFont="1" applyBorder="1"/>
    <xf numFmtId="0" fontId="8" fillId="0" borderId="3" xfId="0" applyFont="1" applyBorder="1"/>
    <xf numFmtId="0" fontId="12" fillId="0" borderId="0" xfId="0" applyFont="1"/>
    <xf numFmtId="0" fontId="8" fillId="0" borderId="4" xfId="0" applyFont="1" applyBorder="1"/>
    <xf numFmtId="0" fontId="8" fillId="0" borderId="0" xfId="0" applyFont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164" fontId="8" fillId="0" borderId="11" xfId="0" applyNumberFormat="1" applyFont="1" applyBorder="1"/>
    <xf numFmtId="0" fontId="8" fillId="0" borderId="12" xfId="0" applyFont="1" applyBorder="1"/>
    <xf numFmtId="0" fontId="8" fillId="0" borderId="13" xfId="0" applyFont="1" applyBorder="1"/>
    <xf numFmtId="2" fontId="8" fillId="0" borderId="14" xfId="0" applyNumberFormat="1" applyFont="1" applyBorder="1" applyAlignment="1">
      <alignment horizontal="center"/>
    </xf>
    <xf numFmtId="0" fontId="8" fillId="0" borderId="15" xfId="0" applyFont="1" applyBorder="1"/>
    <xf numFmtId="164" fontId="8" fillId="0" borderId="16" xfId="0" applyNumberFormat="1" applyFont="1" applyBorder="1"/>
    <xf numFmtId="10" fontId="8" fillId="0" borderId="17" xfId="0" applyNumberFormat="1" applyFont="1" applyBorder="1"/>
    <xf numFmtId="0" fontId="8" fillId="0" borderId="19" xfId="0" applyFont="1" applyBorder="1"/>
    <xf numFmtId="0" fontId="8" fillId="0" borderId="20" xfId="0" applyFont="1" applyBorder="1"/>
    <xf numFmtId="14" fontId="8" fillId="0" borderId="0" xfId="0" applyNumberFormat="1" applyFont="1" applyAlignment="1">
      <alignment horizontal="right"/>
    </xf>
    <xf numFmtId="0" fontId="13" fillId="0" borderId="0" xfId="1" applyFont="1" applyAlignment="1" applyProtection="1">
      <alignment horizontal="center"/>
    </xf>
    <xf numFmtId="167" fontId="8" fillId="0" borderId="0" xfId="0" applyNumberFormat="1" applyFont="1" applyAlignment="1">
      <alignment horizontal="center"/>
    </xf>
    <xf numFmtId="164" fontId="8" fillId="0" borderId="23" xfId="0" applyNumberFormat="1" applyFont="1" applyBorder="1" applyAlignment="1">
      <alignment horizontal="right"/>
    </xf>
    <xf numFmtId="8" fontId="8" fillId="0" borderId="8" xfId="0" applyNumberFormat="1" applyFont="1" applyBorder="1"/>
    <xf numFmtId="8" fontId="8" fillId="0" borderId="11" xfId="0" applyNumberFormat="1" applyFont="1" applyBorder="1"/>
    <xf numFmtId="0" fontId="8" fillId="0" borderId="31" xfId="0" applyFont="1" applyBorder="1"/>
    <xf numFmtId="166" fontId="18" fillId="0" borderId="0" xfId="3" applyNumberFormat="1" applyFont="1" applyAlignment="1">
      <alignment horizontal="center" vertical="center"/>
    </xf>
    <xf numFmtId="168" fontId="19" fillId="0" borderId="0" xfId="3" applyNumberFormat="1" applyFont="1" applyAlignment="1">
      <alignment horizontal="center" vertical="center"/>
    </xf>
    <xf numFmtId="169" fontId="18" fillId="0" borderId="0" xfId="3" applyNumberFormat="1" applyFont="1" applyAlignment="1">
      <alignment horizontal="center" vertical="center"/>
    </xf>
    <xf numFmtId="0" fontId="21" fillId="0" borderId="0" xfId="2" applyFont="1" applyAlignment="1">
      <alignment horizontal="center"/>
    </xf>
    <xf numFmtId="0" fontId="24" fillId="0" borderId="0" xfId="4" applyFont="1" applyAlignment="1">
      <alignment horizontal="center"/>
    </xf>
    <xf numFmtId="0" fontId="23" fillId="0" borderId="11" xfId="4" applyFont="1" applyBorder="1"/>
    <xf numFmtId="0" fontId="23" fillId="0" borderId="11" xfId="4" applyFont="1" applyBorder="1" applyAlignment="1">
      <alignment horizontal="center"/>
    </xf>
    <xf numFmtId="0" fontId="15" fillId="0" borderId="11" xfId="1" applyFont="1" applyBorder="1" applyAlignment="1" applyProtection="1"/>
    <xf numFmtId="0" fontId="17" fillId="0" borderId="0" xfId="3" applyFont="1" applyAlignment="1">
      <alignment horizontal="center" vertical="center"/>
    </xf>
    <xf numFmtId="0" fontId="8" fillId="0" borderId="35" xfId="0" applyFont="1" applyBorder="1"/>
    <xf numFmtId="0" fontId="8" fillId="0" borderId="36" xfId="0" applyFont="1" applyBorder="1"/>
    <xf numFmtId="0" fontId="16" fillId="0" borderId="0" xfId="0" applyFont="1"/>
    <xf numFmtId="0" fontId="17" fillId="0" borderId="29" xfId="3" applyFont="1" applyBorder="1" applyAlignment="1">
      <alignment horizontal="center" vertical="center" wrapText="1"/>
    </xf>
    <xf numFmtId="0" fontId="28" fillId="0" borderId="21" xfId="0" applyFont="1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8" fillId="0" borderId="37" xfId="0" applyFont="1" applyBorder="1"/>
    <xf numFmtId="0" fontId="30" fillId="2" borderId="40" xfId="0" applyFont="1" applyFill="1" applyBorder="1"/>
    <xf numFmtId="0" fontId="4" fillId="0" borderId="11" xfId="1" applyBorder="1" applyAlignment="1" applyProtection="1"/>
    <xf numFmtId="0" fontId="4" fillId="0" borderId="11" xfId="1" applyBorder="1" applyAlignment="1" applyProtection="1">
      <alignment horizontal="left" vertical="center"/>
    </xf>
    <xf numFmtId="0" fontId="6" fillId="0" borderId="0" xfId="0" applyFont="1" applyAlignment="1">
      <alignment horizontal="left"/>
    </xf>
    <xf numFmtId="0" fontId="4" fillId="0" borderId="11" xfId="1" applyBorder="1" applyAlignment="1" applyProtection="1">
      <alignment horizontal="center"/>
    </xf>
    <xf numFmtId="0" fontId="5" fillId="0" borderId="11" xfId="0" applyFont="1" applyBorder="1"/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8" fontId="8" fillId="0" borderId="25" xfId="0" applyNumberFormat="1" applyFont="1" applyBorder="1"/>
    <xf numFmtId="2" fontId="8" fillId="0" borderId="12" xfId="0" applyNumberFormat="1" applyFont="1" applyBorder="1" applyAlignment="1">
      <alignment horizontal="center"/>
    </xf>
    <xf numFmtId="0" fontId="8" fillId="0" borderId="46" xfId="0" applyFont="1" applyBorder="1"/>
    <xf numFmtId="0" fontId="5" fillId="0" borderId="11" xfId="0" applyFont="1" applyBorder="1" applyAlignment="1">
      <alignment horizontal="center" vertical="center"/>
    </xf>
    <xf numFmtId="0" fontId="8" fillId="0" borderId="48" xfId="0" applyFont="1" applyBorder="1"/>
    <xf numFmtId="0" fontId="8" fillId="0" borderId="49" xfId="0" applyFont="1" applyBorder="1"/>
    <xf numFmtId="0" fontId="5" fillId="0" borderId="0" xfId="3" applyFont="1" applyAlignment="1">
      <alignment horizontal="left" vertical="center"/>
    </xf>
    <xf numFmtId="0" fontId="5" fillId="0" borderId="11" xfId="3" applyFont="1" applyBorder="1" applyAlignment="1">
      <alignment horizontal="left" vertical="center"/>
    </xf>
    <xf numFmtId="0" fontId="37" fillId="0" borderId="0" xfId="3" applyFont="1" applyAlignment="1">
      <alignment horizontal="center" vertical="center"/>
    </xf>
    <xf numFmtId="0" fontId="3" fillId="0" borderId="0" xfId="0" applyFont="1"/>
    <xf numFmtId="49" fontId="16" fillId="0" borderId="0" xfId="0" applyNumberFormat="1" applyFont="1" applyAlignment="1">
      <alignment horizontal="center"/>
    </xf>
    <xf numFmtId="0" fontId="8" fillId="0" borderId="27" xfId="0" applyFont="1" applyBorder="1" applyAlignment="1">
      <alignment horizontal="center"/>
    </xf>
    <xf numFmtId="2" fontId="8" fillId="0" borderId="17" xfId="0" applyNumberFormat="1" applyFont="1" applyBorder="1" applyAlignment="1">
      <alignment horizontal="center"/>
    </xf>
    <xf numFmtId="4" fontId="8" fillId="0" borderId="18" xfId="0" applyNumberFormat="1" applyFont="1" applyBorder="1" applyAlignment="1">
      <alignment horizontal="right"/>
    </xf>
    <xf numFmtId="164" fontId="8" fillId="0" borderId="30" xfId="0" applyNumberFormat="1" applyFont="1" applyBorder="1"/>
    <xf numFmtId="0" fontId="5" fillId="0" borderId="0" xfId="3" applyFont="1" applyAlignment="1">
      <alignment horizontal="center" vertical="center"/>
    </xf>
    <xf numFmtId="0" fontId="5" fillId="0" borderId="4" xfId="3" applyFont="1" applyBorder="1" applyAlignment="1">
      <alignment horizontal="center" vertical="center"/>
    </xf>
    <xf numFmtId="0" fontId="5" fillId="0" borderId="11" xfId="3" applyFont="1" applyBorder="1" applyAlignment="1">
      <alignment vertical="center"/>
    </xf>
    <xf numFmtId="0" fontId="23" fillId="0" borderId="0" xfId="4" applyFont="1" applyAlignment="1">
      <alignment horizontal="center"/>
    </xf>
    <xf numFmtId="0" fontId="5" fillId="0" borderId="4" xfId="3" applyFont="1" applyBorder="1" applyAlignment="1">
      <alignment horizontal="left" vertical="center"/>
    </xf>
    <xf numFmtId="169" fontId="18" fillId="8" borderId="0" xfId="3" applyNumberFormat="1" applyFont="1" applyFill="1" applyAlignment="1">
      <alignment horizontal="center" vertical="center"/>
    </xf>
    <xf numFmtId="168" fontId="19" fillId="8" borderId="37" xfId="3" applyNumberFormat="1" applyFont="1" applyFill="1" applyBorder="1" applyAlignment="1">
      <alignment horizontal="center" vertical="center"/>
    </xf>
    <xf numFmtId="169" fontId="18" fillId="8" borderId="0" xfId="3" applyNumberFormat="1" applyFont="1" applyFill="1" applyAlignment="1">
      <alignment horizontal="center"/>
    </xf>
    <xf numFmtId="166" fontId="18" fillId="8" borderId="0" xfId="2" applyNumberFormat="1" applyFont="1" applyFill="1" applyAlignment="1">
      <alignment horizontal="center"/>
    </xf>
    <xf numFmtId="168" fontId="19" fillId="8" borderId="37" xfId="3" applyNumberFormat="1" applyFont="1" applyFill="1" applyBorder="1" applyAlignment="1">
      <alignment horizontal="center"/>
    </xf>
    <xf numFmtId="166" fontId="26" fillId="8" borderId="0" xfId="4" applyNumberFormat="1" applyFont="1" applyFill="1" applyAlignment="1">
      <alignment horizontal="center"/>
    </xf>
    <xf numFmtId="166" fontId="18" fillId="9" borderId="0" xfId="3" applyNumberFormat="1" applyFont="1" applyFill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4" xfId="2" applyFont="1" applyFill="1" applyBorder="1" applyAlignment="1">
      <alignment horizontal="center"/>
    </xf>
    <xf numFmtId="166" fontId="18" fillId="9" borderId="0" xfId="2" applyNumberFormat="1" applyFont="1" applyFill="1" applyAlignment="1">
      <alignment horizontal="center"/>
    </xf>
    <xf numFmtId="0" fontId="18" fillId="9" borderId="4" xfId="3" applyFont="1" applyFill="1" applyBorder="1" applyAlignment="1">
      <alignment horizontal="center"/>
    </xf>
    <xf numFmtId="166" fontId="18" fillId="9" borderId="0" xfId="3" applyNumberFormat="1" applyFont="1" applyFill="1" applyAlignment="1">
      <alignment horizontal="center"/>
    </xf>
    <xf numFmtId="0" fontId="18" fillId="9" borderId="4" xfId="3" applyFont="1" applyFill="1" applyBorder="1" applyAlignment="1">
      <alignment horizontal="center" vertical="center"/>
    </xf>
    <xf numFmtId="169" fontId="18" fillId="9" borderId="0" xfId="3" applyNumberFormat="1" applyFont="1" applyFill="1" applyAlignment="1">
      <alignment horizontal="center"/>
    </xf>
    <xf numFmtId="0" fontId="26" fillId="9" borderId="4" xfId="4" applyFont="1" applyFill="1" applyBorder="1" applyAlignment="1">
      <alignment horizontal="center"/>
    </xf>
    <xf numFmtId="166" fontId="26" fillId="9" borderId="0" xfId="4" applyNumberFormat="1" applyFont="1" applyFill="1" applyAlignment="1">
      <alignment horizontal="center"/>
    </xf>
    <xf numFmtId="168" fontId="19" fillId="9" borderId="0" xfId="3" applyNumberFormat="1" applyFont="1" applyFill="1" applyAlignment="1">
      <alignment horizontal="center" vertical="center"/>
    </xf>
    <xf numFmtId="168" fontId="19" fillId="9" borderId="0" xfId="3" applyNumberFormat="1" applyFont="1" applyFill="1" applyAlignment="1">
      <alignment horizontal="center"/>
    </xf>
    <xf numFmtId="168" fontId="18" fillId="9" borderId="0" xfId="2" applyNumberFormat="1" applyFont="1" applyFill="1" applyAlignment="1">
      <alignment horizontal="center"/>
    </xf>
    <xf numFmtId="168" fontId="26" fillId="9" borderId="0" xfId="4" applyNumberFormat="1" applyFont="1" applyFill="1" applyAlignment="1">
      <alignment horizontal="center"/>
    </xf>
    <xf numFmtId="166" fontId="17" fillId="10" borderId="11" xfId="3" applyNumberFormat="1" applyFont="1" applyFill="1" applyBorder="1" applyAlignment="1">
      <alignment horizontal="center" vertical="center"/>
    </xf>
    <xf numFmtId="166" fontId="17" fillId="10" borderId="11" xfId="2" applyNumberFormat="1" applyFont="1" applyFill="1" applyBorder="1" applyAlignment="1">
      <alignment horizontal="center"/>
    </xf>
    <xf numFmtId="166" fontId="17" fillId="10" borderId="11" xfId="3" applyNumberFormat="1" applyFont="1" applyFill="1" applyBorder="1" applyAlignment="1">
      <alignment horizontal="center"/>
    </xf>
    <xf numFmtId="166" fontId="25" fillId="10" borderId="11" xfId="4" applyNumberFormat="1" applyFont="1" applyFill="1" applyBorder="1" applyAlignment="1">
      <alignment horizontal="center"/>
    </xf>
    <xf numFmtId="166" fontId="17" fillId="9" borderId="11" xfId="0" applyNumberFormat="1" applyFont="1" applyFill="1" applyBorder="1" applyAlignment="1">
      <alignment horizontal="center" vertical="center"/>
    </xf>
    <xf numFmtId="166" fontId="17" fillId="9" borderId="11" xfId="2" applyNumberFormat="1" applyFont="1" applyFill="1" applyBorder="1" applyAlignment="1">
      <alignment horizontal="center"/>
    </xf>
    <xf numFmtId="166" fontId="17" fillId="9" borderId="11" xfId="0" applyNumberFormat="1" applyFont="1" applyFill="1" applyBorder="1" applyAlignment="1">
      <alignment horizontal="center"/>
    </xf>
    <xf numFmtId="166" fontId="25" fillId="9" borderId="11" xfId="4" applyNumberFormat="1" applyFont="1" applyFill="1" applyBorder="1" applyAlignment="1">
      <alignment horizontal="center"/>
    </xf>
    <xf numFmtId="166" fontId="17" fillId="9" borderId="11" xfId="1" applyNumberFormat="1" applyFont="1" applyFill="1" applyBorder="1" applyAlignment="1" applyProtection="1">
      <alignment horizontal="center"/>
    </xf>
    <xf numFmtId="0" fontId="37" fillId="0" borderId="4" xfId="3" applyFont="1" applyBorder="1" applyAlignment="1">
      <alignment horizontal="center" vertical="center"/>
    </xf>
    <xf numFmtId="0" fontId="37" fillId="0" borderId="4" xfId="2" applyFont="1" applyBorder="1" applyAlignment="1">
      <alignment horizontal="center"/>
    </xf>
    <xf numFmtId="1" fontId="37" fillId="0" borderId="4" xfId="3" applyNumberFormat="1" applyFont="1" applyBorder="1" applyAlignment="1">
      <alignment horizontal="center"/>
    </xf>
    <xf numFmtId="0" fontId="5" fillId="0" borderId="4" xfId="2" applyFont="1" applyBorder="1"/>
    <xf numFmtId="0" fontId="5" fillId="0" borderId="4" xfId="3" applyFont="1" applyBorder="1"/>
    <xf numFmtId="0" fontId="5" fillId="0" borderId="4" xfId="3" quotePrefix="1" applyFont="1" applyBorder="1"/>
    <xf numFmtId="14" fontId="5" fillId="0" borderId="4" xfId="3" applyNumberFormat="1" applyFont="1" applyBorder="1"/>
    <xf numFmtId="0" fontId="20" fillId="0" borderId="4" xfId="3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18" fillId="8" borderId="4" xfId="3" applyFont="1" applyFill="1" applyBorder="1" applyAlignment="1">
      <alignment horizontal="center" vertical="center"/>
    </xf>
    <xf numFmtId="0" fontId="18" fillId="8" borderId="4" xfId="2" applyFont="1" applyFill="1" applyBorder="1" applyAlignment="1">
      <alignment horizontal="center"/>
    </xf>
    <xf numFmtId="0" fontId="18" fillId="8" borderId="4" xfId="3" applyFont="1" applyFill="1" applyBorder="1" applyAlignment="1">
      <alignment horizontal="center"/>
    </xf>
    <xf numFmtId="0" fontId="26" fillId="8" borderId="4" xfId="4" applyFont="1" applyFill="1" applyBorder="1" applyAlignment="1">
      <alignment horizontal="center"/>
    </xf>
    <xf numFmtId="16" fontId="18" fillId="8" borderId="4" xfId="3" applyNumberFormat="1" applyFont="1" applyFill="1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168" fontId="19" fillId="0" borderId="37" xfId="3" applyNumberFormat="1" applyFont="1" applyBorder="1" applyAlignment="1">
      <alignment horizontal="center" vertical="center"/>
    </xf>
    <xf numFmtId="14" fontId="18" fillId="9" borderId="4" xfId="3" applyNumberFormat="1" applyFont="1" applyFill="1" applyBorder="1" applyAlignment="1">
      <alignment horizontal="center"/>
    </xf>
    <xf numFmtId="166" fontId="17" fillId="0" borderId="4" xfId="3" applyNumberFormat="1" applyFont="1" applyBorder="1" applyAlignment="1">
      <alignment horizontal="center" vertical="center"/>
    </xf>
    <xf numFmtId="166" fontId="17" fillId="0" borderId="37" xfId="0" applyNumberFormat="1" applyFont="1" applyBorder="1" applyAlignment="1">
      <alignment horizontal="center" vertical="center"/>
    </xf>
    <xf numFmtId="0" fontId="5" fillId="0" borderId="4" xfId="3" applyFont="1" applyBorder="1" applyAlignment="1">
      <alignment vertical="center"/>
    </xf>
    <xf numFmtId="0" fontId="23" fillId="0" borderId="4" xfId="4" applyFont="1" applyBorder="1"/>
    <xf numFmtId="0" fontId="5" fillId="0" borderId="4" xfId="0" applyFont="1" applyBorder="1"/>
    <xf numFmtId="10" fontId="5" fillId="0" borderId="11" xfId="0" applyNumberFormat="1" applyFont="1" applyBorder="1" applyAlignment="1">
      <alignment vertical="center"/>
    </xf>
    <xf numFmtId="10" fontId="5" fillId="0" borderId="11" xfId="0" applyNumberFormat="1" applyFont="1" applyBorder="1"/>
    <xf numFmtId="0" fontId="23" fillId="0" borderId="4" xfId="4" applyFont="1" applyBorder="1" applyAlignment="1">
      <alignment horizontal="center"/>
    </xf>
    <xf numFmtId="0" fontId="23" fillId="0" borderId="4" xfId="4" applyFont="1" applyBorder="1" applyAlignment="1">
      <alignment horizontal="left"/>
    </xf>
    <xf numFmtId="0" fontId="5" fillId="0" borderId="4" xfId="0" applyFont="1" applyBorder="1" applyAlignment="1">
      <alignment horizontal="left" vertical="center"/>
    </xf>
    <xf numFmtId="10" fontId="5" fillId="0" borderId="4" xfId="3" applyNumberFormat="1" applyFont="1" applyBorder="1" applyAlignment="1">
      <alignment vertical="center"/>
    </xf>
    <xf numFmtId="165" fontId="23" fillId="0" borderId="4" xfId="4" applyNumberFormat="1" applyFont="1" applyBorder="1"/>
    <xf numFmtId="0" fontId="17" fillId="0" borderId="4" xfId="3" applyFont="1" applyBorder="1"/>
    <xf numFmtId="0" fontId="4" fillId="0" borderId="4" xfId="1" applyBorder="1" applyAlignment="1" applyProtection="1">
      <alignment horizontal="center"/>
    </xf>
    <xf numFmtId="0" fontId="17" fillId="0" borderId="4" xfId="0" applyFont="1" applyBorder="1" applyAlignment="1">
      <alignment horizontal="left" vertical="center"/>
    </xf>
    <xf numFmtId="49" fontId="4" fillId="0" borderId="4" xfId="1" applyNumberFormat="1" applyBorder="1" applyAlignment="1" applyProtection="1">
      <alignment horizontal="center"/>
    </xf>
    <xf numFmtId="49" fontId="15" fillId="0" borderId="4" xfId="1" applyNumberFormat="1" applyFont="1" applyBorder="1" applyAlignment="1" applyProtection="1">
      <alignment horizontal="center"/>
    </xf>
    <xf numFmtId="0" fontId="15" fillId="0" borderId="4" xfId="1" applyFont="1" applyBorder="1" applyAlignment="1" applyProtection="1">
      <alignment horizontal="center"/>
    </xf>
    <xf numFmtId="0" fontId="17" fillId="0" borderId="4" xfId="3" applyFont="1" applyBorder="1" applyAlignment="1">
      <alignment horizontal="left"/>
    </xf>
    <xf numFmtId="0" fontId="17" fillId="0" borderId="4" xfId="3" applyFont="1" applyBorder="1" applyAlignment="1">
      <alignment horizontal="left" vertical="center"/>
    </xf>
    <xf numFmtId="49" fontId="4" fillId="0" borderId="4" xfId="1" applyNumberFormat="1" applyBorder="1" applyAlignment="1" applyProtection="1">
      <alignment horizontal="center" vertical="center"/>
    </xf>
    <xf numFmtId="49" fontId="5" fillId="0" borderId="4" xfId="0" applyNumberFormat="1" applyFont="1" applyBorder="1" applyAlignment="1">
      <alignment horizontal="center"/>
    </xf>
    <xf numFmtId="0" fontId="43" fillId="0" borderId="11" xfId="0" applyFont="1" applyBorder="1"/>
    <xf numFmtId="164" fontId="8" fillId="0" borderId="37" xfId="0" applyNumberFormat="1" applyFont="1" applyBorder="1"/>
    <xf numFmtId="0" fontId="8" fillId="0" borderId="42" xfId="0" applyFont="1" applyBorder="1" applyAlignment="1">
      <alignment horizontal="center"/>
    </xf>
    <xf numFmtId="164" fontId="8" fillId="0" borderId="40" xfId="0" applyNumberFormat="1" applyFont="1" applyBorder="1"/>
    <xf numFmtId="0" fontId="34" fillId="0" borderId="34" xfId="0" applyFont="1" applyBorder="1"/>
    <xf numFmtId="0" fontId="45" fillId="0" borderId="11" xfId="0" applyFont="1" applyBorder="1"/>
    <xf numFmtId="0" fontId="17" fillId="0" borderId="35" xfId="3" applyFont="1" applyBorder="1" applyAlignment="1">
      <alignment horizontal="center" vertical="center"/>
    </xf>
    <xf numFmtId="0" fontId="37" fillId="0" borderId="35" xfId="3" applyFont="1" applyBorder="1" applyAlignment="1">
      <alignment horizontal="center" vertical="center"/>
    </xf>
    <xf numFmtId="0" fontId="5" fillId="0" borderId="35" xfId="3" applyFont="1" applyBorder="1" applyAlignment="1">
      <alignment horizontal="center" vertical="center"/>
    </xf>
    <xf numFmtId="168" fontId="21" fillId="0" borderId="36" xfId="3" applyNumberFormat="1" applyFont="1" applyBorder="1" applyAlignment="1">
      <alignment horizontal="center" vertical="center"/>
    </xf>
    <xf numFmtId="168" fontId="21" fillId="0" borderId="35" xfId="3" applyNumberFormat="1" applyFont="1" applyBorder="1" applyAlignment="1">
      <alignment horizontal="center" vertical="center"/>
    </xf>
    <xf numFmtId="166" fontId="17" fillId="9" borderId="32" xfId="0" applyNumberFormat="1" applyFont="1" applyFill="1" applyBorder="1" applyAlignment="1">
      <alignment horizontal="center" vertical="center" wrapText="1"/>
    </xf>
    <xf numFmtId="0" fontId="17" fillId="3" borderId="35" xfId="0" applyFont="1" applyFill="1" applyBorder="1" applyAlignment="1">
      <alignment horizontal="center" vertical="center"/>
    </xf>
    <xf numFmtId="0" fontId="17" fillId="3" borderId="32" xfId="0" applyFont="1" applyFill="1" applyBorder="1" applyAlignment="1">
      <alignment horizontal="center" vertical="center"/>
    </xf>
    <xf numFmtId="0" fontId="17" fillId="0" borderId="32" xfId="3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0" fontId="17" fillId="5" borderId="35" xfId="0" applyFont="1" applyFill="1" applyBorder="1" applyAlignment="1">
      <alignment horizontal="center" vertical="center"/>
    </xf>
    <xf numFmtId="0" fontId="29" fillId="0" borderId="31" xfId="3" applyFont="1" applyBorder="1" applyAlignment="1">
      <alignment horizontal="center" vertical="center"/>
    </xf>
    <xf numFmtId="0" fontId="5" fillId="0" borderId="11" xfId="3" applyFont="1" applyBorder="1" applyAlignment="1">
      <alignment horizontal="center" vertical="center"/>
    </xf>
    <xf numFmtId="8" fontId="8" fillId="0" borderId="52" xfId="0" applyNumberFormat="1" applyFont="1" applyBorder="1"/>
    <xf numFmtId="0" fontId="46" fillId="0" borderId="0" xfId="0" applyFont="1" applyAlignment="1">
      <alignment vertical="center"/>
    </xf>
    <xf numFmtId="0" fontId="5" fillId="0" borderId="33" xfId="0" applyFont="1" applyBorder="1" applyAlignment="1">
      <alignment horizontal="center" vertical="center"/>
    </xf>
    <xf numFmtId="0" fontId="47" fillId="0" borderId="0" xfId="0" applyFont="1" applyAlignment="1">
      <alignment vertical="center"/>
    </xf>
    <xf numFmtId="0" fontId="5" fillId="0" borderId="44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47" fillId="0" borderId="43" xfId="0" applyFont="1" applyBorder="1" applyAlignment="1">
      <alignment horizontal="left" vertical="center"/>
    </xf>
    <xf numFmtId="0" fontId="5" fillId="0" borderId="56" xfId="0" applyFont="1" applyBorder="1" applyAlignment="1">
      <alignment vertical="center"/>
    </xf>
    <xf numFmtId="0" fontId="47" fillId="0" borderId="57" xfId="0" applyFont="1" applyBorder="1" applyAlignment="1">
      <alignment horizontal="left" vertical="center"/>
    </xf>
    <xf numFmtId="0" fontId="5" fillId="0" borderId="58" xfId="0" applyFont="1" applyBorder="1" applyAlignment="1">
      <alignment vertical="center"/>
    </xf>
    <xf numFmtId="0" fontId="5" fillId="0" borderId="50" xfId="0" applyFont="1" applyBorder="1" applyAlignment="1">
      <alignment horizontal="center" vertical="center"/>
    </xf>
    <xf numFmtId="0" fontId="47" fillId="0" borderId="59" xfId="0" applyFont="1" applyBorder="1" applyAlignment="1">
      <alignment horizontal="left" vertical="center"/>
    </xf>
    <xf numFmtId="0" fontId="47" fillId="0" borderId="51" xfId="0" applyFont="1" applyBorder="1" applyAlignment="1">
      <alignment vertical="center"/>
    </xf>
    <xf numFmtId="0" fontId="47" fillId="0" borderId="46" xfId="0" applyFont="1" applyBorder="1" applyAlignment="1">
      <alignment horizontal="center" vertical="center"/>
    </xf>
    <xf numFmtId="0" fontId="47" fillId="0" borderId="46" xfId="0" applyFont="1" applyBorder="1" applyAlignment="1">
      <alignment vertical="center"/>
    </xf>
    <xf numFmtId="0" fontId="47" fillId="0" borderId="0" xfId="0" applyFont="1" applyAlignment="1">
      <alignment horizontal="right" vertical="center"/>
    </xf>
    <xf numFmtId="0" fontId="47" fillId="0" borderId="56" xfId="0" applyFont="1" applyBorder="1" applyAlignment="1">
      <alignment vertical="center"/>
    </xf>
    <xf numFmtId="0" fontId="47" fillId="0" borderId="33" xfId="0" applyFont="1" applyBorder="1" applyAlignment="1">
      <alignment horizontal="center" vertical="center"/>
    </xf>
    <xf numFmtId="0" fontId="47" fillId="0" borderId="33" xfId="0" applyFont="1" applyBorder="1" applyAlignment="1">
      <alignment vertical="center"/>
    </xf>
    <xf numFmtId="0" fontId="47" fillId="0" borderId="58" xfId="0" applyFont="1" applyBorder="1" applyAlignment="1">
      <alignment vertical="center"/>
    </xf>
    <xf numFmtId="0" fontId="47" fillId="0" borderId="50" xfId="0" applyFont="1" applyBorder="1" applyAlignment="1">
      <alignment vertical="center"/>
    </xf>
    <xf numFmtId="0" fontId="47" fillId="0" borderId="0" xfId="0" applyFont="1" applyAlignment="1">
      <alignment horizontal="center" vertical="center"/>
    </xf>
    <xf numFmtId="0" fontId="47" fillId="0" borderId="8" xfId="0" applyFont="1" applyBorder="1" applyAlignment="1">
      <alignment horizontal="left" vertical="center"/>
    </xf>
    <xf numFmtId="0" fontId="46" fillId="11" borderId="47" xfId="0" applyFont="1" applyFill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10" fontId="17" fillId="0" borderId="32" xfId="0" applyNumberFormat="1" applyFont="1" applyBorder="1" applyAlignment="1">
      <alignment horizontal="center" vertical="center" wrapText="1"/>
    </xf>
    <xf numFmtId="10" fontId="18" fillId="0" borderId="29" xfId="0" applyNumberFormat="1" applyFont="1" applyBorder="1" applyAlignment="1">
      <alignment horizontal="center" vertical="center"/>
    </xf>
    <xf numFmtId="10" fontId="17" fillId="0" borderId="32" xfId="0" quotePrefix="1" applyNumberFormat="1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/>
    </xf>
    <xf numFmtId="49" fontId="39" fillId="0" borderId="0" xfId="0" applyNumberFormat="1" applyFont="1" applyAlignment="1">
      <alignment horizontal="right"/>
    </xf>
    <xf numFmtId="0" fontId="5" fillId="0" borderId="11" xfId="2" applyFont="1" applyBorder="1"/>
    <xf numFmtId="0" fontId="5" fillId="0" borderId="11" xfId="3" applyFont="1" applyBorder="1"/>
    <xf numFmtId="0" fontId="5" fillId="0" borderId="4" xfId="3" applyFont="1" applyBorder="1" applyAlignment="1">
      <alignment horizontal="left"/>
    </xf>
    <xf numFmtId="164" fontId="8" fillId="0" borderId="39" xfId="0" applyNumberFormat="1" applyFont="1" applyBorder="1"/>
    <xf numFmtId="10" fontId="5" fillId="0" borderId="4" xfId="3" applyNumberFormat="1" applyFont="1" applyBorder="1"/>
    <xf numFmtId="0" fontId="5" fillId="0" borderId="4" xfId="2" applyFont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5" fillId="0" borderId="4" xfId="2" applyFont="1" applyBorder="1" applyAlignment="1">
      <alignment horizontal="center"/>
    </xf>
    <xf numFmtId="165" fontId="5" fillId="0" borderId="4" xfId="2" applyNumberFormat="1" applyFont="1" applyBorder="1"/>
    <xf numFmtId="0" fontId="5" fillId="0" borderId="0" xfId="2" applyFont="1" applyAlignment="1">
      <alignment horizontal="center"/>
    </xf>
    <xf numFmtId="0" fontId="2" fillId="0" borderId="11" xfId="0" applyFont="1" applyBorder="1"/>
    <xf numFmtId="168" fontId="19" fillId="8" borderId="37" xfId="2" applyNumberFormat="1" applyFont="1" applyFill="1" applyBorder="1" applyAlignment="1">
      <alignment horizontal="center"/>
    </xf>
    <xf numFmtId="0" fontId="2" fillId="0" borderId="0" xfId="0" applyFont="1"/>
    <xf numFmtId="168" fontId="64" fillId="8" borderId="37" xfId="4" applyNumberFormat="1" applyFont="1" applyFill="1" applyBorder="1" applyAlignment="1">
      <alignment horizontal="center"/>
    </xf>
    <xf numFmtId="0" fontId="8" fillId="0" borderId="53" xfId="0" applyFont="1" applyBorder="1" applyAlignment="1">
      <alignment horizontal="left"/>
    </xf>
    <xf numFmtId="0" fontId="18" fillId="7" borderId="53" xfId="3" applyFont="1" applyFill="1" applyBorder="1" applyAlignment="1">
      <alignment horizontal="center" vertical="center"/>
    </xf>
    <xf numFmtId="0" fontId="20" fillId="11" borderId="53" xfId="3" applyFont="1" applyFill="1" applyBorder="1" applyAlignment="1">
      <alignment horizontal="center" vertical="center"/>
    </xf>
    <xf numFmtId="0" fontId="17" fillId="11" borderId="30" xfId="3" applyFont="1" applyFill="1" applyBorder="1" applyAlignment="1">
      <alignment horizontal="center" vertical="center"/>
    </xf>
    <xf numFmtId="0" fontId="17" fillId="11" borderId="21" xfId="3" applyFont="1" applyFill="1" applyBorder="1" applyAlignment="1">
      <alignment horizontal="center" vertical="center"/>
    </xf>
    <xf numFmtId="0" fontId="17" fillId="11" borderId="53" xfId="3" applyFont="1" applyFill="1" applyBorder="1" applyAlignment="1">
      <alignment horizontal="center" vertical="center"/>
    </xf>
    <xf numFmtId="0" fontId="17" fillId="11" borderId="30" xfId="0" applyFont="1" applyFill="1" applyBorder="1" applyAlignment="1">
      <alignment horizontal="center" vertical="center"/>
    </xf>
    <xf numFmtId="166" fontId="17" fillId="4" borderId="32" xfId="0" applyNumberFormat="1" applyFont="1" applyFill="1" applyBorder="1" applyAlignment="1">
      <alignment horizontal="center" vertical="center" wrapText="1"/>
    </xf>
    <xf numFmtId="0" fontId="34" fillId="0" borderId="11" xfId="0" applyFont="1" applyBorder="1"/>
    <xf numFmtId="164" fontId="11" fillId="0" borderId="24" xfId="0" quotePrefix="1" applyNumberFormat="1" applyFont="1" applyBorder="1" applyAlignment="1">
      <alignment horizontal="right"/>
    </xf>
    <xf numFmtId="0" fontId="5" fillId="0" borderId="4" xfId="3" applyFont="1" applyBorder="1" applyAlignment="1">
      <alignment horizontal="center"/>
    </xf>
    <xf numFmtId="168" fontId="19" fillId="9" borderId="0" xfId="2" applyNumberFormat="1" applyFont="1" applyFill="1" applyAlignment="1">
      <alignment horizontal="center"/>
    </xf>
    <xf numFmtId="1" fontId="37" fillId="0" borderId="0" xfId="3" applyNumberFormat="1" applyFont="1" applyAlignment="1">
      <alignment horizontal="center"/>
    </xf>
    <xf numFmtId="0" fontId="37" fillId="0" borderId="0" xfId="2" applyFont="1" applyAlignment="1">
      <alignment horizontal="center"/>
    </xf>
    <xf numFmtId="0" fontId="4" fillId="0" borderId="4" xfId="1" applyBorder="1" applyAlignment="1" applyProtection="1">
      <alignment horizontal="center" vertical="center"/>
    </xf>
    <xf numFmtId="0" fontId="17" fillId="0" borderId="11" xfId="0" applyFont="1" applyBorder="1" applyAlignment="1">
      <alignment horizontal="left" vertical="center"/>
    </xf>
    <xf numFmtId="16" fontId="8" fillId="0" borderId="0" xfId="0" applyNumberFormat="1" applyFont="1" applyAlignment="1">
      <alignment horizontal="right"/>
    </xf>
    <xf numFmtId="49" fontId="4" fillId="0" borderId="11" xfId="1" applyNumberFormat="1" applyBorder="1" applyAlignment="1" applyProtection="1">
      <alignment horizontal="center"/>
    </xf>
    <xf numFmtId="0" fontId="17" fillId="0" borderId="11" xfId="0" applyFont="1" applyBorder="1"/>
    <xf numFmtId="0" fontId="30" fillId="0" borderId="40" xfId="0" applyFont="1" applyBorder="1" applyAlignment="1">
      <alignment horizontal="center" vertical="center"/>
    </xf>
    <xf numFmtId="0" fontId="31" fillId="7" borderId="53" xfId="3" applyFont="1" applyFill="1" applyBorder="1" applyAlignment="1">
      <alignment horizontal="center" vertical="center"/>
    </xf>
    <xf numFmtId="0" fontId="65" fillId="0" borderId="0" xfId="0" applyFont="1"/>
    <xf numFmtId="0" fontId="5" fillId="0" borderId="4" xfId="0" applyFont="1" applyBorder="1" applyAlignment="1">
      <alignment horizontal="center" vertical="center"/>
    </xf>
    <xf numFmtId="0" fontId="15" fillId="0" borderId="4" xfId="1" applyFont="1" applyBorder="1" applyAlignment="1" applyProtection="1">
      <alignment horizontal="center" vertical="center"/>
    </xf>
    <xf numFmtId="0" fontId="5" fillId="0" borderId="4" xfId="0" applyFont="1" applyBorder="1" applyAlignment="1">
      <alignment horizontal="center"/>
    </xf>
    <xf numFmtId="164" fontId="8" fillId="0" borderId="18" xfId="0" applyNumberFormat="1" applyFont="1" applyBorder="1" applyAlignment="1">
      <alignment horizontal="right"/>
    </xf>
    <xf numFmtId="0" fontId="4" fillId="0" borderId="4" xfId="1" applyBorder="1" applyAlignment="1" applyProtection="1">
      <alignment horizontal="left"/>
    </xf>
    <xf numFmtId="0" fontId="66" fillId="0" borderId="4" xfId="1" applyFont="1" applyBorder="1" applyAlignment="1" applyProtection="1">
      <alignment horizontal="center"/>
    </xf>
    <xf numFmtId="49" fontId="66" fillId="0" borderId="4" xfId="1" applyNumberFormat="1" applyFont="1" applyBorder="1" applyAlignment="1" applyProtection="1">
      <alignment horizontal="center"/>
    </xf>
    <xf numFmtId="49" fontId="31" fillId="7" borderId="53" xfId="3" applyNumberFormat="1" applyFont="1" applyFill="1" applyBorder="1" applyAlignment="1">
      <alignment horizontal="center"/>
    </xf>
    <xf numFmtId="0" fontId="17" fillId="0" borderId="35" xfId="3" applyFont="1" applyBorder="1" applyAlignment="1">
      <alignment horizontal="center"/>
    </xf>
    <xf numFmtId="0" fontId="41" fillId="7" borderId="53" xfId="3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0" fillId="0" borderId="11" xfId="3" applyFont="1" applyBorder="1" applyAlignment="1">
      <alignment horizontal="center" vertical="center"/>
    </xf>
    <xf numFmtId="49" fontId="8" fillId="0" borderId="0" xfId="0" applyNumberFormat="1" applyFont="1" applyAlignment="1">
      <alignment horizontal="center"/>
    </xf>
    <xf numFmtId="0" fontId="46" fillId="11" borderId="45" xfId="0" applyFont="1" applyFill="1" applyBorder="1" applyAlignment="1">
      <alignment horizontal="center" vertical="center"/>
    </xf>
    <xf numFmtId="0" fontId="46" fillId="0" borderId="12" xfId="0" applyFont="1" applyBorder="1" applyAlignment="1">
      <alignment vertical="center"/>
    </xf>
    <xf numFmtId="169" fontId="18" fillId="8" borderId="0" xfId="3" applyNumberFormat="1" applyFont="1" applyFill="1" applyAlignment="1">
      <alignment horizontal="left" vertical="center"/>
    </xf>
    <xf numFmtId="0" fontId="17" fillId="0" borderId="4" xfId="0" applyFont="1" applyBorder="1" applyAlignment="1">
      <alignment horizontal="center"/>
    </xf>
    <xf numFmtId="0" fontId="5" fillId="0" borderId="0" xfId="3" applyFont="1"/>
    <xf numFmtId="0" fontId="5" fillId="0" borderId="11" xfId="0" applyFont="1" applyBorder="1" applyAlignment="1">
      <alignment horizontal="left"/>
    </xf>
    <xf numFmtId="169" fontId="18" fillId="9" borderId="0" xfId="3" applyNumberFormat="1" applyFont="1" applyFill="1" applyAlignment="1">
      <alignment horizontal="left" vertical="center"/>
    </xf>
    <xf numFmtId="169" fontId="18" fillId="9" borderId="4" xfId="3" applyNumberFormat="1" applyFont="1" applyFill="1" applyBorder="1" applyAlignment="1">
      <alignment horizontal="center" vertical="center"/>
    </xf>
    <xf numFmtId="0" fontId="20" fillId="0" borderId="17" xfId="3" applyFont="1" applyBorder="1" applyAlignment="1">
      <alignment horizontal="center" vertical="center"/>
    </xf>
    <xf numFmtId="0" fontId="20" fillId="0" borderId="11" xfId="3" applyFont="1" applyBorder="1" applyAlignment="1">
      <alignment horizontal="left" vertical="center"/>
    </xf>
    <xf numFmtId="0" fontId="20" fillId="0" borderId="4" xfId="3" applyFont="1" applyBorder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20" fillId="0" borderId="11" xfId="0" applyFont="1" applyBorder="1"/>
    <xf numFmtId="0" fontId="5" fillId="0" borderId="4" xfId="1" applyFont="1" applyBorder="1" applyAlignment="1" applyProtection="1"/>
    <xf numFmtId="0" fontId="66" fillId="0" borderId="4" xfId="1" applyFont="1" applyBorder="1" applyAlignment="1" applyProtection="1"/>
    <xf numFmtId="164" fontId="6" fillId="0" borderId="52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8" fillId="0" borderId="39" xfId="0" applyFont="1" applyBorder="1"/>
    <xf numFmtId="166" fontId="8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8" fillId="0" borderId="36" xfId="0" applyNumberFormat="1" applyFont="1" applyBorder="1" applyAlignment="1">
      <alignment horizontal="center"/>
    </xf>
    <xf numFmtId="164" fontId="8" fillId="0" borderId="31" xfId="0" applyNumberFormat="1" applyFont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0" fontId="2" fillId="0" borderId="21" xfId="0" applyFont="1" applyBorder="1"/>
    <xf numFmtId="49" fontId="8" fillId="0" borderId="21" xfId="0" applyNumberFormat="1" applyFont="1" applyBorder="1" applyAlignment="1">
      <alignment horizontal="center"/>
    </xf>
    <xf numFmtId="164" fontId="8" fillId="0" borderId="55" xfId="0" applyNumberFormat="1" applyFont="1" applyBorder="1"/>
    <xf numFmtId="164" fontId="8" fillId="0" borderId="25" xfId="0" applyNumberFormat="1" applyFont="1" applyBorder="1"/>
    <xf numFmtId="0" fontId="27" fillId="2" borderId="41" xfId="0" applyFont="1" applyFill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27" fillId="2" borderId="41" xfId="0" applyFont="1" applyFill="1" applyBorder="1" applyAlignment="1">
      <alignment horizontal="left"/>
    </xf>
    <xf numFmtId="0" fontId="30" fillId="9" borderId="40" xfId="0" applyFont="1" applyFill="1" applyBorder="1"/>
    <xf numFmtId="0" fontId="2" fillId="9" borderId="40" xfId="0" applyFont="1" applyFill="1" applyBorder="1"/>
    <xf numFmtId="0" fontId="8" fillId="0" borderId="38" xfId="0" applyFont="1" applyBorder="1" applyAlignment="1">
      <alignment horizontal="left"/>
    </xf>
    <xf numFmtId="49" fontId="8" fillId="0" borderId="1" xfId="0" applyNumberFormat="1" applyFont="1" applyBorder="1" applyAlignment="1">
      <alignment horizontal="center"/>
    </xf>
    <xf numFmtId="164" fontId="8" fillId="0" borderId="52" xfId="0" applyNumberFormat="1" applyFont="1" applyBorder="1"/>
    <xf numFmtId="0" fontId="67" fillId="0" borderId="4" xfId="0" applyFont="1" applyBorder="1"/>
    <xf numFmtId="0" fontId="67" fillId="0" borderId="11" xfId="0" applyFont="1" applyBorder="1"/>
    <xf numFmtId="1" fontId="18" fillId="2" borderId="6" xfId="0" applyNumberFormat="1" applyFont="1" applyFill="1" applyBorder="1" applyAlignment="1">
      <alignment horizontal="center"/>
    </xf>
    <xf numFmtId="1" fontId="18" fillId="9" borderId="6" xfId="0" applyNumberFormat="1" applyFont="1" applyFill="1" applyBorder="1" applyAlignment="1">
      <alignment horizontal="center"/>
    </xf>
    <xf numFmtId="1" fontId="17" fillId="0" borderId="4" xfId="0" applyNumberFormat="1" applyFont="1" applyBorder="1" applyAlignment="1">
      <alignment horizontal="left"/>
    </xf>
    <xf numFmtId="1" fontId="17" fillId="0" borderId="4" xfId="3" applyNumberFormat="1" applyFont="1" applyBorder="1" applyAlignment="1">
      <alignment horizontal="left" vertical="center"/>
    </xf>
    <xf numFmtId="1" fontId="17" fillId="0" borderId="4" xfId="2" applyNumberFormat="1" applyFont="1" applyBorder="1" applyAlignment="1">
      <alignment horizontal="left"/>
    </xf>
    <xf numFmtId="1" fontId="17" fillId="0" borderId="4" xfId="3" applyNumberFormat="1" applyFont="1" applyBorder="1" applyAlignment="1">
      <alignment horizontal="left"/>
    </xf>
    <xf numFmtId="1" fontId="25" fillId="0" borderId="4" xfId="4" applyNumberFormat="1" applyFont="1" applyBorder="1" applyAlignment="1">
      <alignment horizontal="left"/>
    </xf>
    <xf numFmtId="1" fontId="44" fillId="0" borderId="4" xfId="3" applyNumberFormat="1" applyFont="1" applyBorder="1" applyAlignment="1">
      <alignment horizontal="left"/>
    </xf>
    <xf numFmtId="49" fontId="5" fillId="0" borderId="4" xfId="2" applyNumberFormat="1" applyFont="1" applyBorder="1" applyAlignment="1">
      <alignment horizontal="center"/>
    </xf>
    <xf numFmtId="166" fontId="17" fillId="10" borderId="4" xfId="3" applyNumberFormat="1" applyFont="1" applyFill="1" applyBorder="1" applyAlignment="1">
      <alignment horizontal="center"/>
    </xf>
    <xf numFmtId="166" fontId="17" fillId="9" borderId="37" xfId="0" applyNumberFormat="1" applyFont="1" applyFill="1" applyBorder="1" applyAlignment="1">
      <alignment horizontal="center"/>
    </xf>
    <xf numFmtId="0" fontId="18" fillId="9" borderId="4" xfId="3" applyFont="1" applyFill="1" applyBorder="1" applyAlignment="1">
      <alignment horizontal="left"/>
    </xf>
    <xf numFmtId="166" fontId="17" fillId="10" borderId="4" xfId="3" applyNumberFormat="1" applyFont="1" applyFill="1" applyBorder="1" applyAlignment="1">
      <alignment horizontal="center" vertical="center"/>
    </xf>
    <xf numFmtId="166" fontId="17" fillId="9" borderId="37" xfId="0" applyNumberFormat="1" applyFont="1" applyFill="1" applyBorder="1" applyAlignment="1">
      <alignment horizontal="center" vertical="center"/>
    </xf>
    <xf numFmtId="0" fontId="16" fillId="0" borderId="4" xfId="0" applyFont="1" applyBorder="1"/>
    <xf numFmtId="166" fontId="17" fillId="10" borderId="4" xfId="2" applyNumberFormat="1" applyFont="1" applyFill="1" applyBorder="1" applyAlignment="1">
      <alignment horizontal="center"/>
    </xf>
    <xf numFmtId="166" fontId="17" fillId="9" borderId="37" xfId="2" applyNumberFormat="1" applyFont="1" applyFill="1" applyBorder="1" applyAlignment="1">
      <alignment horizontal="center"/>
    </xf>
    <xf numFmtId="14" fontId="5" fillId="0" borderId="4" xfId="3" quotePrefix="1" applyNumberFormat="1" applyFont="1" applyBorder="1"/>
    <xf numFmtId="1" fontId="17" fillId="12" borderId="4" xfId="3" applyNumberFormat="1" applyFont="1" applyFill="1" applyBorder="1" applyAlignment="1">
      <alignment horizontal="left" vertical="center"/>
    </xf>
    <xf numFmtId="0" fontId="8" fillId="0" borderId="26" xfId="0" applyFont="1" applyBorder="1" applyAlignment="1">
      <alignment horizontal="center"/>
    </xf>
    <xf numFmtId="0" fontId="8" fillId="0" borderId="28" xfId="0" applyFont="1" applyBorder="1" applyAlignment="1">
      <alignment horizontal="right"/>
    </xf>
    <xf numFmtId="164" fontId="8" fillId="0" borderId="16" xfId="0" applyNumberFormat="1" applyFont="1" applyBorder="1" applyAlignment="1">
      <alignment horizontal="center"/>
    </xf>
    <xf numFmtId="0" fontId="8" fillId="0" borderId="38" xfId="0" applyFont="1" applyBorder="1"/>
    <xf numFmtId="0" fontId="6" fillId="0" borderId="4" xfId="0" applyFont="1" applyBorder="1" applyAlignment="1">
      <alignment horizontal="left"/>
    </xf>
    <xf numFmtId="0" fontId="6" fillId="0" borderId="37" xfId="0" applyFont="1" applyBorder="1" applyAlignment="1">
      <alignment horizontal="left"/>
    </xf>
    <xf numFmtId="0" fontId="38" fillId="0" borderId="0" xfId="4" applyFont="1" applyAlignment="1">
      <alignment horizontal="center"/>
    </xf>
    <xf numFmtId="0" fontId="47" fillId="0" borderId="11" xfId="1" applyFont="1" applyBorder="1" applyAlignment="1" applyProtection="1"/>
    <xf numFmtId="0" fontId="4" fillId="0" borderId="0" xfId="1" applyBorder="1" applyAlignment="1" applyProtection="1">
      <alignment horizontal="center"/>
    </xf>
    <xf numFmtId="0" fontId="5" fillId="0" borderId="17" xfId="3" applyFont="1" applyBorder="1" applyAlignment="1">
      <alignment horizontal="center" vertical="center"/>
    </xf>
    <xf numFmtId="169" fontId="5" fillId="0" borderId="32" xfId="3" applyNumberFormat="1" applyFont="1" applyBorder="1" applyAlignment="1">
      <alignment horizontal="center" vertical="center"/>
    </xf>
    <xf numFmtId="0" fontId="5" fillId="0" borderId="32" xfId="3" applyFont="1" applyBorder="1" applyAlignment="1">
      <alignment horizontal="center" vertical="center"/>
    </xf>
    <xf numFmtId="166" fontId="5" fillId="0" borderId="32" xfId="3" applyNumberFormat="1" applyFont="1" applyBorder="1" applyAlignment="1">
      <alignment horizontal="center" vertical="center"/>
    </xf>
    <xf numFmtId="0" fontId="5" fillId="0" borderId="0" xfId="3" applyFont="1" applyAlignment="1">
      <alignment horizontal="center"/>
    </xf>
    <xf numFmtId="0" fontId="5" fillId="0" borderId="11" xfId="2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2" fillId="0" borderId="4" xfId="0" applyFont="1" applyBorder="1"/>
    <xf numFmtId="0" fontId="5" fillId="0" borderId="11" xfId="3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5" fillId="0" borderId="11" xfId="3" applyFont="1" applyBorder="1" applyAlignment="1">
      <alignment horizontal="left"/>
    </xf>
    <xf numFmtId="1" fontId="5" fillId="0" borderId="4" xfId="3" applyNumberFormat="1" applyFont="1" applyBorder="1"/>
    <xf numFmtId="0" fontId="5" fillId="0" borderId="37" xfId="3" applyFont="1" applyBorder="1" applyAlignment="1">
      <alignment vertical="center"/>
    </xf>
    <xf numFmtId="166" fontId="17" fillId="0" borderId="32" xfId="0" applyNumberFormat="1" applyFont="1" applyBorder="1" applyAlignment="1">
      <alignment horizontal="center" vertical="center" wrapText="1"/>
    </xf>
    <xf numFmtId="166" fontId="17" fillId="0" borderId="11" xfId="3" applyNumberFormat="1" applyFont="1" applyBorder="1" applyAlignment="1">
      <alignment horizontal="center"/>
    </xf>
    <xf numFmtId="166" fontId="17" fillId="0" borderId="11" xfId="3" applyNumberFormat="1" applyFont="1" applyBorder="1" applyAlignment="1">
      <alignment horizontal="center" vertical="center"/>
    </xf>
    <xf numFmtId="166" fontId="17" fillId="0" borderId="11" xfId="2" applyNumberFormat="1" applyFont="1" applyBorder="1" applyAlignment="1">
      <alignment horizontal="center"/>
    </xf>
    <xf numFmtId="166" fontId="25" fillId="0" borderId="11" xfId="4" applyNumberFormat="1" applyFont="1" applyBorder="1" applyAlignment="1">
      <alignment horizontal="center"/>
    </xf>
    <xf numFmtId="166" fontId="17" fillId="0" borderId="0" xfId="3" applyNumberFormat="1" applyFont="1" applyAlignment="1">
      <alignment horizontal="center" vertical="center"/>
    </xf>
    <xf numFmtId="166" fontId="17" fillId="0" borderId="0" xfId="3" applyNumberFormat="1" applyFont="1" applyAlignment="1">
      <alignment horizontal="center"/>
    </xf>
    <xf numFmtId="14" fontId="16" fillId="9" borderId="0" xfId="0" applyNumberFormat="1" applyFont="1" applyFill="1"/>
    <xf numFmtId="14" fontId="16" fillId="0" borderId="0" xfId="0" applyNumberFormat="1" applyFont="1"/>
    <xf numFmtId="14" fontId="31" fillId="45" borderId="29" xfId="3" applyNumberFormat="1" applyFont="1" applyFill="1" applyBorder="1" applyAlignment="1">
      <alignment horizontal="center" vertical="center"/>
    </xf>
    <xf numFmtId="0" fontId="47" fillId="0" borderId="11" xfId="0" applyFont="1" applyBorder="1"/>
    <xf numFmtId="0" fontId="21" fillId="0" borderId="11" xfId="2" applyFont="1" applyBorder="1" applyAlignment="1">
      <alignment horizontal="center"/>
    </xf>
    <xf numFmtId="0" fontId="23" fillId="0" borderId="11" xfId="0" applyFont="1" applyBorder="1"/>
    <xf numFmtId="49" fontId="5" fillId="0" borderId="11" xfId="0" applyNumberFormat="1" applyFont="1" applyBorder="1" applyAlignment="1">
      <alignment horizontal="center"/>
    </xf>
    <xf numFmtId="49" fontId="4" fillId="0" borderId="0" xfId="1" applyNumberFormat="1" applyBorder="1" applyAlignment="1" applyProtection="1">
      <alignment horizontal="center"/>
    </xf>
    <xf numFmtId="0" fontId="4" fillId="0" borderId="11" xfId="1" applyBorder="1" applyAlignment="1" applyProtection="1">
      <alignment horizontal="center" vertical="center"/>
    </xf>
    <xf numFmtId="0" fontId="5" fillId="0" borderId="37" xfId="3" applyFont="1" applyBorder="1"/>
    <xf numFmtId="0" fontId="5" fillId="0" borderId="4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49" fontId="4" fillId="0" borderId="37" xfId="1" applyNumberFormat="1" applyBorder="1" applyAlignment="1" applyProtection="1">
      <alignment horizontal="center"/>
    </xf>
    <xf numFmtId="1" fontId="17" fillId="0" borderId="11" xfId="3" applyNumberFormat="1" applyFont="1" applyBorder="1" applyAlignment="1">
      <alignment horizontal="left"/>
    </xf>
    <xf numFmtId="0" fontId="21" fillId="0" borderId="34" xfId="2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7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21" xfId="0" applyFont="1" applyBorder="1"/>
    <xf numFmtId="0" fontId="8" fillId="0" borderId="54" xfId="0" applyFont="1" applyBorder="1"/>
    <xf numFmtId="0" fontId="40" fillId="0" borderId="0" xfId="0" applyFont="1"/>
    <xf numFmtId="0" fontId="8" fillId="0" borderId="41" xfId="0" applyFont="1" applyBorder="1" applyAlignment="1">
      <alignment horizontal="center"/>
    </xf>
    <xf numFmtId="0" fontId="2" fillId="0" borderId="0" xfId="0" quotePrefix="1" applyFont="1"/>
    <xf numFmtId="0" fontId="6" fillId="0" borderId="4" xfId="0" applyFont="1" applyBorder="1"/>
    <xf numFmtId="16" fontId="6" fillId="0" borderId="4" xfId="0" applyNumberFormat="1" applyFont="1" applyBorder="1"/>
    <xf numFmtId="168" fontId="19" fillId="8" borderId="0" xfId="3" applyNumberFormat="1" applyFont="1" applyFill="1" applyAlignment="1">
      <alignment horizontal="center"/>
    </xf>
    <xf numFmtId="0" fontId="18" fillId="9" borderId="0" xfId="3" applyFont="1" applyFill="1" applyAlignment="1">
      <alignment horizontal="center"/>
    </xf>
    <xf numFmtId="166" fontId="17" fillId="0" borderId="0" xfId="2" applyNumberFormat="1" applyFont="1" applyAlignment="1">
      <alignment horizontal="center"/>
    </xf>
    <xf numFmtId="0" fontId="5" fillId="0" borderId="0" xfId="3" applyFont="1" applyAlignment="1">
      <alignment vertical="center"/>
    </xf>
    <xf numFmtId="0" fontId="5" fillId="0" borderId="0" xfId="2" applyFont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1" fontId="17" fillId="0" borderId="0" xfId="2" applyNumberFormat="1" applyFont="1" applyAlignment="1">
      <alignment horizontal="left"/>
    </xf>
    <xf numFmtId="0" fontId="5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16" fontId="8" fillId="0" borderId="0" xfId="0" applyNumberFormat="1" applyFont="1" applyAlignment="1">
      <alignment horizontal="left"/>
    </xf>
    <xf numFmtId="16" fontId="8" fillId="0" borderId="37" xfId="0" applyNumberFormat="1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0" xfId="0" applyFont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37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4" fillId="0" borderId="1" xfId="1" applyBorder="1" applyAlignment="1" applyProtection="1">
      <alignment horizontal="center"/>
    </xf>
    <xf numFmtId="0" fontId="8" fillId="0" borderId="1" xfId="0" applyFont="1" applyBorder="1" applyAlignment="1">
      <alignment horizontal="center"/>
    </xf>
    <xf numFmtId="0" fontId="4" fillId="0" borderId="13" xfId="1" applyBorder="1" applyAlignment="1" applyProtection="1">
      <alignment horizontal="center"/>
    </xf>
    <xf numFmtId="0" fontId="8" fillId="0" borderId="2" xfId="0" applyFont="1" applyBorder="1" applyAlignment="1">
      <alignment horizontal="center"/>
    </xf>
    <xf numFmtId="0" fontId="8" fillId="0" borderId="53" xfId="0" applyFont="1" applyBorder="1"/>
    <xf numFmtId="0" fontId="8" fillId="0" borderId="21" xfId="0" applyFont="1" applyBorder="1"/>
    <xf numFmtId="0" fontId="8" fillId="0" borderId="54" xfId="0" applyFont="1" applyBorder="1"/>
    <xf numFmtId="0" fontId="65" fillId="0" borderId="0" xfId="0" applyFont="1" applyAlignment="1">
      <alignment horizontal="center"/>
    </xf>
    <xf numFmtId="0" fontId="40" fillId="0" borderId="0" xfId="0" applyFont="1"/>
    <xf numFmtId="0" fontId="2" fillId="0" borderId="0" xfId="0" applyFont="1"/>
    <xf numFmtId="0" fontId="6" fillId="0" borderId="51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60" xfId="0" applyFont="1" applyBorder="1" applyAlignment="1">
      <alignment horizontal="center"/>
    </xf>
    <xf numFmtId="0" fontId="14" fillId="0" borderId="0" xfId="0" applyFont="1"/>
    <xf numFmtId="0" fontId="2" fillId="0" borderId="60" xfId="0" applyFont="1" applyBorder="1"/>
    <xf numFmtId="167" fontId="9" fillId="0" borderId="9" xfId="0" applyNumberFormat="1" applyFont="1" applyBorder="1" applyAlignment="1">
      <alignment horizontal="center"/>
    </xf>
    <xf numFmtId="167" fontId="9" fillId="0" borderId="19" xfId="0" applyNumberFormat="1" applyFont="1" applyBorder="1" applyAlignment="1">
      <alignment horizontal="center"/>
    </xf>
    <xf numFmtId="167" fontId="9" fillId="0" borderId="20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7" fontId="9" fillId="0" borderId="12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37" xfId="0" applyFont="1" applyBorder="1" applyAlignment="1">
      <alignment horizontal="left"/>
    </xf>
    <xf numFmtId="0" fontId="19" fillId="2" borderId="58" xfId="3" applyFont="1" applyFill="1" applyBorder="1" applyAlignment="1">
      <alignment horizontal="center" vertical="center"/>
    </xf>
    <xf numFmtId="0" fontId="19" fillId="2" borderId="59" xfId="3" applyFont="1" applyFill="1" applyBorder="1" applyAlignment="1">
      <alignment horizontal="center" vertical="center"/>
    </xf>
    <xf numFmtId="0" fontId="19" fillId="5" borderId="58" xfId="3" applyFont="1" applyFill="1" applyBorder="1" applyAlignment="1">
      <alignment horizontal="center" vertical="center"/>
    </xf>
    <xf numFmtId="0" fontId="19" fillId="5" borderId="59" xfId="3" applyFont="1" applyFill="1" applyBorder="1" applyAlignment="1">
      <alignment horizontal="center" vertical="center"/>
    </xf>
    <xf numFmtId="0" fontId="19" fillId="3" borderId="58" xfId="3" applyFont="1" applyFill="1" applyBorder="1" applyAlignment="1">
      <alignment horizontal="center" vertical="center"/>
    </xf>
    <xf numFmtId="0" fontId="19" fillId="3" borderId="71" xfId="3" applyFont="1" applyFill="1" applyBorder="1" applyAlignment="1">
      <alignment horizontal="center" vertical="center"/>
    </xf>
    <xf numFmtId="1" fontId="41" fillId="9" borderId="41" xfId="2" applyNumberFormat="1" applyFont="1" applyFill="1" applyBorder="1" applyAlignment="1">
      <alignment horizontal="center"/>
    </xf>
    <xf numFmtId="1" fontId="42" fillId="9" borderId="31" xfId="0" applyNumberFormat="1" applyFont="1" applyFill="1" applyBorder="1" applyAlignment="1">
      <alignment horizontal="center"/>
    </xf>
    <xf numFmtId="0" fontId="41" fillId="11" borderId="35" xfId="3" applyFont="1" applyFill="1" applyBorder="1" applyAlignment="1">
      <alignment horizontal="center" vertical="center"/>
    </xf>
    <xf numFmtId="0" fontId="42" fillId="11" borderId="31" xfId="0" applyFont="1" applyFill="1" applyBorder="1" applyAlignment="1">
      <alignment horizontal="center" vertical="center"/>
    </xf>
    <xf numFmtId="0" fontId="42" fillId="11" borderId="36" xfId="0" applyFont="1" applyFill="1" applyBorder="1" applyAlignment="1">
      <alignment horizontal="center" vertical="center"/>
    </xf>
    <xf numFmtId="0" fontId="19" fillId="2" borderId="41" xfId="3" applyFont="1" applyFill="1" applyBorder="1" applyAlignment="1">
      <alignment horizontal="center" vertical="center"/>
    </xf>
    <xf numFmtId="0" fontId="19" fillId="2" borderId="31" xfId="3" applyFont="1" applyFill="1" applyBorder="1" applyAlignment="1">
      <alignment horizontal="center" vertical="center"/>
    </xf>
    <xf numFmtId="0" fontId="19" fillId="2" borderId="36" xfId="3" applyFont="1" applyFill="1" applyBorder="1" applyAlignment="1">
      <alignment horizontal="center" vertical="center"/>
    </xf>
    <xf numFmtId="0" fontId="19" fillId="3" borderId="70" xfId="3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/>
    </xf>
    <xf numFmtId="0" fontId="19" fillId="2" borderId="35" xfId="3" applyFont="1" applyFill="1" applyBorder="1" applyAlignment="1">
      <alignment horizontal="center" vertical="center"/>
    </xf>
    <xf numFmtId="166" fontId="18" fillId="0" borderId="35" xfId="3" applyNumberFormat="1" applyFont="1" applyBorder="1" applyAlignment="1">
      <alignment horizontal="center" vertical="center"/>
    </xf>
    <xf numFmtId="166" fontId="18" fillId="0" borderId="31" xfId="3" applyNumberFormat="1" applyFont="1" applyBorder="1" applyAlignment="1">
      <alignment horizontal="center" vertical="center"/>
    </xf>
    <xf numFmtId="166" fontId="18" fillId="0" borderId="36" xfId="3" applyNumberFormat="1" applyFont="1" applyBorder="1" applyAlignment="1">
      <alignment horizontal="center" vertical="center"/>
    </xf>
    <xf numFmtId="0" fontId="19" fillId="6" borderId="35" xfId="3" applyFont="1" applyFill="1" applyBorder="1" applyAlignment="1">
      <alignment horizontal="center" vertical="center"/>
    </xf>
    <xf numFmtId="0" fontId="19" fillId="6" borderId="31" xfId="3" applyFont="1" applyFill="1" applyBorder="1" applyAlignment="1">
      <alignment horizontal="center" vertical="center"/>
    </xf>
    <xf numFmtId="0" fontId="19" fillId="6" borderId="40" xfId="3" applyFont="1" applyFill="1" applyBorder="1" applyAlignment="1">
      <alignment horizontal="center" vertical="center"/>
    </xf>
    <xf numFmtId="0" fontId="41" fillId="2" borderId="42" xfId="0" applyFont="1" applyFill="1" applyBorder="1" applyAlignment="1">
      <alignment horizontal="center"/>
    </xf>
    <xf numFmtId="0" fontId="41" fillId="2" borderId="21" xfId="0" applyFont="1" applyFill="1" applyBorder="1" applyAlignment="1">
      <alignment horizontal="center"/>
    </xf>
    <xf numFmtId="0" fontId="41" fillId="2" borderId="43" xfId="0" applyFont="1" applyFill="1" applyBorder="1" applyAlignment="1">
      <alignment horizontal="center"/>
    </xf>
    <xf numFmtId="0" fontId="41" fillId="2" borderId="13" xfId="0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2" borderId="2" xfId="0" applyFont="1" applyFill="1" applyBorder="1" applyAlignment="1">
      <alignment horizontal="center"/>
    </xf>
    <xf numFmtId="0" fontId="8" fillId="0" borderId="41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27" fillId="2" borderId="42" xfId="0" applyFont="1" applyFill="1" applyBorder="1"/>
    <xf numFmtId="0" fontId="27" fillId="0" borderId="43" xfId="0" applyFont="1" applyBorder="1"/>
    <xf numFmtId="0" fontId="46" fillId="11" borderId="41" xfId="0" applyFont="1" applyFill="1" applyBorder="1" applyAlignment="1">
      <alignment horizontal="center" vertical="center"/>
    </xf>
    <xf numFmtId="0" fontId="46" fillId="11" borderId="31" xfId="0" applyFont="1" applyFill="1" applyBorder="1" applyAlignment="1">
      <alignment horizontal="center" vertical="center"/>
    </xf>
    <xf numFmtId="0" fontId="46" fillId="11" borderId="40" xfId="0" applyFont="1" applyFill="1" applyBorder="1" applyAlignment="1">
      <alignment horizontal="center" vertical="center"/>
    </xf>
    <xf numFmtId="0" fontId="17" fillId="13" borderId="41" xfId="0" applyFont="1" applyFill="1" applyBorder="1" applyAlignment="1">
      <alignment horizontal="center" vertical="center"/>
    </xf>
    <xf numFmtId="0" fontId="17" fillId="13" borderId="31" xfId="0" applyFont="1" applyFill="1" applyBorder="1" applyAlignment="1">
      <alignment horizontal="center" vertical="center"/>
    </xf>
    <xf numFmtId="0" fontId="17" fillId="13" borderId="40" xfId="0" applyFont="1" applyFill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</cellXfs>
  <cellStyles count="48">
    <cellStyle name="20% - Accent1" xfId="20" builtinId="30" customBuiltin="1"/>
    <cellStyle name="20% - Accent2" xfId="23" builtinId="34" customBuiltin="1"/>
    <cellStyle name="20% - Accent3" xfId="26" builtinId="38" customBuiltin="1"/>
    <cellStyle name="20% - Accent4" xfId="29" builtinId="42" customBuiltin="1"/>
    <cellStyle name="20% - Accent5" xfId="32" builtinId="46" customBuiltin="1"/>
    <cellStyle name="20% - Accent6" xfId="35" builtinId="50" customBuiltin="1"/>
    <cellStyle name="40% - Accent1" xfId="21" builtinId="31" customBuiltin="1"/>
    <cellStyle name="40% - Accent2" xfId="24" builtinId="35" customBuiltin="1"/>
    <cellStyle name="40% - Accent3" xfId="27" builtinId="39" customBuiltin="1"/>
    <cellStyle name="40% - Accent4" xfId="30" builtinId="43" customBuiltin="1"/>
    <cellStyle name="40% - Accent5" xfId="33" builtinId="47" customBuiltin="1"/>
    <cellStyle name="40% - Accent6" xfId="36" builtinId="51" customBuiltin="1"/>
    <cellStyle name="60% - Accent1 2" xfId="38" xr:uid="{00000000-0005-0000-0000-00000C000000}"/>
    <cellStyle name="60% - Accent2 2" xfId="39" xr:uid="{00000000-0005-0000-0000-00000D000000}"/>
    <cellStyle name="60% - Accent3 2" xfId="40" xr:uid="{00000000-0005-0000-0000-00000E000000}"/>
    <cellStyle name="60% - Accent4 2" xfId="41" xr:uid="{00000000-0005-0000-0000-00000F000000}"/>
    <cellStyle name="60% - Accent5 2" xfId="42" xr:uid="{00000000-0005-0000-0000-000010000000}"/>
    <cellStyle name="60% - Accent6 2" xfId="43" xr:uid="{00000000-0005-0000-0000-000011000000}"/>
    <cellStyle name="Accent1" xfId="19" builtinId="29" customBuiltin="1"/>
    <cellStyle name="Accent2" xfId="22" builtinId="33" customBuiltin="1"/>
    <cellStyle name="Accent3" xfId="25" builtinId="37" customBuiltin="1"/>
    <cellStyle name="Accent4" xfId="28" builtinId="41" customBuiltin="1"/>
    <cellStyle name="Accent5" xfId="31" builtinId="45" customBuiltin="1"/>
    <cellStyle name="Accent6" xfId="34" builtinId="49" customBuiltin="1"/>
    <cellStyle name="Bad" xfId="10" builtinId="27" customBuiltin="1"/>
    <cellStyle name="Calculation" xfId="13" builtinId="22" customBuiltin="1"/>
    <cellStyle name="Check Cell" xfId="15" builtinId="23" customBuiltin="1"/>
    <cellStyle name="Explanatory Text" xfId="17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" xfId="1" builtinId="8"/>
    <cellStyle name="Input" xfId="11" builtinId="20" customBuiltin="1"/>
    <cellStyle name="Linked Cell" xfId="14" builtinId="24" customBuiltin="1"/>
    <cellStyle name="Neutral 2" xfId="44" xr:uid="{00000000-0005-0000-0000-000024000000}"/>
    <cellStyle name="Normal" xfId="0" builtinId="0"/>
    <cellStyle name="Normal 2" xfId="2" xr:uid="{00000000-0005-0000-0000-000026000000}"/>
    <cellStyle name="Normal 3" xfId="37" xr:uid="{00000000-0005-0000-0000-000027000000}"/>
    <cellStyle name="Normal_MAINT0103" xfId="3" xr:uid="{00000000-0005-0000-0000-000028000000}"/>
    <cellStyle name="Normal_Sheet1" xfId="4" xr:uid="{00000000-0005-0000-0000-000029000000}"/>
    <cellStyle name="Note 2" xfId="45" xr:uid="{00000000-0005-0000-0000-00002A000000}"/>
    <cellStyle name="Output" xfId="12" builtinId="21" customBuiltin="1"/>
    <cellStyle name="Percent 2" xfId="46" xr:uid="{00000000-0005-0000-0000-00002C000000}"/>
    <cellStyle name="Title 2" xfId="47" xr:uid="{00000000-0005-0000-0000-00002D000000}"/>
    <cellStyle name="Total" xfId="18" builtinId="25" customBuiltin="1"/>
    <cellStyle name="Warning Text" xfId="16" builtinId="11" customBuiltin="1"/>
  </cellStyles>
  <dxfs count="21">
    <dxf>
      <font>
        <condense val="0"/>
        <extend val="0"/>
        <color indexed="9"/>
      </font>
    </dxf>
    <dxf>
      <font>
        <color theme="0"/>
      </font>
    </dxf>
    <dxf>
      <fill>
        <patternFill>
          <bgColor indexed="9"/>
        </patternFill>
      </fill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57150</xdr:rowOff>
    </xdr:from>
    <xdr:to>
      <xdr:col>8</xdr:col>
      <xdr:colOff>123825</xdr:colOff>
      <xdr:row>3</xdr:row>
      <xdr:rowOff>9525</xdr:rowOff>
    </xdr:to>
    <xdr:pic>
      <xdr:nvPicPr>
        <xdr:cNvPr id="64400" name="Picture 1" descr="PerformanceClr">
          <a:extLst>
            <a:ext uri="{FF2B5EF4-FFF2-40B4-BE49-F238E27FC236}">
              <a16:creationId xmlns:a16="http://schemas.microsoft.com/office/drawing/2014/main" id="{29ECBD0D-46D0-460B-938F-334712708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04775"/>
          <a:ext cx="3940175" cy="473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1</xdr:row>
      <xdr:rowOff>64538</xdr:rowOff>
    </xdr:from>
    <xdr:to>
      <xdr:col>5</xdr:col>
      <xdr:colOff>1001372</xdr:colOff>
      <xdr:row>3</xdr:row>
      <xdr:rowOff>1190</xdr:rowOff>
    </xdr:to>
    <xdr:pic>
      <xdr:nvPicPr>
        <xdr:cNvPr id="65078" name="Picture 1" descr="PerformanceClr">
          <a:extLst>
            <a:ext uri="{FF2B5EF4-FFF2-40B4-BE49-F238E27FC236}">
              <a16:creationId xmlns:a16="http://schemas.microsoft.com/office/drawing/2014/main" id="{D89019D8-85D8-4B3F-8CBB-8F1B53C81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92105"/>
          <a:ext cx="3114335" cy="4575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PerformanceClr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peterschumacher2@gmail.com" TargetMode="External"/><Relationship Id="rId671" Type="http://schemas.openxmlformats.org/officeDocument/2006/relationships/hyperlink" Target="mailto:sfsucafe101@gmail.com" TargetMode="External"/><Relationship Id="rId21" Type="http://schemas.openxmlformats.org/officeDocument/2006/relationships/hyperlink" Target="mailto:jim@grillys.com" TargetMode="External"/><Relationship Id="rId324" Type="http://schemas.openxmlformats.org/officeDocument/2006/relationships/hyperlink" Target="mailto:lizfannoun@gmail.com" TargetMode="External"/><Relationship Id="rId531" Type="http://schemas.openxmlformats.org/officeDocument/2006/relationships/hyperlink" Target="mailto:rosendor@xaliscofoods.com" TargetMode="External"/><Relationship Id="rId629" Type="http://schemas.openxmlformats.org/officeDocument/2006/relationships/hyperlink" Target="mailto:buckeyeroadhouse@comcast.net" TargetMode="External"/><Relationship Id="rId170" Type="http://schemas.openxmlformats.org/officeDocument/2006/relationships/hyperlink" Target="mailto:roadsidebbq8@gmail.com" TargetMode="External"/><Relationship Id="rId268" Type="http://schemas.openxmlformats.org/officeDocument/2006/relationships/hyperlink" Target="mailto:laestrell22@aol.com" TargetMode="External"/><Relationship Id="rId475" Type="http://schemas.openxmlformats.org/officeDocument/2006/relationships/hyperlink" Target="mailto:reservations@epicsteak.com" TargetMode="External"/><Relationship Id="rId682" Type="http://schemas.openxmlformats.org/officeDocument/2006/relationships/hyperlink" Target="mailto:barr@moltiamici.com" TargetMode="External"/><Relationship Id="rId32" Type="http://schemas.openxmlformats.org/officeDocument/2006/relationships/hyperlink" Target="mailto:hernandez2588@gmail.com" TargetMode="External"/><Relationship Id="rId128" Type="http://schemas.openxmlformats.org/officeDocument/2006/relationships/hyperlink" Target="mailto:margee@gfoods.net" TargetMode="External"/><Relationship Id="rId335" Type="http://schemas.openxmlformats.org/officeDocument/2006/relationships/hyperlink" Target="mailto:jmend1017@aol.com" TargetMode="External"/><Relationship Id="rId542" Type="http://schemas.openxmlformats.org/officeDocument/2006/relationships/hyperlink" Target="mailto:natasha@barrelheadsf.com" TargetMode="External"/><Relationship Id="rId181" Type="http://schemas.openxmlformats.org/officeDocument/2006/relationships/hyperlink" Target="mailto:arnel_judilla@150pelican.com" TargetMode="External"/><Relationship Id="rId402" Type="http://schemas.openxmlformats.org/officeDocument/2006/relationships/hyperlink" Target="mailto:phoodfight@gmail.com" TargetMode="External"/><Relationship Id="rId279" Type="http://schemas.openxmlformats.org/officeDocument/2006/relationships/hyperlink" Target="mailto:office@producepromarket.com" TargetMode="External"/><Relationship Id="rId486" Type="http://schemas.openxmlformats.org/officeDocument/2006/relationships/hyperlink" Target="mailto:fmasarweh+3@gmail.com" TargetMode="External"/><Relationship Id="rId693" Type="http://schemas.openxmlformats.org/officeDocument/2006/relationships/hyperlink" Target="mailto:sabidoaf87@gmail.com" TargetMode="External"/><Relationship Id="rId707" Type="http://schemas.openxmlformats.org/officeDocument/2006/relationships/hyperlink" Target="mailto:accounting@minagroup.net" TargetMode="External"/><Relationship Id="rId43" Type="http://schemas.openxmlformats.org/officeDocument/2006/relationships/hyperlink" Target="mailto:wongkpw@gmail.com" TargetMode="External"/><Relationship Id="rId139" Type="http://schemas.openxmlformats.org/officeDocument/2006/relationships/hyperlink" Target="mailto:tbunker@boboquivaris.com" TargetMode="External"/><Relationship Id="rId346" Type="http://schemas.openxmlformats.org/officeDocument/2006/relationships/hyperlink" Target="mailto:alfonso@lapinata6.com" TargetMode="External"/><Relationship Id="rId553" Type="http://schemas.openxmlformats.org/officeDocument/2006/relationships/hyperlink" Target="mailto:ikedascountrymarket@gmail.com" TargetMode="External"/><Relationship Id="rId192" Type="http://schemas.openxmlformats.org/officeDocument/2006/relationships/hyperlink" Target="mailto:ap@specialtys.com" TargetMode="External"/><Relationship Id="rId206" Type="http://schemas.openxmlformats.org/officeDocument/2006/relationships/hyperlink" Target="mailto:leonella629@hotmail.com" TargetMode="External"/><Relationship Id="rId413" Type="http://schemas.openxmlformats.org/officeDocument/2006/relationships/hyperlink" Target="mailto:elcamarondesinaloa@gmail.com" TargetMode="External"/><Relationship Id="rId497" Type="http://schemas.openxmlformats.org/officeDocument/2006/relationships/hyperlink" Target="mailto:idreamofaruba@gmail.com" TargetMode="External"/><Relationship Id="rId620" Type="http://schemas.openxmlformats.org/officeDocument/2006/relationships/hyperlink" Target="mailto:Ebikahi@gmail.com" TargetMode="External"/><Relationship Id="rId718" Type="http://schemas.openxmlformats.org/officeDocument/2006/relationships/hyperlink" Target="mailto:Darwin_Mejia@tomatina.com" TargetMode="External"/><Relationship Id="rId357" Type="http://schemas.openxmlformats.org/officeDocument/2006/relationships/hyperlink" Target="mailto:victor@solfoodrestaurant.com" TargetMode="External"/><Relationship Id="rId54" Type="http://schemas.openxmlformats.org/officeDocument/2006/relationships/hyperlink" Target="mailto:mattmusa@aol.com" TargetMode="External"/><Relationship Id="rId217" Type="http://schemas.openxmlformats.org/officeDocument/2006/relationships/hyperlink" Target="mailto:mistermacaroni@yahoo.com" TargetMode="External"/><Relationship Id="rId564" Type="http://schemas.openxmlformats.org/officeDocument/2006/relationships/hyperlink" Target="mailto:towert@hotmail.com" TargetMode="External"/><Relationship Id="rId424" Type="http://schemas.openxmlformats.org/officeDocument/2006/relationships/hyperlink" Target="mailto:candyheaven.business@gmail.com" TargetMode="External"/><Relationship Id="rId631" Type="http://schemas.openxmlformats.org/officeDocument/2006/relationships/hyperlink" Target="mailto:tnajiola@comcast.net" TargetMode="External"/><Relationship Id="rId729" Type="http://schemas.openxmlformats.org/officeDocument/2006/relationships/hyperlink" Target="mailto:tmad060@teriyakimadness.com" TargetMode="External"/><Relationship Id="rId270" Type="http://schemas.openxmlformats.org/officeDocument/2006/relationships/hyperlink" Target="mailto:tmad060@teriyakimadness.com" TargetMode="External"/><Relationship Id="rId65" Type="http://schemas.openxmlformats.org/officeDocument/2006/relationships/hyperlink" Target="mailto:sunsmkt@gmail.com" TargetMode="External"/><Relationship Id="rId130" Type="http://schemas.openxmlformats.org/officeDocument/2006/relationships/hyperlink" Target="mailto:lorettayokoyama@gmail.com" TargetMode="External"/><Relationship Id="rId368" Type="http://schemas.openxmlformats.org/officeDocument/2006/relationships/hyperlink" Target="mailto:rflaster@earthlink.net" TargetMode="External"/><Relationship Id="rId575" Type="http://schemas.openxmlformats.org/officeDocument/2006/relationships/hyperlink" Target="mailto:ava@niceventures.com" TargetMode="External"/><Relationship Id="rId228" Type="http://schemas.openxmlformats.org/officeDocument/2006/relationships/hyperlink" Target="mailto:Dbeatriz800@gmail.com" TargetMode="External"/><Relationship Id="rId435" Type="http://schemas.openxmlformats.org/officeDocument/2006/relationships/hyperlink" Target="mailto:SHERGILLSATINDER4@GMAIL.COM" TargetMode="External"/><Relationship Id="rId642" Type="http://schemas.openxmlformats.org/officeDocument/2006/relationships/hyperlink" Target="mailto:denis.country.kitchen@gmail.com" TargetMode="External"/><Relationship Id="rId281" Type="http://schemas.openxmlformats.org/officeDocument/2006/relationships/hyperlink" Target="mailto:thefrontporchsf@gmail.com" TargetMode="External"/><Relationship Id="rId502" Type="http://schemas.openxmlformats.org/officeDocument/2006/relationships/hyperlink" Target="mailto:amy@slaterandassoc.net" TargetMode="External"/><Relationship Id="rId76" Type="http://schemas.openxmlformats.org/officeDocument/2006/relationships/hyperlink" Target="mailto:glopez@arteagasfoodcenter.com" TargetMode="External"/><Relationship Id="rId141" Type="http://schemas.openxmlformats.org/officeDocument/2006/relationships/hyperlink" Target="mailto:pepitos-restaurant@hotmail.com" TargetMode="External"/><Relationship Id="rId379" Type="http://schemas.openxmlformats.org/officeDocument/2006/relationships/hyperlink" Target="mailto:jennifer_leung@150pelican.com" TargetMode="External"/><Relationship Id="rId586" Type="http://schemas.openxmlformats.org/officeDocument/2006/relationships/hyperlink" Target="mailto:tacossinaloaberkeley@gmail.com" TargetMode="External"/><Relationship Id="rId7" Type="http://schemas.openxmlformats.org/officeDocument/2006/relationships/hyperlink" Target="http://www.harmonyrestaurantgroup.com/" TargetMode="External"/><Relationship Id="rId239" Type="http://schemas.openxmlformats.org/officeDocument/2006/relationships/hyperlink" Target="mailto:klowe1414@yahoo.com" TargetMode="External"/><Relationship Id="rId446" Type="http://schemas.openxmlformats.org/officeDocument/2006/relationships/hyperlink" Target="mailto:ap@pubrepublicusa.com" TargetMode="External"/><Relationship Id="rId653" Type="http://schemas.openxmlformats.org/officeDocument/2006/relationships/hyperlink" Target="mailto:jesse@niceventures.com" TargetMode="External"/><Relationship Id="rId292" Type="http://schemas.openxmlformats.org/officeDocument/2006/relationships/hyperlink" Target="mailto:sirulz@aol.com" TargetMode="External"/><Relationship Id="rId306" Type="http://schemas.openxmlformats.org/officeDocument/2006/relationships/hyperlink" Target="mailto:bhandalgurdeep@yahoo.com" TargetMode="External"/><Relationship Id="rId87" Type="http://schemas.openxmlformats.org/officeDocument/2006/relationships/hyperlink" Target="mailto:hanna12@msn.com" TargetMode="External"/><Relationship Id="rId513" Type="http://schemas.openxmlformats.org/officeDocument/2006/relationships/hyperlink" Target="mailto:cesar@fattoriaemare.com" TargetMode="External"/><Relationship Id="rId597" Type="http://schemas.openxmlformats.org/officeDocument/2006/relationships/hyperlink" Target="mailto:tonyonline5@yahoo.com" TargetMode="External"/><Relationship Id="rId720" Type="http://schemas.openxmlformats.org/officeDocument/2006/relationships/hyperlink" Target="mailto:Rogelio_Jacinto@tomatina.com" TargetMode="External"/><Relationship Id="rId152" Type="http://schemas.openxmlformats.org/officeDocument/2006/relationships/hyperlink" Target="mailto:chris@farleyscoffee.com" TargetMode="External"/><Relationship Id="rId457" Type="http://schemas.openxmlformats.org/officeDocument/2006/relationships/hyperlink" Target="mailto:jaredpfeldman@gmail.com" TargetMode="External"/><Relationship Id="rId664" Type="http://schemas.openxmlformats.org/officeDocument/2006/relationships/hyperlink" Target="mailto:info@gamh.com" TargetMode="External"/><Relationship Id="rId14" Type="http://schemas.openxmlformats.org/officeDocument/2006/relationships/hyperlink" Target="http://www.steinsbeergarden.com/" TargetMode="External"/><Relationship Id="rId317" Type="http://schemas.openxmlformats.org/officeDocument/2006/relationships/hyperlink" Target="mailto:mlmanji@gmail.com" TargetMode="External"/><Relationship Id="rId524" Type="http://schemas.openxmlformats.org/officeDocument/2006/relationships/hyperlink" Target="mailto:accounting@rampsf.com" TargetMode="External"/><Relationship Id="rId731" Type="http://schemas.openxmlformats.org/officeDocument/2006/relationships/hyperlink" Target="mailto:aaron@teriyakimadnessmt.com" TargetMode="External"/><Relationship Id="rId98" Type="http://schemas.openxmlformats.org/officeDocument/2006/relationships/hyperlink" Target="mailto:brian@bocatavern.com" TargetMode="External"/><Relationship Id="rId163" Type="http://schemas.openxmlformats.org/officeDocument/2006/relationships/hyperlink" Target="mailto:les@mosaicdowntown.com" TargetMode="External"/><Relationship Id="rId370" Type="http://schemas.openxmlformats.org/officeDocument/2006/relationships/hyperlink" Target="mailto:rflaster@earthlink.net" TargetMode="External"/><Relationship Id="rId230" Type="http://schemas.openxmlformats.org/officeDocument/2006/relationships/hyperlink" Target="mailto:Dbeatriz800@gmail.com" TargetMode="External"/><Relationship Id="rId468" Type="http://schemas.openxmlformats.org/officeDocument/2006/relationships/hyperlink" Target="mailto:eg333366@gmail.com" TargetMode="External"/><Relationship Id="rId675" Type="http://schemas.openxmlformats.org/officeDocument/2006/relationships/hyperlink" Target="mailto:sealander@wyoming.com" TargetMode="External"/><Relationship Id="rId25" Type="http://schemas.openxmlformats.org/officeDocument/2006/relationships/hyperlink" Target="mailto:info@hanajapan.com" TargetMode="External"/><Relationship Id="rId328" Type="http://schemas.openxmlformats.org/officeDocument/2006/relationships/hyperlink" Target="mailto:mfreitas@sanjuanoaks.com" TargetMode="External"/><Relationship Id="rId535" Type="http://schemas.openxmlformats.org/officeDocument/2006/relationships/hyperlink" Target="mailto:harjindersingh4414@yahoo.com" TargetMode="External"/><Relationship Id="rId742" Type="http://schemas.openxmlformats.org/officeDocument/2006/relationships/hyperlink" Target="mailto:info@sbfinancialservices.com" TargetMode="External"/><Relationship Id="rId174" Type="http://schemas.openxmlformats.org/officeDocument/2006/relationships/hyperlink" Target="mailto:galdina@lapencaazul.com" TargetMode="External"/><Relationship Id="rId381" Type="http://schemas.openxmlformats.org/officeDocument/2006/relationships/hyperlink" Target="mailto:jennifer_leung@150pelican.com" TargetMode="External"/><Relationship Id="rId602" Type="http://schemas.openxmlformats.org/officeDocument/2006/relationships/hyperlink" Target="mailto:tnly333@yahoo.com" TargetMode="External"/><Relationship Id="rId241" Type="http://schemas.openxmlformats.org/officeDocument/2006/relationships/hyperlink" Target="mailto:wearschico@yahoo.com" TargetMode="External"/><Relationship Id="rId479" Type="http://schemas.openxmlformats.org/officeDocument/2006/relationships/hyperlink" Target="mailto:e201tartinebakery@bill.com" TargetMode="External"/><Relationship Id="rId686" Type="http://schemas.openxmlformats.org/officeDocument/2006/relationships/hyperlink" Target="mailto:charles_phan@slanteddoorgroup.com" TargetMode="External"/><Relationship Id="rId36" Type="http://schemas.openxmlformats.org/officeDocument/2006/relationships/hyperlink" Target="mailto:jesdanger@aol.com" TargetMode="External"/><Relationship Id="rId339" Type="http://schemas.openxmlformats.org/officeDocument/2006/relationships/hyperlink" Target="mailto:marinasuperbusiness@gmail.com" TargetMode="External"/><Relationship Id="rId546" Type="http://schemas.openxmlformats.org/officeDocument/2006/relationships/hyperlink" Target="mailto:info@summervinesonoma.com" TargetMode="External"/><Relationship Id="rId101" Type="http://schemas.openxmlformats.org/officeDocument/2006/relationships/hyperlink" Target="mailto:gardellephilippe@icloud.com" TargetMode="External"/><Relationship Id="rId185" Type="http://schemas.openxmlformats.org/officeDocument/2006/relationships/hyperlink" Target="mailto:john@atwatertavern.com" TargetMode="External"/><Relationship Id="rId406" Type="http://schemas.openxmlformats.org/officeDocument/2006/relationships/hyperlink" Target="mailto:accounting@lukeslocal.com" TargetMode="External"/><Relationship Id="rId392" Type="http://schemas.openxmlformats.org/officeDocument/2006/relationships/hyperlink" Target="mailto:p.gonzalez@lasmontanas.com" TargetMode="External"/><Relationship Id="rId613" Type="http://schemas.openxmlformats.org/officeDocument/2006/relationships/hyperlink" Target="mailto:leoncito.bosito18@gmail.com" TargetMode="External"/><Relationship Id="rId697" Type="http://schemas.openxmlformats.org/officeDocument/2006/relationships/hyperlink" Target="mailto:info@sanchostaqueria.com" TargetMode="External"/><Relationship Id="rId252" Type="http://schemas.openxmlformats.org/officeDocument/2006/relationships/hyperlink" Target="mailto:cjackson@originalsamhofbrau.com" TargetMode="External"/><Relationship Id="rId47" Type="http://schemas.openxmlformats.org/officeDocument/2006/relationships/hyperlink" Target="mailto:roadsidebbq@yahoo.com" TargetMode="External"/><Relationship Id="rId112" Type="http://schemas.openxmlformats.org/officeDocument/2006/relationships/hyperlink" Target="mailto:pfe@ework.bigskytech.com" TargetMode="External"/><Relationship Id="rId557" Type="http://schemas.openxmlformats.org/officeDocument/2006/relationships/hyperlink" Target="mailto:brett@coricapark.com" TargetMode="External"/><Relationship Id="rId196" Type="http://schemas.openxmlformats.org/officeDocument/2006/relationships/hyperlink" Target="mailto:thebigguy@roadsidebbq.com" TargetMode="External"/><Relationship Id="rId417" Type="http://schemas.openxmlformats.org/officeDocument/2006/relationships/hyperlink" Target="mailto:lien.joe@gmail.com" TargetMode="External"/><Relationship Id="rId624" Type="http://schemas.openxmlformats.org/officeDocument/2006/relationships/hyperlink" Target="mailto:info@grossmanssr.com" TargetMode="External"/><Relationship Id="rId263" Type="http://schemas.openxmlformats.org/officeDocument/2006/relationships/hyperlink" Target="mailto:idreamofaruba@gmail.com" TargetMode="External"/><Relationship Id="rId470" Type="http://schemas.openxmlformats.org/officeDocument/2006/relationships/hyperlink" Target="mailto:leah@theforgepizza.com" TargetMode="External"/><Relationship Id="rId58" Type="http://schemas.openxmlformats.org/officeDocument/2006/relationships/hyperlink" Target="mailto:louisk@plutosfreshfood.com" TargetMode="External"/><Relationship Id="rId123" Type="http://schemas.openxmlformats.org/officeDocument/2006/relationships/hyperlink" Target="mailto:DavidL@saltstonekenwood.com" TargetMode="External"/><Relationship Id="rId330" Type="http://schemas.openxmlformats.org/officeDocument/2006/relationships/hyperlink" Target="mailto:perleoak@gmail.com" TargetMode="External"/><Relationship Id="rId568" Type="http://schemas.openxmlformats.org/officeDocument/2006/relationships/hyperlink" Target="mailto:jim@rioadobe.com" TargetMode="External"/><Relationship Id="rId428" Type="http://schemas.openxmlformats.org/officeDocument/2006/relationships/hyperlink" Target="mailto:abundiz.maria@yahoo.com" TargetMode="External"/><Relationship Id="rId635" Type="http://schemas.openxmlformats.org/officeDocument/2006/relationships/hyperlink" Target="mailto:polymac@gmail.com" TargetMode="External"/><Relationship Id="rId274" Type="http://schemas.openxmlformats.org/officeDocument/2006/relationships/hyperlink" Target="mailto:markedwardsbiz@gmail.com" TargetMode="External"/><Relationship Id="rId481" Type="http://schemas.openxmlformats.org/officeDocument/2006/relationships/hyperlink" Target="mailto:e201tartinebakery@bill.com" TargetMode="External"/><Relationship Id="rId702" Type="http://schemas.openxmlformats.org/officeDocument/2006/relationships/hyperlink" Target="mailto:tkleung@yanksing.com" TargetMode="External"/><Relationship Id="rId69" Type="http://schemas.openxmlformats.org/officeDocument/2006/relationships/hyperlink" Target="mailto:accountspayable@150pelican.com" TargetMode="External"/><Relationship Id="rId134" Type="http://schemas.openxmlformats.org/officeDocument/2006/relationships/hyperlink" Target="mailto:roadsidebbq@yahoo.com" TargetMode="External"/><Relationship Id="rId579" Type="http://schemas.openxmlformats.org/officeDocument/2006/relationships/hyperlink" Target="mailto:accounting@teriyakimadnessmt.com" TargetMode="External"/><Relationship Id="rId341" Type="http://schemas.openxmlformats.org/officeDocument/2006/relationships/hyperlink" Target="mailto:marinasuperap@gmail.com" TargetMode="External"/><Relationship Id="rId439" Type="http://schemas.openxmlformats.org/officeDocument/2006/relationships/hyperlink" Target="mailto:office@pepitosfood.com" TargetMode="External"/><Relationship Id="rId646" Type="http://schemas.openxmlformats.org/officeDocument/2006/relationships/hyperlink" Target="mailto:kenny.hobnob@gmail.com" TargetMode="External"/><Relationship Id="rId201" Type="http://schemas.openxmlformats.org/officeDocument/2006/relationships/hyperlink" Target="mailto:jysrosales2@msn.com" TargetMode="External"/><Relationship Id="rId285" Type="http://schemas.openxmlformats.org/officeDocument/2006/relationships/hyperlink" Target="mailto:lc.javahut@gmail.com" TargetMode="External"/><Relationship Id="rId506" Type="http://schemas.openxmlformats.org/officeDocument/2006/relationships/hyperlink" Target="mailto:vineupload@iqbackoffice.com" TargetMode="External"/><Relationship Id="rId492" Type="http://schemas.openxmlformats.org/officeDocument/2006/relationships/hyperlink" Target="mailto:cafescooteria@yahoo.com" TargetMode="External"/><Relationship Id="rId713" Type="http://schemas.openxmlformats.org/officeDocument/2006/relationships/hyperlink" Target="mailto:chris@themorris-sf.com" TargetMode="External"/><Relationship Id="rId145" Type="http://schemas.openxmlformats.org/officeDocument/2006/relationships/hyperlink" Target="mailto:office@producepromarket.com" TargetMode="External"/><Relationship Id="rId352" Type="http://schemas.openxmlformats.org/officeDocument/2006/relationships/hyperlink" Target="mailto:moseslim@gmail.com" TargetMode="External"/><Relationship Id="rId212" Type="http://schemas.openxmlformats.org/officeDocument/2006/relationships/hyperlink" Target="mailto:mistermacaroni@yahoo.com" TargetMode="External"/><Relationship Id="rId657" Type="http://schemas.openxmlformats.org/officeDocument/2006/relationships/hyperlink" Target="mailto:carlosmontero@comcast.net" TargetMode="External"/><Relationship Id="rId296" Type="http://schemas.openxmlformats.org/officeDocument/2006/relationships/hyperlink" Target="mailto:delarosayerbabuena@invoice.plateiq.com" TargetMode="External"/><Relationship Id="rId517" Type="http://schemas.openxmlformats.org/officeDocument/2006/relationships/hyperlink" Target="mailto:khenging8@gmail.com" TargetMode="External"/><Relationship Id="rId724" Type="http://schemas.openxmlformats.org/officeDocument/2006/relationships/hyperlink" Target="mailto:Rogelio_Jacinto@tomatina.com" TargetMode="External"/><Relationship Id="rId60" Type="http://schemas.openxmlformats.org/officeDocument/2006/relationships/hyperlink" Target="mailto:mottren48@gmail.com" TargetMode="External"/><Relationship Id="rId156" Type="http://schemas.openxmlformats.org/officeDocument/2006/relationships/hyperlink" Target="mailto:garyespinoza@gmail.com" TargetMode="External"/><Relationship Id="rId363" Type="http://schemas.openxmlformats.org/officeDocument/2006/relationships/hyperlink" Target="mailto:daniel.indelicato@gmail.com" TargetMode="External"/><Relationship Id="rId570" Type="http://schemas.openxmlformats.org/officeDocument/2006/relationships/hyperlink" Target="mailto:Marta@cafegratitude.com" TargetMode="External"/><Relationship Id="rId223" Type="http://schemas.openxmlformats.org/officeDocument/2006/relationships/hyperlink" Target="mailto:thecoffeeroastery@gmail.com" TargetMode="External"/><Relationship Id="rId430" Type="http://schemas.openxmlformats.org/officeDocument/2006/relationships/hyperlink" Target="mailto:tony@swipesuite.com" TargetMode="External"/><Relationship Id="rId668" Type="http://schemas.openxmlformats.org/officeDocument/2006/relationships/hyperlink" Target="mailto:info@villagerotisserie.com" TargetMode="External"/><Relationship Id="rId18" Type="http://schemas.openxmlformats.org/officeDocument/2006/relationships/hyperlink" Target="mailto:bill@radioparadise.com" TargetMode="External"/><Relationship Id="rId528" Type="http://schemas.openxmlformats.org/officeDocument/2006/relationships/hyperlink" Target="mailto:oddteaandmore@gmail.com" TargetMode="External"/><Relationship Id="rId735" Type="http://schemas.openxmlformats.org/officeDocument/2006/relationships/hyperlink" Target="mailto:S3CCAPSCO@sutterhealth.org" TargetMode="External"/><Relationship Id="rId167" Type="http://schemas.openxmlformats.org/officeDocument/2006/relationships/hyperlink" Target="mailto:office@comfortscafe.com" TargetMode="External"/><Relationship Id="rId374" Type="http://schemas.openxmlformats.org/officeDocument/2006/relationships/hyperlink" Target="mailto:albertoyanez1973@gmail.com" TargetMode="External"/><Relationship Id="rId581" Type="http://schemas.openxmlformats.org/officeDocument/2006/relationships/hyperlink" Target="mailto:tacossinaloaberkeley@gmail.com" TargetMode="External"/><Relationship Id="rId71" Type="http://schemas.openxmlformats.org/officeDocument/2006/relationships/hyperlink" Target="mailto:g.andresen@me.com" TargetMode="External"/><Relationship Id="rId234" Type="http://schemas.openxmlformats.org/officeDocument/2006/relationships/hyperlink" Target="mailto:bigbromberger@gmail.com" TargetMode="External"/><Relationship Id="rId679" Type="http://schemas.openxmlformats.org/officeDocument/2006/relationships/hyperlink" Target="mailto:delfynaarnmenta@gmail.com" TargetMode="External"/><Relationship Id="rId2" Type="http://schemas.openxmlformats.org/officeDocument/2006/relationships/hyperlink" Target="http://www.thecoffeeroastery.com/" TargetMode="External"/><Relationship Id="rId29" Type="http://schemas.openxmlformats.org/officeDocument/2006/relationships/hyperlink" Target="mailto:ciaran@thechieftain.com" TargetMode="External"/><Relationship Id="rId441" Type="http://schemas.openxmlformats.org/officeDocument/2006/relationships/hyperlink" Target="mailto:Elev8tehospitality@gmail.con" TargetMode="External"/><Relationship Id="rId539" Type="http://schemas.openxmlformats.org/officeDocument/2006/relationships/hyperlink" Target="mailto:invoices@atomic-workshop.com" TargetMode="External"/><Relationship Id="rId746" Type="http://schemas.openxmlformats.org/officeDocument/2006/relationships/comments" Target="../comments1.xml"/><Relationship Id="rId178" Type="http://schemas.openxmlformats.org/officeDocument/2006/relationships/hyperlink" Target="mailto:holly@grillys.com" TargetMode="External"/><Relationship Id="rId301" Type="http://schemas.openxmlformats.org/officeDocument/2006/relationships/hyperlink" Target="mailto:accounts@backofthehouseinc.com" TargetMode="External"/><Relationship Id="rId82" Type="http://schemas.openxmlformats.org/officeDocument/2006/relationships/hyperlink" Target="mailto:fanny@atwatertavern.com" TargetMode="External"/><Relationship Id="rId385" Type="http://schemas.openxmlformats.org/officeDocument/2006/relationships/hyperlink" Target="mailto:info@themorris-sf.com" TargetMode="External"/><Relationship Id="rId592" Type="http://schemas.openxmlformats.org/officeDocument/2006/relationships/hyperlink" Target="mailto:eat@tribuneoakland.com" TargetMode="External"/><Relationship Id="rId606" Type="http://schemas.openxmlformats.org/officeDocument/2006/relationships/hyperlink" Target="mailto:info@montismv.com" TargetMode="External"/><Relationship Id="rId245" Type="http://schemas.openxmlformats.org/officeDocument/2006/relationships/hyperlink" Target="mailto:iberdougo@backofthehouseinc.com" TargetMode="External"/><Relationship Id="rId452" Type="http://schemas.openxmlformats.org/officeDocument/2006/relationships/hyperlink" Target="mailto:wesrowe@gmail.com" TargetMode="External"/><Relationship Id="rId105" Type="http://schemas.openxmlformats.org/officeDocument/2006/relationships/hyperlink" Target="mailto:amakaracompany@gmail.com" TargetMode="External"/><Relationship Id="rId312" Type="http://schemas.openxmlformats.org/officeDocument/2006/relationships/hyperlink" Target="mailto:gleneaglesinsf@gmail.com" TargetMode="External"/><Relationship Id="rId93" Type="http://schemas.openxmlformats.org/officeDocument/2006/relationships/hyperlink" Target="mailto:info@starbellysf.com" TargetMode="External"/><Relationship Id="rId189" Type="http://schemas.openxmlformats.org/officeDocument/2006/relationships/hyperlink" Target="mailto:tanya@steinsbeergarden.com" TargetMode="External"/><Relationship Id="rId396" Type="http://schemas.openxmlformats.org/officeDocument/2006/relationships/hyperlink" Target="mailto:denise@mcn.org" TargetMode="External"/><Relationship Id="rId617" Type="http://schemas.openxmlformats.org/officeDocument/2006/relationships/hyperlink" Target="mailto:gibarra@loquitasb.com" TargetMode="External"/><Relationship Id="rId256" Type="http://schemas.openxmlformats.org/officeDocument/2006/relationships/hyperlink" Target="mailto:divinobrentwood@gmail.com" TargetMode="External"/><Relationship Id="rId463" Type="http://schemas.openxmlformats.org/officeDocument/2006/relationships/hyperlink" Target="mailto:accountspayable@gire.org" TargetMode="External"/><Relationship Id="rId670" Type="http://schemas.openxmlformats.org/officeDocument/2006/relationships/hyperlink" Target="mailto:sfsucafe101@gmail.com" TargetMode="External"/><Relationship Id="rId116" Type="http://schemas.openxmlformats.org/officeDocument/2006/relationships/hyperlink" Target="mailto:cleqq.inc@gmail.com" TargetMode="External"/><Relationship Id="rId323" Type="http://schemas.openxmlformats.org/officeDocument/2006/relationships/hyperlink" Target="mailto:lizfannoun@gmail.com" TargetMode="External"/><Relationship Id="rId530" Type="http://schemas.openxmlformats.org/officeDocument/2006/relationships/hyperlink" Target="mailto:rosendor@xaliscofoods.com" TargetMode="External"/><Relationship Id="rId20" Type="http://schemas.openxmlformats.org/officeDocument/2006/relationships/hyperlink" Target="mailto:TOPSIRLOIN@SBCGLOBAL.NET" TargetMode="External"/><Relationship Id="rId62" Type="http://schemas.openxmlformats.org/officeDocument/2006/relationships/hyperlink" Target="mailto:timstookey63@gmail.com" TargetMode="External"/><Relationship Id="rId365" Type="http://schemas.openxmlformats.org/officeDocument/2006/relationships/hyperlink" Target="mailto:soyaramalloy@gmail.com" TargetMode="External"/><Relationship Id="rId572" Type="http://schemas.openxmlformats.org/officeDocument/2006/relationships/hyperlink" Target="mailto:info@summervinesonoma.com" TargetMode="External"/><Relationship Id="rId628" Type="http://schemas.openxmlformats.org/officeDocument/2006/relationships/hyperlink" Target="mailto:office@comfortscafe.com" TargetMode="External"/><Relationship Id="rId225" Type="http://schemas.openxmlformats.org/officeDocument/2006/relationships/hyperlink" Target="mailto:reception@avbc.com" TargetMode="External"/><Relationship Id="rId267" Type="http://schemas.openxmlformats.org/officeDocument/2006/relationships/hyperlink" Target="mailto:laestrell22@aol.com" TargetMode="External"/><Relationship Id="rId432" Type="http://schemas.openxmlformats.org/officeDocument/2006/relationships/hyperlink" Target="mailto:cherylsdiner85@gmail.com" TargetMode="External"/><Relationship Id="rId474" Type="http://schemas.openxmlformats.org/officeDocument/2006/relationships/hyperlink" Target="mailto:smakras@msn.com" TargetMode="External"/><Relationship Id="rId127" Type="http://schemas.openxmlformats.org/officeDocument/2006/relationships/hyperlink" Target="mailto:claudiamesquite@gmail.com" TargetMode="External"/><Relationship Id="rId681" Type="http://schemas.openxmlformats.org/officeDocument/2006/relationships/hyperlink" Target="mailto:linda@kientzhall.com" TargetMode="External"/><Relationship Id="rId737" Type="http://schemas.openxmlformats.org/officeDocument/2006/relationships/hyperlink" Target="mailto:patar2457@gmail.com" TargetMode="External"/><Relationship Id="rId31" Type="http://schemas.openxmlformats.org/officeDocument/2006/relationships/hyperlink" Target="mailto:blueheronlive@gmail.com" TargetMode="External"/><Relationship Id="rId73" Type="http://schemas.openxmlformats.org/officeDocument/2006/relationships/hyperlink" Target="mailto:kenandresen@hotmail.com" TargetMode="External"/><Relationship Id="rId169" Type="http://schemas.openxmlformats.org/officeDocument/2006/relationships/hyperlink" Target="mailto:katie@anaheimwhitehouse.com" TargetMode="External"/><Relationship Id="rId334" Type="http://schemas.openxmlformats.org/officeDocument/2006/relationships/hyperlink" Target="mailto:rob@towinginsurance.com" TargetMode="External"/><Relationship Id="rId376" Type="http://schemas.openxmlformats.org/officeDocument/2006/relationships/hyperlink" Target="mailto:jennifer_leung@150pelican.com" TargetMode="External"/><Relationship Id="rId541" Type="http://schemas.openxmlformats.org/officeDocument/2006/relationships/hyperlink" Target="mailto:accounting@bullvalleyroadhouse.com" TargetMode="External"/><Relationship Id="rId583" Type="http://schemas.openxmlformats.org/officeDocument/2006/relationships/hyperlink" Target="mailto:vineupload@iqbackoffice.com" TargetMode="External"/><Relationship Id="rId639" Type="http://schemas.openxmlformats.org/officeDocument/2006/relationships/hyperlink" Target="mailto:dan@parkcafegroup.com" TargetMode="External"/><Relationship Id="rId4" Type="http://schemas.openxmlformats.org/officeDocument/2006/relationships/hyperlink" Target="http://www.blueandgoldfleet.com/" TargetMode="External"/><Relationship Id="rId180" Type="http://schemas.openxmlformats.org/officeDocument/2006/relationships/hyperlink" Target="mailto:arnel_judilla@150pelican.com" TargetMode="External"/><Relationship Id="rId236" Type="http://schemas.openxmlformats.org/officeDocument/2006/relationships/hyperlink" Target="mailto:bakerhot1@aol.com" TargetMode="External"/><Relationship Id="rId278" Type="http://schemas.openxmlformats.org/officeDocument/2006/relationships/hyperlink" Target="mailto:justdiamonds@aol.com" TargetMode="External"/><Relationship Id="rId401" Type="http://schemas.openxmlformats.org/officeDocument/2006/relationships/hyperlink" Target="mailto:phoodfight@gmail.com" TargetMode="External"/><Relationship Id="rId443" Type="http://schemas.openxmlformats.org/officeDocument/2006/relationships/hyperlink" Target="mailto:amy@poggiotrattoria.com" TargetMode="External"/><Relationship Id="rId650" Type="http://schemas.openxmlformats.org/officeDocument/2006/relationships/hyperlink" Target="mailto:iselararias@aol.com" TargetMode="External"/><Relationship Id="rId303" Type="http://schemas.openxmlformats.org/officeDocument/2006/relationships/hyperlink" Target="mailto:suzy@lapencaazul.com" TargetMode="External"/><Relationship Id="rId485" Type="http://schemas.openxmlformats.org/officeDocument/2006/relationships/hyperlink" Target="mailto:hp_pg@peacockgapgolfclub.com" TargetMode="External"/><Relationship Id="rId692" Type="http://schemas.openxmlformats.org/officeDocument/2006/relationships/hyperlink" Target="mailto:office@oceanviewonfourth.com" TargetMode="External"/><Relationship Id="rId706" Type="http://schemas.openxmlformats.org/officeDocument/2006/relationships/hyperlink" Target="mailto:ruben.parker555@gmail.com" TargetMode="External"/><Relationship Id="rId42" Type="http://schemas.openxmlformats.org/officeDocument/2006/relationships/hyperlink" Target="mailto:ron@javadetour.com" TargetMode="External"/><Relationship Id="rId84" Type="http://schemas.openxmlformats.org/officeDocument/2006/relationships/hyperlink" Target="mailto:fcaiazzo@leftbank.com" TargetMode="External"/><Relationship Id="rId138" Type="http://schemas.openxmlformats.org/officeDocument/2006/relationships/hyperlink" Target="mailto:delfierro@coastside.net" TargetMode="External"/><Relationship Id="rId345" Type="http://schemas.openxmlformats.org/officeDocument/2006/relationships/hyperlink" Target="mailto:manitasom@gmail.com" TargetMode="External"/><Relationship Id="rId387" Type="http://schemas.openxmlformats.org/officeDocument/2006/relationships/hyperlink" Target="mailto:ap@poquitomas.com" TargetMode="External"/><Relationship Id="rId510" Type="http://schemas.openxmlformats.org/officeDocument/2006/relationships/hyperlink" Target="mailto:sipdominici@yahoo.com" TargetMode="External"/><Relationship Id="rId552" Type="http://schemas.openxmlformats.org/officeDocument/2006/relationships/hyperlink" Target="mailto:ikedascountrymarket@gmail.com" TargetMode="External"/><Relationship Id="rId594" Type="http://schemas.openxmlformats.org/officeDocument/2006/relationships/hyperlink" Target="mailto:ycarrasco@sanleandro.org" TargetMode="External"/><Relationship Id="rId608" Type="http://schemas.openxmlformats.org/officeDocument/2006/relationships/hyperlink" Target="mailto:nina@331fish.com" TargetMode="External"/><Relationship Id="rId191" Type="http://schemas.openxmlformats.org/officeDocument/2006/relationships/hyperlink" Target="mailto:analogbooks@gmail.com" TargetMode="External"/><Relationship Id="rId205" Type="http://schemas.openxmlformats.org/officeDocument/2006/relationships/hyperlink" Target="mailto:jasmineexpressinc@gmail.com" TargetMode="External"/><Relationship Id="rId247" Type="http://schemas.openxmlformats.org/officeDocument/2006/relationships/hyperlink" Target="mailto:info@chowderspier39.com" TargetMode="External"/><Relationship Id="rId412" Type="http://schemas.openxmlformats.org/officeDocument/2006/relationships/hyperlink" Target="mailto:taqelgordo@gmail.com" TargetMode="External"/><Relationship Id="rId107" Type="http://schemas.openxmlformats.org/officeDocument/2006/relationships/hyperlink" Target="mailto:towert@hotmail.com" TargetMode="External"/><Relationship Id="rId289" Type="http://schemas.openxmlformats.org/officeDocument/2006/relationships/hyperlink" Target="mailto:villacosh99@gmail.com" TargetMode="External"/><Relationship Id="rId454" Type="http://schemas.openxmlformats.org/officeDocument/2006/relationships/hyperlink" Target="mailto:verawaller@yanksing.com" TargetMode="External"/><Relationship Id="rId496" Type="http://schemas.openxmlformats.org/officeDocument/2006/relationships/hyperlink" Target="mailto:idreamofaruba@gmail.com" TargetMode="External"/><Relationship Id="rId661" Type="http://schemas.openxmlformats.org/officeDocument/2006/relationships/hyperlink" Target="mailto:yuri@lacostanerarestaurant.com" TargetMode="External"/><Relationship Id="rId717" Type="http://schemas.openxmlformats.org/officeDocument/2006/relationships/hyperlink" Target="mailto:gm_trv@tomatina.com" TargetMode="External"/><Relationship Id="rId11" Type="http://schemas.openxmlformats.org/officeDocument/2006/relationships/hyperlink" Target="http://www.331fish.com/" TargetMode="External"/><Relationship Id="rId53" Type="http://schemas.openxmlformats.org/officeDocument/2006/relationships/hyperlink" Target="mailto:houseofprimerib@aol.com" TargetMode="External"/><Relationship Id="rId149" Type="http://schemas.openxmlformats.org/officeDocument/2006/relationships/hyperlink" Target="mailto:info@wildseedsf.com" TargetMode="External"/><Relationship Id="rId314" Type="http://schemas.openxmlformats.org/officeDocument/2006/relationships/hyperlink" Target="mailto:tacossinaloaberkeley@gmail.com" TargetMode="External"/><Relationship Id="rId356" Type="http://schemas.openxmlformats.org/officeDocument/2006/relationships/hyperlink" Target="mailto:aztecamarketsanrafael@gmail.com" TargetMode="External"/><Relationship Id="rId398" Type="http://schemas.openxmlformats.org/officeDocument/2006/relationships/hyperlink" Target="mailto:denise@mcn.org" TargetMode="External"/><Relationship Id="rId521" Type="http://schemas.openxmlformats.org/officeDocument/2006/relationships/hyperlink" Target="mailto:terzosf@niceventures.com" TargetMode="External"/><Relationship Id="rId563" Type="http://schemas.openxmlformats.org/officeDocument/2006/relationships/hyperlink" Target="https://www.google.com/search?channel=tus5&amp;client=firefox-b-1-d&amp;q=nash+and+tender+lodi+california" TargetMode="External"/><Relationship Id="rId619" Type="http://schemas.openxmlformats.org/officeDocument/2006/relationships/hyperlink" Target="mailto:Ebikahi@gmail.com" TargetMode="External"/><Relationship Id="rId95" Type="http://schemas.openxmlformats.org/officeDocument/2006/relationships/hyperlink" Target="mailto:downtown@delarosasf.com" TargetMode="External"/><Relationship Id="rId160" Type="http://schemas.openxmlformats.org/officeDocument/2006/relationships/hyperlink" Target="mailto:alex@soultranseafood.com" TargetMode="External"/><Relationship Id="rId216" Type="http://schemas.openxmlformats.org/officeDocument/2006/relationships/hyperlink" Target="mailto:nelson.alcantara@marinsanitary.com" TargetMode="External"/><Relationship Id="rId423" Type="http://schemas.openxmlformats.org/officeDocument/2006/relationships/hyperlink" Target="mailto:mail@merlobiz.com" TargetMode="External"/><Relationship Id="rId258" Type="http://schemas.openxmlformats.org/officeDocument/2006/relationships/hyperlink" Target="mailto:eldosdeoros@gmail.com" TargetMode="External"/><Relationship Id="rId465" Type="http://schemas.openxmlformats.org/officeDocument/2006/relationships/hyperlink" Target="mailto:delfierro@coastside.net" TargetMode="External"/><Relationship Id="rId630" Type="http://schemas.openxmlformats.org/officeDocument/2006/relationships/hyperlink" Target="mailto:teresa@seabowl.com" TargetMode="External"/><Relationship Id="rId672" Type="http://schemas.openxmlformats.org/officeDocument/2006/relationships/hyperlink" Target="mailto:gm@deadfish.com" TargetMode="External"/><Relationship Id="rId728" Type="http://schemas.openxmlformats.org/officeDocument/2006/relationships/hyperlink" Target="mailto:gm_tul@tomatina.com" TargetMode="External"/><Relationship Id="rId22" Type="http://schemas.openxmlformats.org/officeDocument/2006/relationships/hyperlink" Target="mailto:thewharf@mcn.org" TargetMode="External"/><Relationship Id="rId64" Type="http://schemas.openxmlformats.org/officeDocument/2006/relationships/hyperlink" Target="mailto:gloriaw88@gmail.com" TargetMode="External"/><Relationship Id="rId118" Type="http://schemas.openxmlformats.org/officeDocument/2006/relationships/hyperlink" Target="mailto:office@comfortscafe.com" TargetMode="External"/><Relationship Id="rId325" Type="http://schemas.openxmlformats.org/officeDocument/2006/relationships/hyperlink" Target="mailto:accountspayable@floorcrafthome.com" TargetMode="External"/><Relationship Id="rId367" Type="http://schemas.openxmlformats.org/officeDocument/2006/relationships/hyperlink" Target="mailto:ajnoblerot@mac.com" TargetMode="External"/><Relationship Id="rId532" Type="http://schemas.openxmlformats.org/officeDocument/2006/relationships/hyperlink" Target="mailto:rosendor@xaliscofoods.com" TargetMode="External"/><Relationship Id="rId574" Type="http://schemas.openxmlformats.org/officeDocument/2006/relationships/hyperlink" Target="mailto:invoices@atomic-workshop.com" TargetMode="External"/><Relationship Id="rId171" Type="http://schemas.openxmlformats.org/officeDocument/2006/relationships/hyperlink" Target="mailto:barbara@lacabanavenice.com" TargetMode="External"/><Relationship Id="rId227" Type="http://schemas.openxmlformats.org/officeDocument/2006/relationships/hyperlink" Target="mailto:evan@longmeadowranch.com" TargetMode="External"/><Relationship Id="rId269" Type="http://schemas.openxmlformats.org/officeDocument/2006/relationships/hyperlink" Target="mailto:laestrell22@aol.com" TargetMode="External"/><Relationship Id="rId434" Type="http://schemas.openxmlformats.org/officeDocument/2006/relationships/hyperlink" Target="mailto:cherylsdiner85@gmail.com" TargetMode="External"/><Relationship Id="rId476" Type="http://schemas.openxmlformats.org/officeDocument/2006/relationships/hyperlink" Target="mailto:petes881@gmail.com" TargetMode="External"/><Relationship Id="rId641" Type="http://schemas.openxmlformats.org/officeDocument/2006/relationships/hyperlink" Target="mailto:dan@parkcafegroup.com" TargetMode="External"/><Relationship Id="rId683" Type="http://schemas.openxmlformats.org/officeDocument/2006/relationships/hyperlink" Target="mailto:josephzilinski@me.com" TargetMode="External"/><Relationship Id="rId739" Type="http://schemas.openxmlformats.org/officeDocument/2006/relationships/hyperlink" Target="mailto:g2mv@yahoo.com" TargetMode="External"/><Relationship Id="rId33" Type="http://schemas.openxmlformats.org/officeDocument/2006/relationships/hyperlink" Target="mailto:kristy.pau@cpfd.com" TargetMode="External"/><Relationship Id="rId129" Type="http://schemas.openxmlformats.org/officeDocument/2006/relationships/hyperlink" Target="mailto:ziofraedos@yahoo.com" TargetMode="External"/><Relationship Id="rId280" Type="http://schemas.openxmlformats.org/officeDocument/2006/relationships/hyperlink" Target="mailto:office@producepromarket.com" TargetMode="External"/><Relationship Id="rId336" Type="http://schemas.openxmlformats.org/officeDocument/2006/relationships/hyperlink" Target="mailto:jmend1017@aol.com" TargetMode="External"/><Relationship Id="rId501" Type="http://schemas.openxmlformats.org/officeDocument/2006/relationships/hyperlink" Target="mailto:amy@slaterandassoc.net" TargetMode="External"/><Relationship Id="rId543" Type="http://schemas.openxmlformats.org/officeDocument/2006/relationships/hyperlink" Target="mailto:natasha@barrelheadsf.com" TargetMode="External"/><Relationship Id="rId75" Type="http://schemas.openxmlformats.org/officeDocument/2006/relationships/hyperlink" Target="mailto:peltoncafe1@attt.net" TargetMode="External"/><Relationship Id="rId140" Type="http://schemas.openxmlformats.org/officeDocument/2006/relationships/hyperlink" Target="mailto:ranchoinfo@ranchonicasio.com" TargetMode="External"/><Relationship Id="rId182" Type="http://schemas.openxmlformats.org/officeDocument/2006/relationships/hyperlink" Target="mailto:clydesliquors@gmail.com" TargetMode="External"/><Relationship Id="rId378" Type="http://schemas.openxmlformats.org/officeDocument/2006/relationships/hyperlink" Target="mailto:jennifer_leung@150pelican.com" TargetMode="External"/><Relationship Id="rId403" Type="http://schemas.openxmlformats.org/officeDocument/2006/relationships/hyperlink" Target="mailto:phoodfight@gmail.com" TargetMode="External"/><Relationship Id="rId585" Type="http://schemas.openxmlformats.org/officeDocument/2006/relationships/hyperlink" Target="mailto:tmad050@teriyakimadness.com" TargetMode="External"/><Relationship Id="rId6" Type="http://schemas.openxmlformats.org/officeDocument/2006/relationships/hyperlink" Target="http://www.calistogainn.com/" TargetMode="External"/><Relationship Id="rId238" Type="http://schemas.openxmlformats.org/officeDocument/2006/relationships/hyperlink" Target="mailto:bakerhot1@aol.com" TargetMode="External"/><Relationship Id="rId445" Type="http://schemas.openxmlformats.org/officeDocument/2006/relationships/hyperlink" Target="mailto:gm@poggiotrattoria.com" TargetMode="External"/><Relationship Id="rId487" Type="http://schemas.openxmlformats.org/officeDocument/2006/relationships/hyperlink" Target="mailto:fmasarweh+3@gmail.com" TargetMode="External"/><Relationship Id="rId610" Type="http://schemas.openxmlformats.org/officeDocument/2006/relationships/hyperlink" Target="mailto:beso@fe.fake" TargetMode="External"/><Relationship Id="rId652" Type="http://schemas.openxmlformats.org/officeDocument/2006/relationships/hyperlink" Target="mailto:iselararias@aol.com" TargetMode="External"/><Relationship Id="rId694" Type="http://schemas.openxmlformats.org/officeDocument/2006/relationships/hyperlink" Target="mailto:bernie@andyslocalmarket.com" TargetMode="External"/><Relationship Id="rId708" Type="http://schemas.openxmlformats.org/officeDocument/2006/relationships/hyperlink" Target="mailto:daniel.josue@hotmail.com" TargetMode="External"/><Relationship Id="rId291" Type="http://schemas.openxmlformats.org/officeDocument/2006/relationships/hyperlink" Target="mailto:starbelly@invoice.plateiq.com" TargetMode="External"/><Relationship Id="rId305" Type="http://schemas.openxmlformats.org/officeDocument/2006/relationships/hyperlink" Target="mailto:bhandalgurdeep@yahoo.com" TargetMode="External"/><Relationship Id="rId347" Type="http://schemas.openxmlformats.org/officeDocument/2006/relationships/hyperlink" Target="mailto:alfonso@lapinata6.com" TargetMode="External"/><Relationship Id="rId512" Type="http://schemas.openxmlformats.org/officeDocument/2006/relationships/hyperlink" Target="mailto:cesar@fattoriaemare.com" TargetMode="External"/><Relationship Id="rId44" Type="http://schemas.openxmlformats.org/officeDocument/2006/relationships/hyperlink" Target="mailto:gm@seabowl.com" TargetMode="External"/><Relationship Id="rId86" Type="http://schemas.openxmlformats.org/officeDocument/2006/relationships/hyperlink" Target="mailto:gary@barbocce.com" TargetMode="External"/><Relationship Id="rId151" Type="http://schemas.openxmlformats.org/officeDocument/2006/relationships/hyperlink" Target="mailto:finalfinalsportsbar@gmail.com" TargetMode="External"/><Relationship Id="rId389" Type="http://schemas.openxmlformats.org/officeDocument/2006/relationships/hyperlink" Target="mailto:p.gonzalez@lasmontanas.com" TargetMode="External"/><Relationship Id="rId554" Type="http://schemas.openxmlformats.org/officeDocument/2006/relationships/hyperlink" Target="mailto:ikedascountrymarket@gmail.com" TargetMode="External"/><Relationship Id="rId596" Type="http://schemas.openxmlformats.org/officeDocument/2006/relationships/hyperlink" Target="mailto:ycarrasco@sanleandro.org" TargetMode="External"/><Relationship Id="rId193" Type="http://schemas.openxmlformats.org/officeDocument/2006/relationships/hyperlink" Target="mailto:wesrowe@gmail.com" TargetMode="External"/><Relationship Id="rId207" Type="http://schemas.openxmlformats.org/officeDocument/2006/relationships/hyperlink" Target="mailto:rogeliodharo@gmail.com" TargetMode="External"/><Relationship Id="rId249" Type="http://schemas.openxmlformats.org/officeDocument/2006/relationships/hyperlink" Target="mailto:llbbqsantacruz@gmail.com" TargetMode="External"/><Relationship Id="rId414" Type="http://schemas.openxmlformats.org/officeDocument/2006/relationships/hyperlink" Target="mailto:elcamarondesinaloa@gmail.com" TargetMode="External"/><Relationship Id="rId456" Type="http://schemas.openxmlformats.org/officeDocument/2006/relationships/hyperlink" Target="mailto:chenry39@comcast.net" TargetMode="External"/><Relationship Id="rId498" Type="http://schemas.openxmlformats.org/officeDocument/2006/relationships/hyperlink" Target="mailto:arsen002@aol.com" TargetMode="External"/><Relationship Id="rId621" Type="http://schemas.openxmlformats.org/officeDocument/2006/relationships/hyperlink" Target="mailto:Ebikahi@gmail.com" TargetMode="External"/><Relationship Id="rId663" Type="http://schemas.openxmlformats.org/officeDocument/2006/relationships/hyperlink" Target="mailto:info@gamh.com" TargetMode="External"/><Relationship Id="rId13" Type="http://schemas.openxmlformats.org/officeDocument/2006/relationships/hyperlink" Target="http://www.tartinebakery.com/" TargetMode="External"/><Relationship Id="rId109" Type="http://schemas.openxmlformats.org/officeDocument/2006/relationships/hyperlink" Target="mailto:peterhood@sbcglobal.net" TargetMode="External"/><Relationship Id="rId260" Type="http://schemas.openxmlformats.org/officeDocument/2006/relationships/hyperlink" Target="mailto:el2dosdeoros@gmail.com" TargetMode="External"/><Relationship Id="rId316" Type="http://schemas.openxmlformats.org/officeDocument/2006/relationships/hyperlink" Target="mailto:tacossinaloaberkeley@gmail.com" TargetMode="External"/><Relationship Id="rId523" Type="http://schemas.openxmlformats.org/officeDocument/2006/relationships/hyperlink" Target="mailto:accounting@rampsf.com" TargetMode="External"/><Relationship Id="rId719" Type="http://schemas.openxmlformats.org/officeDocument/2006/relationships/hyperlink" Target="mailto:Rogelio_Jacinto@tomatina.com" TargetMode="External"/><Relationship Id="rId55" Type="http://schemas.openxmlformats.org/officeDocument/2006/relationships/hyperlink" Target="mailto:office@sausalitoyachtclub.org" TargetMode="External"/><Relationship Id="rId97" Type="http://schemas.openxmlformats.org/officeDocument/2006/relationships/hyperlink" Target="mailto:theamericanbullbarandgrill@gmail.com" TargetMode="External"/><Relationship Id="rId120" Type="http://schemas.openxmlformats.org/officeDocument/2006/relationships/hyperlink" Target="mailto:keithshaw@pacbell.net" TargetMode="External"/><Relationship Id="rId358" Type="http://schemas.openxmlformats.org/officeDocument/2006/relationships/hyperlink" Target="mailto:receiving@solfoodrestaurant.com" TargetMode="External"/><Relationship Id="rId565" Type="http://schemas.openxmlformats.org/officeDocument/2006/relationships/hyperlink" Target="mailto:towert@hotmail.com" TargetMode="External"/><Relationship Id="rId730" Type="http://schemas.openxmlformats.org/officeDocument/2006/relationships/hyperlink" Target="mailto:aaron@teriyakimadnessmt.com" TargetMode="External"/><Relationship Id="rId162" Type="http://schemas.openxmlformats.org/officeDocument/2006/relationships/hyperlink" Target="mailto:manager@grillys.com" TargetMode="External"/><Relationship Id="rId218" Type="http://schemas.openxmlformats.org/officeDocument/2006/relationships/hyperlink" Target="mailto:accounting@rampsf.com" TargetMode="External"/><Relationship Id="rId425" Type="http://schemas.openxmlformats.org/officeDocument/2006/relationships/hyperlink" Target="mailto:candyheaven.business@gmail.com" TargetMode="External"/><Relationship Id="rId467" Type="http://schemas.openxmlformats.org/officeDocument/2006/relationships/hyperlink" Target="mailto:harry@vintagewinemerchants.com" TargetMode="External"/><Relationship Id="rId632" Type="http://schemas.openxmlformats.org/officeDocument/2006/relationships/hyperlink" Target="mailto:info@taccounting.net" TargetMode="External"/><Relationship Id="rId271" Type="http://schemas.openxmlformats.org/officeDocument/2006/relationships/hyperlink" Target="mailto:elainelynn0326@gmail.com" TargetMode="External"/><Relationship Id="rId674" Type="http://schemas.openxmlformats.org/officeDocument/2006/relationships/hyperlink" Target="mailto:charlie.cross@cafebonappetit.com" TargetMode="External"/><Relationship Id="rId24" Type="http://schemas.openxmlformats.org/officeDocument/2006/relationships/hyperlink" Target="mailto:chris@moylans.com" TargetMode="External"/><Relationship Id="rId66" Type="http://schemas.openxmlformats.org/officeDocument/2006/relationships/hyperlink" Target="mailto:donpericotehachapi2013@gmail.com" TargetMode="External"/><Relationship Id="rId131" Type="http://schemas.openxmlformats.org/officeDocument/2006/relationships/hyperlink" Target="mailto:bhandalgurdeep@yahoo.com" TargetMode="External"/><Relationship Id="rId327" Type="http://schemas.openxmlformats.org/officeDocument/2006/relationships/hyperlink" Target="mailto:mfreitas@sanjuanoaks.com" TargetMode="External"/><Relationship Id="rId369" Type="http://schemas.openxmlformats.org/officeDocument/2006/relationships/hyperlink" Target="mailto:rflaster@earthlink.net" TargetMode="External"/><Relationship Id="rId534" Type="http://schemas.openxmlformats.org/officeDocument/2006/relationships/hyperlink" Target="mailto:harjindersingh4414@yahoo.com" TargetMode="External"/><Relationship Id="rId576" Type="http://schemas.openxmlformats.org/officeDocument/2006/relationships/hyperlink" Target="mailto:e201tartinebakery@bill.com" TargetMode="External"/><Relationship Id="rId741" Type="http://schemas.openxmlformats.org/officeDocument/2006/relationships/hyperlink" Target="mailto:hopsandgrapes2025@outlook.com" TargetMode="External"/><Relationship Id="rId173" Type="http://schemas.openxmlformats.org/officeDocument/2006/relationships/hyperlink" Target="mailto:kimm@pdfbookkeeping.net" TargetMode="External"/><Relationship Id="rId229" Type="http://schemas.openxmlformats.org/officeDocument/2006/relationships/hyperlink" Target="mailto:Dbeatriz800@gmail.com" TargetMode="External"/><Relationship Id="rId380" Type="http://schemas.openxmlformats.org/officeDocument/2006/relationships/hyperlink" Target="mailto:jennifer_leung@150pelican.com" TargetMode="External"/><Relationship Id="rId436" Type="http://schemas.openxmlformats.org/officeDocument/2006/relationships/hyperlink" Target="mailto:SHERGILLSATINDER4@GMAIL.COM" TargetMode="External"/><Relationship Id="rId601" Type="http://schemas.openxmlformats.org/officeDocument/2006/relationships/hyperlink" Target="mailto:kpiano@themagnolia.com" TargetMode="External"/><Relationship Id="rId643" Type="http://schemas.openxmlformats.org/officeDocument/2006/relationships/hyperlink" Target="mailto:denis.country.kitchen@gmail.com" TargetMode="External"/><Relationship Id="rId240" Type="http://schemas.openxmlformats.org/officeDocument/2006/relationships/hyperlink" Target="mailto:wearschico@yahoo.com" TargetMode="External"/><Relationship Id="rId478" Type="http://schemas.openxmlformats.org/officeDocument/2006/relationships/hyperlink" Target="mailto:petes881@gmail.com" TargetMode="External"/><Relationship Id="rId685" Type="http://schemas.openxmlformats.org/officeDocument/2006/relationships/hyperlink" Target="mailto:michelle_mah@slanteddoorgroup.com" TargetMode="External"/><Relationship Id="rId35" Type="http://schemas.openxmlformats.org/officeDocument/2006/relationships/hyperlink" Target="mailto:store0305@specialtys.com" TargetMode="External"/><Relationship Id="rId77" Type="http://schemas.openxmlformats.org/officeDocument/2006/relationships/hyperlink" Target="mailto:shaggg777@hotmail.com" TargetMode="External"/><Relationship Id="rId100" Type="http://schemas.openxmlformats.org/officeDocument/2006/relationships/hyperlink" Target="mailto:cyrilhackett@yahoo.com" TargetMode="External"/><Relationship Id="rId282" Type="http://schemas.openxmlformats.org/officeDocument/2006/relationships/hyperlink" Target="mailto:lc.javahut@gmail.com" TargetMode="External"/><Relationship Id="rId338" Type="http://schemas.openxmlformats.org/officeDocument/2006/relationships/hyperlink" Target="mailto:info@yanksing.com" TargetMode="External"/><Relationship Id="rId503" Type="http://schemas.openxmlformats.org/officeDocument/2006/relationships/hyperlink" Target="mailto:jennie@slaterandassoc.net" TargetMode="External"/><Relationship Id="rId545" Type="http://schemas.openxmlformats.org/officeDocument/2006/relationships/hyperlink" Target="mailto:info@summervinesonoma.com" TargetMode="External"/><Relationship Id="rId587" Type="http://schemas.openxmlformats.org/officeDocument/2006/relationships/hyperlink" Target="mailto:info@starkssteakhouse.com" TargetMode="External"/><Relationship Id="rId710" Type="http://schemas.openxmlformats.org/officeDocument/2006/relationships/hyperlink" Target="mailto:admin@wtfrestaurantbargrill.com" TargetMode="External"/><Relationship Id="rId8" Type="http://schemas.openxmlformats.org/officeDocument/2006/relationships/hyperlink" Target="http://www.lalimes.com/" TargetMode="External"/><Relationship Id="rId142" Type="http://schemas.openxmlformats.org/officeDocument/2006/relationships/hyperlink" Target="mailto:laidbacklenny1@yahoo.com" TargetMode="External"/><Relationship Id="rId184" Type="http://schemas.openxmlformats.org/officeDocument/2006/relationships/hyperlink" Target="mailto:info@calistogainn.com" TargetMode="External"/><Relationship Id="rId391" Type="http://schemas.openxmlformats.org/officeDocument/2006/relationships/hyperlink" Target="mailto:p.gonzalez@lasmontanas.com" TargetMode="External"/><Relationship Id="rId405" Type="http://schemas.openxmlformats.org/officeDocument/2006/relationships/hyperlink" Target="mailto:phoodfight@gmail.com" TargetMode="External"/><Relationship Id="rId447" Type="http://schemas.openxmlformats.org/officeDocument/2006/relationships/hyperlink" Target="mailto:eforsyth@rokaakor.com" TargetMode="External"/><Relationship Id="rId612" Type="http://schemas.openxmlformats.org/officeDocument/2006/relationships/hyperlink" Target="mailto:beso@fe.fake" TargetMode="External"/><Relationship Id="rId251" Type="http://schemas.openxmlformats.org/officeDocument/2006/relationships/hyperlink" Target="mailto:sarahpitzen6@gmail.com" TargetMode="External"/><Relationship Id="rId489" Type="http://schemas.openxmlformats.org/officeDocument/2006/relationships/hyperlink" Target="mailto:fmasarweh+2@gmail.com" TargetMode="External"/><Relationship Id="rId654" Type="http://schemas.openxmlformats.org/officeDocument/2006/relationships/hyperlink" Target="mailto:ava@niceventures.com" TargetMode="External"/><Relationship Id="rId696" Type="http://schemas.openxmlformats.org/officeDocument/2006/relationships/hyperlink" Target="mailto:emakye@gmail.com" TargetMode="External"/><Relationship Id="rId46" Type="http://schemas.openxmlformats.org/officeDocument/2006/relationships/hyperlink" Target="mailto:JASWINDERSINGH101@YAHOO.COM" TargetMode="External"/><Relationship Id="rId293" Type="http://schemas.openxmlformats.org/officeDocument/2006/relationships/hyperlink" Target="mailto:sirulz@aol.com" TargetMode="External"/><Relationship Id="rId307" Type="http://schemas.openxmlformats.org/officeDocument/2006/relationships/hyperlink" Target="mailto:izateliyan@gmail.com" TargetMode="External"/><Relationship Id="rId349" Type="http://schemas.openxmlformats.org/officeDocument/2006/relationships/hyperlink" Target="mailto:karina@lapinata1.com" TargetMode="External"/><Relationship Id="rId514" Type="http://schemas.openxmlformats.org/officeDocument/2006/relationships/hyperlink" Target="mailto:stargrocery@sbcglobal.net" TargetMode="External"/><Relationship Id="rId556" Type="http://schemas.openxmlformats.org/officeDocument/2006/relationships/hyperlink" Target="mailto:ap@greenwaygolf.com" TargetMode="External"/><Relationship Id="rId721" Type="http://schemas.openxmlformats.org/officeDocument/2006/relationships/hyperlink" Target="mailto:Darwin_Mejia@tomatina.com" TargetMode="External"/><Relationship Id="rId88" Type="http://schemas.openxmlformats.org/officeDocument/2006/relationships/hyperlink" Target="mailto:lbarr@sbcglobal.net" TargetMode="External"/><Relationship Id="rId111" Type="http://schemas.openxmlformats.org/officeDocument/2006/relationships/hyperlink" Target="mailto:erick@mcinnisparkgolfcenter.com" TargetMode="External"/><Relationship Id="rId153" Type="http://schemas.openxmlformats.org/officeDocument/2006/relationships/hyperlink" Target="mailto:sfsucafe@sbcglobal.net" TargetMode="External"/><Relationship Id="rId195" Type="http://schemas.openxmlformats.org/officeDocument/2006/relationships/hyperlink" Target="mailto:thebigguy@roadsidebbq.com" TargetMode="External"/><Relationship Id="rId209" Type="http://schemas.openxmlformats.org/officeDocument/2006/relationships/hyperlink" Target="mailto:PINGCHIOU9@YAHOO.COM" TargetMode="External"/><Relationship Id="rId360" Type="http://schemas.openxmlformats.org/officeDocument/2006/relationships/hyperlink" Target="mailto:daniel.indelicato@gmail.com" TargetMode="External"/><Relationship Id="rId416" Type="http://schemas.openxmlformats.org/officeDocument/2006/relationships/hyperlink" Target="mailto:lien.joe@gmail.com" TargetMode="External"/><Relationship Id="rId598" Type="http://schemas.openxmlformats.org/officeDocument/2006/relationships/hyperlink" Target="mailto:tonyonline5@yahoo.com" TargetMode="External"/><Relationship Id="rId220" Type="http://schemas.openxmlformats.org/officeDocument/2006/relationships/hyperlink" Target="mailto:thefrontporchsf@gmail.com" TargetMode="External"/><Relationship Id="rId458" Type="http://schemas.openxmlformats.org/officeDocument/2006/relationships/hyperlink" Target="mailto:accounting@invernessparkmarket.com" TargetMode="External"/><Relationship Id="rId623" Type="http://schemas.openxmlformats.org/officeDocument/2006/relationships/hyperlink" Target="mailto:info@grossmanssr.com" TargetMode="External"/><Relationship Id="rId665" Type="http://schemas.openxmlformats.org/officeDocument/2006/relationships/hyperlink" Target="mailto:info@gamh.com" TargetMode="External"/><Relationship Id="rId15" Type="http://schemas.openxmlformats.org/officeDocument/2006/relationships/hyperlink" Target="http://www.statebirdsf.com/" TargetMode="External"/><Relationship Id="rId57" Type="http://schemas.openxmlformats.org/officeDocument/2006/relationships/hyperlink" Target="mailto:downtownbritarms@yahoo.com" TargetMode="External"/><Relationship Id="rId262" Type="http://schemas.openxmlformats.org/officeDocument/2006/relationships/hyperlink" Target="mailto:thetridentsausalito@gmail.com" TargetMode="External"/><Relationship Id="rId318" Type="http://schemas.openxmlformats.org/officeDocument/2006/relationships/hyperlink" Target="mailto:mlmanji@gmail.com" TargetMode="External"/><Relationship Id="rId525" Type="http://schemas.openxmlformats.org/officeDocument/2006/relationships/hyperlink" Target="mailto:info@birdandthebottle.com" TargetMode="External"/><Relationship Id="rId567" Type="http://schemas.openxmlformats.org/officeDocument/2006/relationships/hyperlink" Target="mailto:jim@rioadobe.com" TargetMode="External"/><Relationship Id="rId732" Type="http://schemas.openxmlformats.org/officeDocument/2006/relationships/hyperlink" Target="mailto:accounting@teriyakimadnessmt.com" TargetMode="External"/><Relationship Id="rId99" Type="http://schemas.openxmlformats.org/officeDocument/2006/relationships/hyperlink" Target="mailto:tmad031@teriyakimadness.com" TargetMode="External"/><Relationship Id="rId122" Type="http://schemas.openxmlformats.org/officeDocument/2006/relationships/hyperlink" Target="mailto:shuetpoon62@gmail.com" TargetMode="External"/><Relationship Id="rId164" Type="http://schemas.openxmlformats.org/officeDocument/2006/relationships/hyperlink" Target="mailto:klowe1234@gmail.com" TargetMode="External"/><Relationship Id="rId371" Type="http://schemas.openxmlformats.org/officeDocument/2006/relationships/hyperlink" Target="mailto:vee@vintagewinemerchants.com" TargetMode="External"/><Relationship Id="rId427" Type="http://schemas.openxmlformats.org/officeDocument/2006/relationships/hyperlink" Target="mailto:abundiz.maria@yahoo.com" TargetMode="External"/><Relationship Id="rId469" Type="http://schemas.openxmlformats.org/officeDocument/2006/relationships/hyperlink" Target="mailto:leah@theforgepizza.com" TargetMode="External"/><Relationship Id="rId634" Type="http://schemas.openxmlformats.org/officeDocument/2006/relationships/hyperlink" Target="mailto:polymac@gmail.com" TargetMode="External"/><Relationship Id="rId676" Type="http://schemas.openxmlformats.org/officeDocument/2006/relationships/hyperlink" Target="mailto:lasguitarrasrestaurant@gmail.com" TargetMode="External"/><Relationship Id="rId26" Type="http://schemas.openxmlformats.org/officeDocument/2006/relationships/hyperlink" Target="mailto:harmonyrest@aol.com" TargetMode="External"/><Relationship Id="rId231" Type="http://schemas.openxmlformats.org/officeDocument/2006/relationships/hyperlink" Target="mailto:Dbeatriz800@gmail.com" TargetMode="External"/><Relationship Id="rId273" Type="http://schemas.openxmlformats.org/officeDocument/2006/relationships/hyperlink" Target="mailto:markedwardsbiz@gmail.com" TargetMode="External"/><Relationship Id="rId329" Type="http://schemas.openxmlformats.org/officeDocument/2006/relationships/hyperlink" Target="mailto:mfreitas@sanjuanoaks.com" TargetMode="External"/><Relationship Id="rId480" Type="http://schemas.openxmlformats.org/officeDocument/2006/relationships/hyperlink" Target="mailto:e201tartinebakery@bill.com" TargetMode="External"/><Relationship Id="rId536" Type="http://schemas.openxmlformats.org/officeDocument/2006/relationships/hyperlink" Target="mailto:shishgrill@att.net" TargetMode="External"/><Relationship Id="rId701" Type="http://schemas.openxmlformats.org/officeDocument/2006/relationships/hyperlink" Target="mailto:joshua@mas.us.com" TargetMode="External"/><Relationship Id="rId68" Type="http://schemas.openxmlformats.org/officeDocument/2006/relationships/hyperlink" Target="mailto:alonzo@arteagas.com" TargetMode="External"/><Relationship Id="rId133" Type="http://schemas.openxmlformats.org/officeDocument/2006/relationships/hyperlink" Target="mailto:pablo@doloresparkcafe.com" TargetMode="External"/><Relationship Id="rId175" Type="http://schemas.openxmlformats.org/officeDocument/2006/relationships/hyperlink" Target="mailto:accounts@lolindasf.com" TargetMode="External"/><Relationship Id="rId340" Type="http://schemas.openxmlformats.org/officeDocument/2006/relationships/hyperlink" Target="mailto:marinasuperap@gmail.com" TargetMode="External"/><Relationship Id="rId578" Type="http://schemas.openxmlformats.org/officeDocument/2006/relationships/hyperlink" Target="mailto:sheryl@stationhousecafe.com" TargetMode="External"/><Relationship Id="rId743" Type="http://schemas.openxmlformats.org/officeDocument/2006/relationships/hyperlink" Target="mailto:thefrontporchsf@gmail.com" TargetMode="External"/><Relationship Id="rId200" Type="http://schemas.openxmlformats.org/officeDocument/2006/relationships/hyperlink" Target="mailto:rodrigo@backofthehouseinc.com" TargetMode="External"/><Relationship Id="rId382" Type="http://schemas.openxmlformats.org/officeDocument/2006/relationships/hyperlink" Target="mailto:mail4navsingh.nps@gmail.com" TargetMode="External"/><Relationship Id="rId438" Type="http://schemas.openxmlformats.org/officeDocument/2006/relationships/hyperlink" Target="mailto:office@pepitosfood.com" TargetMode="External"/><Relationship Id="rId603" Type="http://schemas.openxmlformats.org/officeDocument/2006/relationships/hyperlink" Target="mailto:tnly333@yahoo.com" TargetMode="External"/><Relationship Id="rId645" Type="http://schemas.openxmlformats.org/officeDocument/2006/relationships/hyperlink" Target="mailto:kenny.hobnob@gmail.com" TargetMode="External"/><Relationship Id="rId687" Type="http://schemas.openxmlformats.org/officeDocument/2006/relationships/hyperlink" Target="mailto:annflider@gmail.com" TargetMode="External"/><Relationship Id="rId242" Type="http://schemas.openxmlformats.org/officeDocument/2006/relationships/hyperlink" Target="mailto:tacossinaloaberkeley@gmail.com" TargetMode="External"/><Relationship Id="rId284" Type="http://schemas.openxmlformats.org/officeDocument/2006/relationships/hyperlink" Target="mailto:lc.javahut@gmail.com" TargetMode="External"/><Relationship Id="rId491" Type="http://schemas.openxmlformats.org/officeDocument/2006/relationships/hyperlink" Target="mailto:cafescooteria@yahoo.com" TargetMode="External"/><Relationship Id="rId505" Type="http://schemas.openxmlformats.org/officeDocument/2006/relationships/hyperlink" Target="mailto:clopez@spplus.com" TargetMode="External"/><Relationship Id="rId712" Type="http://schemas.openxmlformats.org/officeDocument/2006/relationships/hyperlink" Target="mailto:chris@themorris-sf.com" TargetMode="External"/><Relationship Id="rId37" Type="http://schemas.openxmlformats.org/officeDocument/2006/relationships/hyperlink" Target="mailto:info@anacapabrewing.com" TargetMode="External"/><Relationship Id="rId79" Type="http://schemas.openxmlformats.org/officeDocument/2006/relationships/hyperlink" Target="mailto:ali.eslami@outlook.com" TargetMode="External"/><Relationship Id="rId102" Type="http://schemas.openxmlformats.org/officeDocument/2006/relationships/hyperlink" Target="mailto:alex@whitechapelsf.com" TargetMode="External"/><Relationship Id="rId144" Type="http://schemas.openxmlformats.org/officeDocument/2006/relationships/hyperlink" Target="mailto:edward@welldonebooks.com" TargetMode="External"/><Relationship Id="rId547" Type="http://schemas.openxmlformats.org/officeDocument/2006/relationships/hyperlink" Target="tel:7077730882" TargetMode="External"/><Relationship Id="rId589" Type="http://schemas.openxmlformats.org/officeDocument/2006/relationships/hyperlink" Target="mailto:natali7@comcast.net" TargetMode="External"/><Relationship Id="rId90" Type="http://schemas.openxmlformats.org/officeDocument/2006/relationships/hyperlink" Target="mailto:info@floressf.com" TargetMode="External"/><Relationship Id="rId186" Type="http://schemas.openxmlformats.org/officeDocument/2006/relationships/hyperlink" Target="mailto:info@barbocce.com" TargetMode="External"/><Relationship Id="rId351" Type="http://schemas.openxmlformats.org/officeDocument/2006/relationships/hyperlink" Target="mailto:moseslim@gmail.com" TargetMode="External"/><Relationship Id="rId393" Type="http://schemas.openxmlformats.org/officeDocument/2006/relationships/hyperlink" Target="mailto:p.gonzalez@lasmontanas.com" TargetMode="External"/><Relationship Id="rId407" Type="http://schemas.openxmlformats.org/officeDocument/2006/relationships/hyperlink" Target="mailto:scott@lukeslocal.com" TargetMode="External"/><Relationship Id="rId449" Type="http://schemas.openxmlformats.org/officeDocument/2006/relationships/hyperlink" Target="mailto:alottasdeli@aol.com" TargetMode="External"/><Relationship Id="rId614" Type="http://schemas.openxmlformats.org/officeDocument/2006/relationships/hyperlink" Target="mailto:info@barbravas.com" TargetMode="External"/><Relationship Id="rId656" Type="http://schemas.openxmlformats.org/officeDocument/2006/relationships/hyperlink" Target="mailto:carlosmontero@comcast.net" TargetMode="External"/><Relationship Id="rId211" Type="http://schemas.openxmlformats.org/officeDocument/2006/relationships/hyperlink" Target="mailto:monica@monicaslivermore.com" TargetMode="External"/><Relationship Id="rId253" Type="http://schemas.openxmlformats.org/officeDocument/2006/relationships/hyperlink" Target="mailto:llbbqsantacruz@gmail.com" TargetMode="External"/><Relationship Id="rId295" Type="http://schemas.openxmlformats.org/officeDocument/2006/relationships/hyperlink" Target="mailto:unodostaco@invoice.plateiq.com" TargetMode="External"/><Relationship Id="rId309" Type="http://schemas.openxmlformats.org/officeDocument/2006/relationships/hyperlink" Target="mailto:ziofraedos@yahoo.com" TargetMode="External"/><Relationship Id="rId460" Type="http://schemas.openxmlformats.org/officeDocument/2006/relationships/hyperlink" Target="mailto:eat@invernessparkmarket.com" TargetMode="External"/><Relationship Id="rId516" Type="http://schemas.openxmlformats.org/officeDocument/2006/relationships/hyperlink" Target="mailto:stargrocery@sbcglobal.net" TargetMode="External"/><Relationship Id="rId698" Type="http://schemas.openxmlformats.org/officeDocument/2006/relationships/hyperlink" Target="mailto:charles.vong@outlook.com" TargetMode="External"/><Relationship Id="rId48" Type="http://schemas.openxmlformats.org/officeDocument/2006/relationships/hyperlink" Target="mailto:kayo.asakura@pandarg.com" TargetMode="External"/><Relationship Id="rId113" Type="http://schemas.openxmlformats.org/officeDocument/2006/relationships/hyperlink" Target="mailto:info@sevenhillssf.com" TargetMode="External"/><Relationship Id="rId320" Type="http://schemas.openxmlformats.org/officeDocument/2006/relationships/hyperlink" Target="mailto:tmad050@teriyakimadness.com" TargetMode="External"/><Relationship Id="rId558" Type="http://schemas.openxmlformats.org/officeDocument/2006/relationships/hyperlink" Target="mailto:cevans@leftbank.com" TargetMode="External"/><Relationship Id="rId723" Type="http://schemas.openxmlformats.org/officeDocument/2006/relationships/hyperlink" Target="mailto:Darwin_Mejia@tomatina.com" TargetMode="External"/><Relationship Id="rId155" Type="http://schemas.openxmlformats.org/officeDocument/2006/relationships/hyperlink" Target="mailto:georgia@zackscatering.com" TargetMode="External"/><Relationship Id="rId197" Type="http://schemas.openxmlformats.org/officeDocument/2006/relationships/hyperlink" Target="mailto:rodrigo@backofthehouseinc.com" TargetMode="External"/><Relationship Id="rId362" Type="http://schemas.openxmlformats.org/officeDocument/2006/relationships/hyperlink" Target="mailto:daniel.indelicato@gmail.com" TargetMode="External"/><Relationship Id="rId418" Type="http://schemas.openxmlformats.org/officeDocument/2006/relationships/hyperlink" Target="mailto:lien.joe@gmail.com" TargetMode="External"/><Relationship Id="rId625" Type="http://schemas.openxmlformats.org/officeDocument/2006/relationships/hyperlink" Target="mailto:j.seabrook@mac.com" TargetMode="External"/><Relationship Id="rId222" Type="http://schemas.openxmlformats.org/officeDocument/2006/relationships/hyperlink" Target="mailto:email@pvillenews.com" TargetMode="External"/><Relationship Id="rId264" Type="http://schemas.openxmlformats.org/officeDocument/2006/relationships/hyperlink" Target="mailto:laestrell22@aol.com" TargetMode="External"/><Relationship Id="rId471" Type="http://schemas.openxmlformats.org/officeDocument/2006/relationships/hyperlink" Target="mailto:leah@theforgepizza.com" TargetMode="External"/><Relationship Id="rId667" Type="http://schemas.openxmlformats.org/officeDocument/2006/relationships/hyperlink" Target="mailto:info@villagerotisserie.com" TargetMode="External"/><Relationship Id="rId17" Type="http://schemas.openxmlformats.org/officeDocument/2006/relationships/hyperlink" Target="mailto:amandaalvarez89@gmail.com" TargetMode="External"/><Relationship Id="rId59" Type="http://schemas.openxmlformats.org/officeDocument/2006/relationships/hyperlink" Target="mailto:raegan@salthousesf.com" TargetMode="External"/><Relationship Id="rId124" Type="http://schemas.openxmlformats.org/officeDocument/2006/relationships/hyperlink" Target="mailto:carlos@lacabanavenice.com" TargetMode="External"/><Relationship Id="rId527" Type="http://schemas.openxmlformats.org/officeDocument/2006/relationships/hyperlink" Target="mailto:info@birdandthebottle.com" TargetMode="External"/><Relationship Id="rId569" Type="http://schemas.openxmlformats.org/officeDocument/2006/relationships/hyperlink" Target="mailto:josephd@gracias-madre.com" TargetMode="External"/><Relationship Id="rId734" Type="http://schemas.openxmlformats.org/officeDocument/2006/relationships/hyperlink" Target="mailto:aware@quinceandcosf.com" TargetMode="External"/><Relationship Id="rId70" Type="http://schemas.openxmlformats.org/officeDocument/2006/relationships/hyperlink" Target="mailto:info@uchiwaramen.com" TargetMode="External"/><Relationship Id="rId166" Type="http://schemas.openxmlformats.org/officeDocument/2006/relationships/hyperlink" Target="mailto:christa@insalatas.com" TargetMode="External"/><Relationship Id="rId331" Type="http://schemas.openxmlformats.org/officeDocument/2006/relationships/hyperlink" Target="mailto:perleoak@gmail.com" TargetMode="External"/><Relationship Id="rId373" Type="http://schemas.openxmlformats.org/officeDocument/2006/relationships/hyperlink" Target="mailto:albertoyanez1973@gmail.com" TargetMode="External"/><Relationship Id="rId429" Type="http://schemas.openxmlformats.org/officeDocument/2006/relationships/hyperlink" Target="mailto:abundiz.maria@yahoo.com" TargetMode="External"/><Relationship Id="rId580" Type="http://schemas.openxmlformats.org/officeDocument/2006/relationships/hyperlink" Target="mailto:taqelgordo@gmail.com" TargetMode="External"/><Relationship Id="rId636" Type="http://schemas.openxmlformats.org/officeDocument/2006/relationships/hyperlink" Target="mailto:mengs2002@yahoo.com" TargetMode="External"/><Relationship Id="rId1" Type="http://schemas.openxmlformats.org/officeDocument/2006/relationships/hyperlink" Target="http://www.specialtys.com/" TargetMode="External"/><Relationship Id="rId233" Type="http://schemas.openxmlformats.org/officeDocument/2006/relationships/hyperlink" Target="mailto:tmad060@teriyakimadness.com" TargetMode="External"/><Relationship Id="rId440" Type="http://schemas.openxmlformats.org/officeDocument/2006/relationships/hyperlink" Target="mailto:office@pepitosfood.com" TargetMode="External"/><Relationship Id="rId678" Type="http://schemas.openxmlformats.org/officeDocument/2006/relationships/hyperlink" Target="mailto:josephzilinsky@me.com" TargetMode="External"/><Relationship Id="rId28" Type="http://schemas.openxmlformats.org/officeDocument/2006/relationships/hyperlink" Target="mailto:tjsb23@gmail.com" TargetMode="External"/><Relationship Id="rId275" Type="http://schemas.openxmlformats.org/officeDocument/2006/relationships/hyperlink" Target="mailto:yummymojo@gmail.com" TargetMode="External"/><Relationship Id="rId300" Type="http://schemas.openxmlformats.org/officeDocument/2006/relationships/hyperlink" Target="mailto:accounts@backofthehouseinc.com" TargetMode="External"/><Relationship Id="rId482" Type="http://schemas.openxmlformats.org/officeDocument/2006/relationships/hyperlink" Target="mailto:e201tartinebakery@bill.com" TargetMode="External"/><Relationship Id="rId538" Type="http://schemas.openxmlformats.org/officeDocument/2006/relationships/hyperlink" Target="mailto:gm@statebirdsf.com" TargetMode="External"/><Relationship Id="rId703" Type="http://schemas.openxmlformats.org/officeDocument/2006/relationships/hyperlink" Target="mailto:y2ma@yahoo.com" TargetMode="External"/><Relationship Id="rId745" Type="http://schemas.openxmlformats.org/officeDocument/2006/relationships/vmlDrawing" Target="../drawings/vmlDrawing1.vml"/><Relationship Id="rId81" Type="http://schemas.openxmlformats.org/officeDocument/2006/relationships/hyperlink" Target="mailto:clydesliquors@gmail.com" TargetMode="External"/><Relationship Id="rId135" Type="http://schemas.openxmlformats.org/officeDocument/2006/relationships/hyperlink" Target="mailto:ocp@sonic.net" TargetMode="External"/><Relationship Id="rId177" Type="http://schemas.openxmlformats.org/officeDocument/2006/relationships/hyperlink" Target="mailto:rebecca@radioparadise.com" TargetMode="External"/><Relationship Id="rId342" Type="http://schemas.openxmlformats.org/officeDocument/2006/relationships/hyperlink" Target="mailto:gary@barbocce.com" TargetMode="External"/><Relationship Id="rId384" Type="http://schemas.openxmlformats.org/officeDocument/2006/relationships/hyperlink" Target="mailto:mail4navsingh.nps@gmail.com" TargetMode="External"/><Relationship Id="rId591" Type="http://schemas.openxmlformats.org/officeDocument/2006/relationships/hyperlink" Target="mailto:eat@tribuneoakland.com" TargetMode="External"/><Relationship Id="rId605" Type="http://schemas.openxmlformats.org/officeDocument/2006/relationships/hyperlink" Target="mailto:info@montismv.com" TargetMode="External"/><Relationship Id="rId202" Type="http://schemas.openxmlformats.org/officeDocument/2006/relationships/hyperlink" Target="mailto:rodrigo@backofthehouseinc.com" TargetMode="External"/><Relationship Id="rId244" Type="http://schemas.openxmlformats.org/officeDocument/2006/relationships/hyperlink" Target="mailto:cheungandy8@gmail.com" TargetMode="External"/><Relationship Id="rId647" Type="http://schemas.openxmlformats.org/officeDocument/2006/relationships/hyperlink" Target="mailto:kenny.hobnob@gmail.com" TargetMode="External"/><Relationship Id="rId689" Type="http://schemas.openxmlformats.org/officeDocument/2006/relationships/hyperlink" Target="mailto:ecapitan1198@yahoo.com" TargetMode="External"/><Relationship Id="rId39" Type="http://schemas.openxmlformats.org/officeDocument/2006/relationships/hyperlink" Target="mailto:sepillo78@hotmail.com" TargetMode="External"/><Relationship Id="rId286" Type="http://schemas.openxmlformats.org/officeDocument/2006/relationships/hyperlink" Target="mailto:lc.javahut@gmail.com" TargetMode="External"/><Relationship Id="rId451" Type="http://schemas.openxmlformats.org/officeDocument/2006/relationships/hyperlink" Target="mailto:alottasdeli@aol.com" TargetMode="External"/><Relationship Id="rId493" Type="http://schemas.openxmlformats.org/officeDocument/2006/relationships/hyperlink" Target="mailto:radu@theoldwagonsaloon.com" TargetMode="External"/><Relationship Id="rId507" Type="http://schemas.openxmlformats.org/officeDocument/2006/relationships/hyperlink" Target="mailto:abelvasquez824@icloud.com" TargetMode="External"/><Relationship Id="rId549" Type="http://schemas.openxmlformats.org/officeDocument/2006/relationships/hyperlink" Target="mailto:UNCLEYUATTHEVINEYARD@GMAIL.COM" TargetMode="External"/><Relationship Id="rId714" Type="http://schemas.openxmlformats.org/officeDocument/2006/relationships/hyperlink" Target="mailto:chris@themorris-sf.com" TargetMode="External"/><Relationship Id="rId50" Type="http://schemas.openxmlformats.org/officeDocument/2006/relationships/hyperlink" Target="mailto:KAM.LAWRENCE@YAHOO.COM" TargetMode="External"/><Relationship Id="rId104" Type="http://schemas.openxmlformats.org/officeDocument/2006/relationships/hyperlink" Target="mailto:rodrigo@backofthehouseinc.com" TargetMode="External"/><Relationship Id="rId146" Type="http://schemas.openxmlformats.org/officeDocument/2006/relationships/hyperlink" Target="mailto:tacossinaloaberkeley@gmail.com" TargetMode="External"/><Relationship Id="rId188" Type="http://schemas.openxmlformats.org/officeDocument/2006/relationships/hyperlink" Target="mailto:hanna12@msn.com" TargetMode="External"/><Relationship Id="rId311" Type="http://schemas.openxmlformats.org/officeDocument/2006/relationships/hyperlink" Target="mailto:gleneaglesinsf@gmail.com" TargetMode="External"/><Relationship Id="rId353" Type="http://schemas.openxmlformats.org/officeDocument/2006/relationships/hyperlink" Target="mailto:moseslim@gmail.com" TargetMode="External"/><Relationship Id="rId395" Type="http://schemas.openxmlformats.org/officeDocument/2006/relationships/hyperlink" Target="mailto:p.gonzalez@lasmontanas.com" TargetMode="External"/><Relationship Id="rId409" Type="http://schemas.openxmlformats.org/officeDocument/2006/relationships/hyperlink" Target="mailto:accounting@lukeslocal.com" TargetMode="External"/><Relationship Id="rId560" Type="http://schemas.openxmlformats.org/officeDocument/2006/relationships/hyperlink" Target="mailto:yum@moonscoops.com" TargetMode="External"/><Relationship Id="rId92" Type="http://schemas.openxmlformats.org/officeDocument/2006/relationships/hyperlink" Target="mailto:info@lolindasf.com" TargetMode="External"/><Relationship Id="rId213" Type="http://schemas.openxmlformats.org/officeDocument/2006/relationships/hyperlink" Target="mailto:info@thepanzon.com" TargetMode="External"/><Relationship Id="rId420" Type="http://schemas.openxmlformats.org/officeDocument/2006/relationships/hyperlink" Target="mailto:info@ernestsf.com" TargetMode="External"/><Relationship Id="rId616" Type="http://schemas.openxmlformats.org/officeDocument/2006/relationships/hyperlink" Target="mailto:info@barbravas.com" TargetMode="External"/><Relationship Id="rId658" Type="http://schemas.openxmlformats.org/officeDocument/2006/relationships/hyperlink" Target="mailto:asianbox@info.com" TargetMode="External"/><Relationship Id="rId255" Type="http://schemas.openxmlformats.org/officeDocument/2006/relationships/hyperlink" Target="mailto:divinobrentwood@gmail.com" TargetMode="External"/><Relationship Id="rId297" Type="http://schemas.openxmlformats.org/officeDocument/2006/relationships/hyperlink" Target="mailto:delarosachestnut@invoice.plateiq.com" TargetMode="External"/><Relationship Id="rId462" Type="http://schemas.openxmlformats.org/officeDocument/2006/relationships/hyperlink" Target="mailto:sheryl@stationhousecafe.com" TargetMode="External"/><Relationship Id="rId518" Type="http://schemas.openxmlformats.org/officeDocument/2006/relationships/hyperlink" Target="mailto:khenging8@gmail.com" TargetMode="External"/><Relationship Id="rId725" Type="http://schemas.openxmlformats.org/officeDocument/2006/relationships/hyperlink" Target="mailto:Rogelio_Jacinto@tomatina.com" TargetMode="External"/><Relationship Id="rId115" Type="http://schemas.openxmlformats.org/officeDocument/2006/relationships/hyperlink" Target="mailto:diamondpanda88@yahoo.com" TargetMode="External"/><Relationship Id="rId157" Type="http://schemas.openxmlformats.org/officeDocument/2006/relationships/hyperlink" Target="mailto:garyespinoza@gmail.com" TargetMode="External"/><Relationship Id="rId322" Type="http://schemas.openxmlformats.org/officeDocument/2006/relationships/hyperlink" Target="mailto:lizfannoun@gmail.com" TargetMode="External"/><Relationship Id="rId364" Type="http://schemas.openxmlformats.org/officeDocument/2006/relationships/hyperlink" Target="mailto:daniel.indelicato@gmail.com" TargetMode="External"/><Relationship Id="rId61" Type="http://schemas.openxmlformats.org/officeDocument/2006/relationships/hyperlink" Target="mailto:daniel.indelicato@gmail.com" TargetMode="External"/><Relationship Id="rId199" Type="http://schemas.openxmlformats.org/officeDocument/2006/relationships/hyperlink" Target="mailto:rodrigo@backofthehouseinc.com" TargetMode="External"/><Relationship Id="rId571" Type="http://schemas.openxmlformats.org/officeDocument/2006/relationships/hyperlink" Target="mailto:josephd@gracias-madre.com" TargetMode="External"/><Relationship Id="rId627" Type="http://schemas.openxmlformats.org/officeDocument/2006/relationships/hyperlink" Target="mailto:j.seabrook@mac.com" TargetMode="External"/><Relationship Id="rId669" Type="http://schemas.openxmlformats.org/officeDocument/2006/relationships/hyperlink" Target="mailto:sfsucafe101@gmail.com" TargetMode="External"/><Relationship Id="rId19" Type="http://schemas.openxmlformats.org/officeDocument/2006/relationships/hyperlink" Target="mailto:Dstreckfus@aol.com" TargetMode="External"/><Relationship Id="rId224" Type="http://schemas.openxmlformats.org/officeDocument/2006/relationships/hyperlink" Target="mailto:cbrown@macarthurplace.com" TargetMode="External"/><Relationship Id="rId266" Type="http://schemas.openxmlformats.org/officeDocument/2006/relationships/hyperlink" Target="mailto:laestrell22@aol.com" TargetMode="External"/><Relationship Id="rId431" Type="http://schemas.openxmlformats.org/officeDocument/2006/relationships/hyperlink" Target="mailto:tony@swipesuite.com" TargetMode="External"/><Relationship Id="rId473" Type="http://schemas.openxmlformats.org/officeDocument/2006/relationships/hyperlink" Target="mailto:smakras@msn.com" TargetMode="External"/><Relationship Id="rId529" Type="http://schemas.openxmlformats.org/officeDocument/2006/relationships/hyperlink" Target="mailto:oddteaandmore@gmail.com" TargetMode="External"/><Relationship Id="rId680" Type="http://schemas.openxmlformats.org/officeDocument/2006/relationships/hyperlink" Target="mailto:hello@leftdoorsf.com" TargetMode="External"/><Relationship Id="rId736" Type="http://schemas.openxmlformats.org/officeDocument/2006/relationships/hyperlink" Target="mailto:chef.hideout@gmail.com" TargetMode="External"/><Relationship Id="rId30" Type="http://schemas.openxmlformats.org/officeDocument/2006/relationships/hyperlink" Target="mailto:thecoffeeroastery@gmail.com" TargetMode="External"/><Relationship Id="rId126" Type="http://schemas.openxmlformats.org/officeDocument/2006/relationships/hyperlink" Target="mailto:shishgrill@att.net" TargetMode="External"/><Relationship Id="rId168" Type="http://schemas.openxmlformats.org/officeDocument/2006/relationships/hyperlink" Target="mailto:peterscales1@gmail.com" TargetMode="External"/><Relationship Id="rId333" Type="http://schemas.openxmlformats.org/officeDocument/2006/relationships/hyperlink" Target="mailto:rob@towinginsurance.com" TargetMode="External"/><Relationship Id="rId540" Type="http://schemas.openxmlformats.org/officeDocument/2006/relationships/hyperlink" Target="mailto:eric@bullvalleyroadhouse.com" TargetMode="External"/><Relationship Id="rId72" Type="http://schemas.openxmlformats.org/officeDocument/2006/relationships/hyperlink" Target="mailto:g.andresen@me.com" TargetMode="External"/><Relationship Id="rId375" Type="http://schemas.openxmlformats.org/officeDocument/2006/relationships/hyperlink" Target="mailto:jennifer_leung@150pelican.com" TargetMode="External"/><Relationship Id="rId582" Type="http://schemas.openxmlformats.org/officeDocument/2006/relationships/hyperlink" Target="mailto:tacossinaloaberkeley@gmail.com" TargetMode="External"/><Relationship Id="rId638" Type="http://schemas.openxmlformats.org/officeDocument/2006/relationships/hyperlink" Target="mailto:mengs2002@yahoo.com" TargetMode="External"/><Relationship Id="rId3" Type="http://schemas.openxmlformats.org/officeDocument/2006/relationships/hyperlink" Target="http://www.mokacoffee.co/" TargetMode="External"/><Relationship Id="rId235" Type="http://schemas.openxmlformats.org/officeDocument/2006/relationships/hyperlink" Target="mailto:info@amanosf.com" TargetMode="External"/><Relationship Id="rId277" Type="http://schemas.openxmlformats.org/officeDocument/2006/relationships/hyperlink" Target="mailto:yummymojo@gmail.com" TargetMode="External"/><Relationship Id="rId400" Type="http://schemas.openxmlformats.org/officeDocument/2006/relationships/hyperlink" Target="mailto:david@mas.us.com" TargetMode="External"/><Relationship Id="rId442" Type="http://schemas.openxmlformats.org/officeDocument/2006/relationships/hyperlink" Target="mailto:info@marinitas.net" TargetMode="External"/><Relationship Id="rId484" Type="http://schemas.openxmlformats.org/officeDocument/2006/relationships/hyperlink" Target="mailto:hp_pg@peacockgapgolfclub.com" TargetMode="External"/><Relationship Id="rId705" Type="http://schemas.openxmlformats.org/officeDocument/2006/relationships/hyperlink" Target="mailto:robert@chinalivesf.com" TargetMode="External"/><Relationship Id="rId137" Type="http://schemas.openxmlformats.org/officeDocument/2006/relationships/hyperlink" Target="mailto:pacificorestaurante1237@gmail.com" TargetMode="External"/><Relationship Id="rId302" Type="http://schemas.openxmlformats.org/officeDocument/2006/relationships/hyperlink" Target="mailto:alfonso@lapinata6.com" TargetMode="External"/><Relationship Id="rId344" Type="http://schemas.openxmlformats.org/officeDocument/2006/relationships/hyperlink" Target="mailto:manitasom@gmail.com" TargetMode="External"/><Relationship Id="rId691" Type="http://schemas.openxmlformats.org/officeDocument/2006/relationships/hyperlink" Target="mailto:taquerialaskatrinas@gmail" TargetMode="External"/><Relationship Id="rId41" Type="http://schemas.openxmlformats.org/officeDocument/2006/relationships/hyperlink" Target="mailto:brokersukhi@yahoo.com" TargetMode="External"/><Relationship Id="rId83" Type="http://schemas.openxmlformats.org/officeDocument/2006/relationships/hyperlink" Target="mailto:hello@lukeslocal.com" TargetMode="External"/><Relationship Id="rId179" Type="http://schemas.openxmlformats.org/officeDocument/2006/relationships/hyperlink" Target="mailto:info@harmonyrestaurantgroup.com" TargetMode="External"/><Relationship Id="rId386" Type="http://schemas.openxmlformats.org/officeDocument/2006/relationships/hyperlink" Target="mailto:info@themorris-sf.com" TargetMode="External"/><Relationship Id="rId551" Type="http://schemas.openxmlformats.org/officeDocument/2006/relationships/hyperlink" Target="mailto:UNCLEYUATTHEVINEYARD@GMAIL.COM" TargetMode="External"/><Relationship Id="rId593" Type="http://schemas.openxmlformats.org/officeDocument/2006/relationships/hyperlink" Target="mailto:tribuneteam@tribuneoakland.com" TargetMode="External"/><Relationship Id="rId607" Type="http://schemas.openxmlformats.org/officeDocument/2006/relationships/hyperlink" Target="mailto:nina@331fish.com" TargetMode="External"/><Relationship Id="rId649" Type="http://schemas.openxmlformats.org/officeDocument/2006/relationships/hyperlink" Target="mailto:monica@monicaslivermore.com" TargetMode="External"/><Relationship Id="rId190" Type="http://schemas.openxmlformats.org/officeDocument/2006/relationships/hyperlink" Target="mailto:lbarr@sbcglobal.net" TargetMode="External"/><Relationship Id="rId204" Type="http://schemas.openxmlformats.org/officeDocument/2006/relationships/hyperlink" Target="mailto:francesca@alanascafe.com" TargetMode="External"/><Relationship Id="rId246" Type="http://schemas.openxmlformats.org/officeDocument/2006/relationships/hyperlink" Target="mailto:info@chowderspier39.com" TargetMode="External"/><Relationship Id="rId288" Type="http://schemas.openxmlformats.org/officeDocument/2006/relationships/hyperlink" Target="mailto:villacosh99@gmail.com" TargetMode="External"/><Relationship Id="rId411" Type="http://schemas.openxmlformats.org/officeDocument/2006/relationships/hyperlink" Target="mailto:taqelgordo@gmail.com" TargetMode="External"/><Relationship Id="rId453" Type="http://schemas.openxmlformats.org/officeDocument/2006/relationships/hyperlink" Target="mailto:verawaller@yanksing.com" TargetMode="External"/><Relationship Id="rId509" Type="http://schemas.openxmlformats.org/officeDocument/2006/relationships/hyperlink" Target="mailto:tiffany@realrestaurants.com" TargetMode="External"/><Relationship Id="rId660" Type="http://schemas.openxmlformats.org/officeDocument/2006/relationships/hyperlink" Target="mailto:asianbox@info.com" TargetMode="External"/><Relationship Id="rId106" Type="http://schemas.openxmlformats.org/officeDocument/2006/relationships/hyperlink" Target="mailto:justdiamonds@aol.com" TargetMode="External"/><Relationship Id="rId313" Type="http://schemas.openxmlformats.org/officeDocument/2006/relationships/hyperlink" Target="mailto:tacossinaloaberkeley@gmail.com" TargetMode="External"/><Relationship Id="rId495" Type="http://schemas.openxmlformats.org/officeDocument/2006/relationships/hyperlink" Target="mailto:idreamofaruba@gmail.com" TargetMode="External"/><Relationship Id="rId716" Type="http://schemas.openxmlformats.org/officeDocument/2006/relationships/hyperlink" Target="mailto:kirsten@acre-restaurant.com" TargetMode="External"/><Relationship Id="rId10" Type="http://schemas.openxmlformats.org/officeDocument/2006/relationships/hyperlink" Target="http://www.bocapizzeria.com/" TargetMode="External"/><Relationship Id="rId52" Type="http://schemas.openxmlformats.org/officeDocument/2006/relationships/hyperlink" Target="mailto:email@forgeintheforest.com" TargetMode="External"/><Relationship Id="rId94" Type="http://schemas.openxmlformats.org/officeDocument/2006/relationships/hyperlink" Target="mailto:info@lolindasf.com" TargetMode="External"/><Relationship Id="rId148" Type="http://schemas.openxmlformats.org/officeDocument/2006/relationships/hyperlink" Target="mailto:delgadillo.maria90@gmail.com" TargetMode="External"/><Relationship Id="rId355" Type="http://schemas.openxmlformats.org/officeDocument/2006/relationships/hyperlink" Target="mailto:aztecamarketsanrafael@gmail.com" TargetMode="External"/><Relationship Id="rId397" Type="http://schemas.openxmlformats.org/officeDocument/2006/relationships/hyperlink" Target="mailto:denise@mcn.org" TargetMode="External"/><Relationship Id="rId520" Type="http://schemas.openxmlformats.org/officeDocument/2006/relationships/hyperlink" Target="mailto:izateliyan@gmail.com" TargetMode="External"/><Relationship Id="rId562" Type="http://schemas.openxmlformats.org/officeDocument/2006/relationships/hyperlink" Target="mailto:yum@moonscoops.com" TargetMode="External"/><Relationship Id="rId618" Type="http://schemas.openxmlformats.org/officeDocument/2006/relationships/hyperlink" Target="mailto:derekdeez@yahoo.com" TargetMode="External"/><Relationship Id="rId215" Type="http://schemas.openxmlformats.org/officeDocument/2006/relationships/hyperlink" Target="mailto:nelson.alcantara@marinsanitary.com" TargetMode="External"/><Relationship Id="rId257" Type="http://schemas.openxmlformats.org/officeDocument/2006/relationships/hyperlink" Target="mailto:divinobrentwood@gmail.com" TargetMode="External"/><Relationship Id="rId422" Type="http://schemas.openxmlformats.org/officeDocument/2006/relationships/hyperlink" Target="mailto:tishia@merlobiz.com" TargetMode="External"/><Relationship Id="rId464" Type="http://schemas.openxmlformats.org/officeDocument/2006/relationships/hyperlink" Target="mailto:delfierro@coastside.net" TargetMode="External"/><Relationship Id="rId299" Type="http://schemas.openxmlformats.org/officeDocument/2006/relationships/hyperlink" Target="mailto:accounts@backofthehouseinc.com" TargetMode="External"/><Relationship Id="rId727" Type="http://schemas.openxmlformats.org/officeDocument/2006/relationships/hyperlink" Target="mailto:gm_twc@tomatina.com" TargetMode="External"/><Relationship Id="rId63" Type="http://schemas.openxmlformats.org/officeDocument/2006/relationships/hyperlink" Target="mailto:armandononi@hotmail.com" TargetMode="External"/><Relationship Id="rId159" Type="http://schemas.openxmlformats.org/officeDocument/2006/relationships/hyperlink" Target="mailto:jmend1017@aol.com" TargetMode="External"/><Relationship Id="rId366" Type="http://schemas.openxmlformats.org/officeDocument/2006/relationships/hyperlink" Target="mailto:ajnoblerot@mac.com" TargetMode="External"/><Relationship Id="rId573" Type="http://schemas.openxmlformats.org/officeDocument/2006/relationships/hyperlink" Target="mailto:tmad123@teriyakimadness.com" TargetMode="External"/><Relationship Id="rId226" Type="http://schemas.openxmlformats.org/officeDocument/2006/relationships/hyperlink" Target="mailto:rpaez@avbc.com" TargetMode="External"/><Relationship Id="rId433" Type="http://schemas.openxmlformats.org/officeDocument/2006/relationships/hyperlink" Target="mailto:cherylsdiner85@gmail.com" TargetMode="External"/><Relationship Id="rId640" Type="http://schemas.openxmlformats.org/officeDocument/2006/relationships/hyperlink" Target="mailto:dan@parkcafegroup.com" TargetMode="External"/><Relationship Id="rId738" Type="http://schemas.openxmlformats.org/officeDocument/2006/relationships/hyperlink" Target="mailto:laginestra@sbcglobal.net" TargetMode="External"/><Relationship Id="rId74" Type="http://schemas.openxmlformats.org/officeDocument/2006/relationships/hyperlink" Target="mailto:maria3arteaga@gmail.com" TargetMode="External"/><Relationship Id="rId377" Type="http://schemas.openxmlformats.org/officeDocument/2006/relationships/hyperlink" Target="mailto:jennifer_leung@150pelican.com" TargetMode="External"/><Relationship Id="rId500" Type="http://schemas.openxmlformats.org/officeDocument/2006/relationships/hyperlink" Target="mailto:arsen002@aol.com" TargetMode="External"/><Relationship Id="rId584" Type="http://schemas.openxmlformats.org/officeDocument/2006/relationships/hyperlink" Target="mailto:tmad031@teriyakimadness.com" TargetMode="External"/><Relationship Id="rId5" Type="http://schemas.openxmlformats.org/officeDocument/2006/relationships/hyperlink" Target="http://www.depotbookstore.com/" TargetMode="External"/><Relationship Id="rId237" Type="http://schemas.openxmlformats.org/officeDocument/2006/relationships/hyperlink" Target="mailto:MGHIR@COMCAST.NET" TargetMode="External"/><Relationship Id="rId444" Type="http://schemas.openxmlformats.org/officeDocument/2006/relationships/hyperlink" Target="mailto:gm@poggiotrattoria.com" TargetMode="External"/><Relationship Id="rId651" Type="http://schemas.openxmlformats.org/officeDocument/2006/relationships/hyperlink" Target="mailto:iselararias@aol.com" TargetMode="External"/><Relationship Id="rId290" Type="http://schemas.openxmlformats.org/officeDocument/2006/relationships/hyperlink" Target="mailto:villacosh99@gmail.com" TargetMode="External"/><Relationship Id="rId304" Type="http://schemas.openxmlformats.org/officeDocument/2006/relationships/hyperlink" Target="mailto:bhandalgurdeep@yahoo.com" TargetMode="External"/><Relationship Id="rId388" Type="http://schemas.openxmlformats.org/officeDocument/2006/relationships/hyperlink" Target="mailto:javier@poquitomas.com" TargetMode="External"/><Relationship Id="rId511" Type="http://schemas.openxmlformats.org/officeDocument/2006/relationships/hyperlink" Target="mailto:sipdominici@yahoo.com" TargetMode="External"/><Relationship Id="rId609" Type="http://schemas.openxmlformats.org/officeDocument/2006/relationships/hyperlink" Target="mailto:nina@331fish.com" TargetMode="External"/><Relationship Id="rId85" Type="http://schemas.openxmlformats.org/officeDocument/2006/relationships/hyperlink" Target="mailto:peterschumacher2@gmail.com" TargetMode="External"/><Relationship Id="rId150" Type="http://schemas.openxmlformats.org/officeDocument/2006/relationships/hyperlink" Target="mailto:ajnoblerot@mac.com" TargetMode="External"/><Relationship Id="rId595" Type="http://schemas.openxmlformats.org/officeDocument/2006/relationships/hyperlink" Target="mailto:ycarrasco@sanleandro.org" TargetMode="External"/><Relationship Id="rId248" Type="http://schemas.openxmlformats.org/officeDocument/2006/relationships/hyperlink" Target="mailto:rodrigo@backofthehouseinc.com" TargetMode="External"/><Relationship Id="rId455" Type="http://schemas.openxmlformats.org/officeDocument/2006/relationships/hyperlink" Target="mailto:barrelhouse2000@gmail.com" TargetMode="External"/><Relationship Id="rId662" Type="http://schemas.openxmlformats.org/officeDocument/2006/relationships/hyperlink" Target="mailto:yuri@lacostanerarestaurant.com" TargetMode="External"/><Relationship Id="rId12" Type="http://schemas.openxmlformats.org/officeDocument/2006/relationships/hyperlink" Target="http://www.bocapizzeria.com/contact_cm.html" TargetMode="External"/><Relationship Id="rId108" Type="http://schemas.openxmlformats.org/officeDocument/2006/relationships/hyperlink" Target="mailto:gannonpatrick@deanza.edu" TargetMode="External"/><Relationship Id="rId315" Type="http://schemas.openxmlformats.org/officeDocument/2006/relationships/hyperlink" Target="mailto:tacossinaloaberkeley@gmail.com" TargetMode="External"/><Relationship Id="rId522" Type="http://schemas.openxmlformats.org/officeDocument/2006/relationships/hyperlink" Target="mailto:terzosf@niceventures.com" TargetMode="External"/><Relationship Id="rId96" Type="http://schemas.openxmlformats.org/officeDocument/2006/relationships/hyperlink" Target="mailto:marina@delarosasf.com" TargetMode="External"/><Relationship Id="rId161" Type="http://schemas.openxmlformats.org/officeDocument/2006/relationships/hyperlink" Target="mailto:sbirkedal@aol.com" TargetMode="External"/><Relationship Id="rId399" Type="http://schemas.openxmlformats.org/officeDocument/2006/relationships/hyperlink" Target="mailto:info@stookeysclubmoderne.com" TargetMode="External"/><Relationship Id="rId259" Type="http://schemas.openxmlformats.org/officeDocument/2006/relationships/hyperlink" Target="mailto:el2deoros@gmail.com" TargetMode="External"/><Relationship Id="rId466" Type="http://schemas.openxmlformats.org/officeDocument/2006/relationships/hyperlink" Target="mailto:harry@vintagewinemerchants.com" TargetMode="External"/><Relationship Id="rId673" Type="http://schemas.openxmlformats.org/officeDocument/2006/relationships/hyperlink" Target="mailto:lunchboxsonomacounty@gmail.com" TargetMode="External"/><Relationship Id="rId23" Type="http://schemas.openxmlformats.org/officeDocument/2006/relationships/hyperlink" Target="mailto:michael@calistogainn.com" TargetMode="External"/><Relationship Id="rId119" Type="http://schemas.openxmlformats.org/officeDocument/2006/relationships/hyperlink" Target="mailto:msbains@rajasweets.com" TargetMode="External"/><Relationship Id="rId326" Type="http://schemas.openxmlformats.org/officeDocument/2006/relationships/hyperlink" Target="mailto:accountspayable@floorcrafthome.com" TargetMode="External"/><Relationship Id="rId533" Type="http://schemas.openxmlformats.org/officeDocument/2006/relationships/hyperlink" Target="mailto:harjindersingh4414@yahoo.com" TargetMode="External"/><Relationship Id="rId740" Type="http://schemas.openxmlformats.org/officeDocument/2006/relationships/hyperlink" Target="mailto:phannavongm@gmail.com" TargetMode="External"/><Relationship Id="rId172" Type="http://schemas.openxmlformats.org/officeDocument/2006/relationships/hyperlink" Target="mailto:info@berettasf.com" TargetMode="External"/><Relationship Id="rId477" Type="http://schemas.openxmlformats.org/officeDocument/2006/relationships/hyperlink" Target="mailto:petes881@gmail.com" TargetMode="External"/><Relationship Id="rId600" Type="http://schemas.openxmlformats.org/officeDocument/2006/relationships/hyperlink" Target="mailto:kpiano@themagnolia.com" TargetMode="External"/><Relationship Id="rId684" Type="http://schemas.openxmlformats.org/officeDocument/2006/relationships/hyperlink" Target="mailto:renjie.wang@specialtys.com" TargetMode="External"/><Relationship Id="rId337" Type="http://schemas.openxmlformats.org/officeDocument/2006/relationships/hyperlink" Target="mailto:info@yanksing.com" TargetMode="External"/><Relationship Id="rId34" Type="http://schemas.openxmlformats.org/officeDocument/2006/relationships/hyperlink" Target="mailto:vince@santafeimporters.com" TargetMode="External"/><Relationship Id="rId544" Type="http://schemas.openxmlformats.org/officeDocument/2006/relationships/hyperlink" Target="mailto:natasha@barrelheadsf.com" TargetMode="External"/><Relationship Id="rId183" Type="http://schemas.openxmlformats.org/officeDocument/2006/relationships/hyperlink" Target="mailto:elias@ninonmotors.com" TargetMode="External"/><Relationship Id="rId390" Type="http://schemas.openxmlformats.org/officeDocument/2006/relationships/hyperlink" Target="mailto:p.gonzalez@lasmontanas.com" TargetMode="External"/><Relationship Id="rId404" Type="http://schemas.openxmlformats.org/officeDocument/2006/relationships/hyperlink" Target="mailto:phoodfight@gmail.com" TargetMode="External"/><Relationship Id="rId611" Type="http://schemas.openxmlformats.org/officeDocument/2006/relationships/hyperlink" Target="mailto:beso@fe.fake" TargetMode="External"/><Relationship Id="rId250" Type="http://schemas.openxmlformats.org/officeDocument/2006/relationships/hyperlink" Target="mailto:info@originalsamshofbrau.com" TargetMode="External"/><Relationship Id="rId488" Type="http://schemas.openxmlformats.org/officeDocument/2006/relationships/hyperlink" Target="mailto:fmasarweh+2@gmail.com" TargetMode="External"/><Relationship Id="rId695" Type="http://schemas.openxmlformats.org/officeDocument/2006/relationships/hyperlink" Target="mailto:msun@quinceandcosf.com" TargetMode="External"/><Relationship Id="rId709" Type="http://schemas.openxmlformats.org/officeDocument/2006/relationships/hyperlink" Target="mailto:admin@wtfrestaurantbargrill.com" TargetMode="External"/><Relationship Id="rId45" Type="http://schemas.openxmlformats.org/officeDocument/2006/relationships/hyperlink" Target="mailto:insalatasrestaurant@comcast.net" TargetMode="External"/><Relationship Id="rId110" Type="http://schemas.openxmlformats.org/officeDocument/2006/relationships/hyperlink" Target="mailto:fcl@hospitalitysanfrancisco.com" TargetMode="External"/><Relationship Id="rId348" Type="http://schemas.openxmlformats.org/officeDocument/2006/relationships/hyperlink" Target="mailto:alfonso@lapinata6.com" TargetMode="External"/><Relationship Id="rId555" Type="http://schemas.openxmlformats.org/officeDocument/2006/relationships/hyperlink" Target="mailto:brett@coricapark.com" TargetMode="External"/><Relationship Id="rId194" Type="http://schemas.openxmlformats.org/officeDocument/2006/relationships/hyperlink" Target="mailto:vince@santafeimporters.com" TargetMode="External"/><Relationship Id="rId208" Type="http://schemas.openxmlformats.org/officeDocument/2006/relationships/hyperlink" Target="mailto:rogeliodharo@gmail.com" TargetMode="External"/><Relationship Id="rId415" Type="http://schemas.openxmlformats.org/officeDocument/2006/relationships/hyperlink" Target="mailto:elcamarondesinaloa@gmail.com" TargetMode="External"/><Relationship Id="rId622" Type="http://schemas.openxmlformats.org/officeDocument/2006/relationships/hyperlink" Target="mailto:info@grossmanssr.com" TargetMode="External"/><Relationship Id="rId261" Type="http://schemas.openxmlformats.org/officeDocument/2006/relationships/hyperlink" Target="mailto:thetridentsausalito@gmail.com" TargetMode="External"/><Relationship Id="rId499" Type="http://schemas.openxmlformats.org/officeDocument/2006/relationships/hyperlink" Target="mailto:arsen002@aol.com" TargetMode="External"/><Relationship Id="rId56" Type="http://schemas.openxmlformats.org/officeDocument/2006/relationships/hyperlink" Target="mailto:janet.clyde@gmail.com" TargetMode="External"/><Relationship Id="rId359" Type="http://schemas.openxmlformats.org/officeDocument/2006/relationships/hyperlink" Target="mailto:victor@solfoodrestaurant.com" TargetMode="External"/><Relationship Id="rId566" Type="http://schemas.openxmlformats.org/officeDocument/2006/relationships/hyperlink" Target="mailto:jim@rioadobe.com" TargetMode="External"/><Relationship Id="rId121" Type="http://schemas.openxmlformats.org/officeDocument/2006/relationships/hyperlink" Target="mailto:veronica.vs.vs@gmail.com" TargetMode="External"/><Relationship Id="rId219" Type="http://schemas.openxmlformats.org/officeDocument/2006/relationships/hyperlink" Target="mailto:info@skipsmusic.com" TargetMode="External"/><Relationship Id="rId426" Type="http://schemas.openxmlformats.org/officeDocument/2006/relationships/hyperlink" Target="mailto:candyheaven.business@gmail.com" TargetMode="External"/><Relationship Id="rId633" Type="http://schemas.openxmlformats.org/officeDocument/2006/relationships/hyperlink" Target="mailto:polymac@gmail.com" TargetMode="External"/><Relationship Id="rId67" Type="http://schemas.openxmlformats.org/officeDocument/2006/relationships/hyperlink" Target="mailto:roadsidebbq@yahoo.com" TargetMode="External"/><Relationship Id="rId272" Type="http://schemas.openxmlformats.org/officeDocument/2006/relationships/hyperlink" Target="mailto:markedwardsbiz@gmail.com" TargetMode="External"/><Relationship Id="rId577" Type="http://schemas.openxmlformats.org/officeDocument/2006/relationships/hyperlink" Target="mailto:e201tartinebakery@bill.com" TargetMode="External"/><Relationship Id="rId700" Type="http://schemas.openxmlformats.org/officeDocument/2006/relationships/hyperlink" Target="mailto:thebuenavista@comcast.net" TargetMode="External"/><Relationship Id="rId132" Type="http://schemas.openxmlformats.org/officeDocument/2006/relationships/hyperlink" Target="mailto:robert@magnoliaparkkitchen.com" TargetMode="External"/><Relationship Id="rId437" Type="http://schemas.openxmlformats.org/officeDocument/2006/relationships/hyperlink" Target="mailto:SHERGILLSATINDER4@GMAIL.COM" TargetMode="External"/><Relationship Id="rId644" Type="http://schemas.openxmlformats.org/officeDocument/2006/relationships/hyperlink" Target="mailto:denis.country.kitchen@gmail.com" TargetMode="External"/><Relationship Id="rId283" Type="http://schemas.openxmlformats.org/officeDocument/2006/relationships/hyperlink" Target="mailto:lc.javahut@gmail.com" TargetMode="External"/><Relationship Id="rId490" Type="http://schemas.openxmlformats.org/officeDocument/2006/relationships/hyperlink" Target="mailto:fmasarweh+2@gmail.com" TargetMode="External"/><Relationship Id="rId504" Type="http://schemas.openxmlformats.org/officeDocument/2006/relationships/hyperlink" Target="mailto:jennie@slaterandassoc.net" TargetMode="External"/><Relationship Id="rId711" Type="http://schemas.openxmlformats.org/officeDocument/2006/relationships/hyperlink" Target="mailto:admin@wtfrestaurantbargrill.com" TargetMode="External"/><Relationship Id="rId78" Type="http://schemas.openxmlformats.org/officeDocument/2006/relationships/hyperlink" Target="mailto:arsen002@aol.com" TargetMode="External"/><Relationship Id="rId143" Type="http://schemas.openxmlformats.org/officeDocument/2006/relationships/hyperlink" Target="mailto:imperialliq@yahoo.com" TargetMode="External"/><Relationship Id="rId350" Type="http://schemas.openxmlformats.org/officeDocument/2006/relationships/hyperlink" Target="mailto:karina@lapinata1.com" TargetMode="External"/><Relationship Id="rId588" Type="http://schemas.openxmlformats.org/officeDocument/2006/relationships/hyperlink" Target="mailto:natali7@comcast.net" TargetMode="External"/><Relationship Id="rId9" Type="http://schemas.openxmlformats.org/officeDocument/2006/relationships/hyperlink" Target="http://www.barbocce.com/" TargetMode="External"/><Relationship Id="rId210" Type="http://schemas.openxmlformats.org/officeDocument/2006/relationships/hyperlink" Target="mailto:payables@cmungle.com" TargetMode="External"/><Relationship Id="rId448" Type="http://schemas.openxmlformats.org/officeDocument/2006/relationships/hyperlink" Target="mailto:nelson@arteagas.com" TargetMode="External"/><Relationship Id="rId655" Type="http://schemas.openxmlformats.org/officeDocument/2006/relationships/hyperlink" Target="mailto:jesse@niceventures.com" TargetMode="External"/><Relationship Id="rId294" Type="http://schemas.openxmlformats.org/officeDocument/2006/relationships/hyperlink" Target="mailto:thebirdsanfrancisco@invoice.plateiq.com" TargetMode="External"/><Relationship Id="rId308" Type="http://schemas.openxmlformats.org/officeDocument/2006/relationships/hyperlink" Target="mailto:ziofraedos@yahoo.com" TargetMode="External"/><Relationship Id="rId515" Type="http://schemas.openxmlformats.org/officeDocument/2006/relationships/hyperlink" Target="mailto:stargrocery@sbcglobal.net" TargetMode="External"/><Relationship Id="rId722" Type="http://schemas.openxmlformats.org/officeDocument/2006/relationships/hyperlink" Target="mailto:Rogelio_Jacinto@tomatina.com" TargetMode="External"/><Relationship Id="rId89" Type="http://schemas.openxmlformats.org/officeDocument/2006/relationships/hyperlink" Target="mailto:info@themorris-sf.com" TargetMode="External"/><Relationship Id="rId154" Type="http://schemas.openxmlformats.org/officeDocument/2006/relationships/hyperlink" Target="mailto:millilee@aol.com" TargetMode="External"/><Relationship Id="rId361" Type="http://schemas.openxmlformats.org/officeDocument/2006/relationships/hyperlink" Target="mailto:daniel.indelicato@gmail.com" TargetMode="External"/><Relationship Id="rId599" Type="http://schemas.openxmlformats.org/officeDocument/2006/relationships/hyperlink" Target="mailto:tonyonline5@yahoo.com" TargetMode="External"/><Relationship Id="rId459" Type="http://schemas.openxmlformats.org/officeDocument/2006/relationships/hyperlink" Target="mailto:eat@invernessparkmarket.com" TargetMode="External"/><Relationship Id="rId666" Type="http://schemas.openxmlformats.org/officeDocument/2006/relationships/hyperlink" Target="mailto:info@villagerotisserie.com" TargetMode="External"/><Relationship Id="rId16" Type="http://schemas.openxmlformats.org/officeDocument/2006/relationships/hyperlink" Target="http://www.saltstonekenwood.com/" TargetMode="External"/><Relationship Id="rId221" Type="http://schemas.openxmlformats.org/officeDocument/2006/relationships/hyperlink" Target="mailto:kdurden@spplus.com" TargetMode="External"/><Relationship Id="rId319" Type="http://schemas.openxmlformats.org/officeDocument/2006/relationships/hyperlink" Target="mailto:mlmanji@gmail.com" TargetMode="External"/><Relationship Id="rId526" Type="http://schemas.openxmlformats.org/officeDocument/2006/relationships/hyperlink" Target="mailto:info@birdandthebottle.com" TargetMode="External"/><Relationship Id="rId733" Type="http://schemas.openxmlformats.org/officeDocument/2006/relationships/hyperlink" Target="mailto:cynthiarosefarina@gmail.com" TargetMode="External"/><Relationship Id="rId165" Type="http://schemas.openxmlformats.org/officeDocument/2006/relationships/hyperlink" Target="mailto:anthony@whitechapelsf.com" TargetMode="External"/><Relationship Id="rId372" Type="http://schemas.openxmlformats.org/officeDocument/2006/relationships/hyperlink" Target="mailto:albertoyanez1973@gmail.com" TargetMode="External"/><Relationship Id="rId677" Type="http://schemas.openxmlformats.org/officeDocument/2006/relationships/hyperlink" Target="mailto:eric@rulli.com" TargetMode="External"/><Relationship Id="rId232" Type="http://schemas.openxmlformats.org/officeDocument/2006/relationships/hyperlink" Target="mailto:zaytoon.mediterranean@gmail.com" TargetMode="External"/><Relationship Id="rId27" Type="http://schemas.openxmlformats.org/officeDocument/2006/relationships/hyperlink" Target="mailto:saji@kellsirish.com" TargetMode="External"/><Relationship Id="rId537" Type="http://schemas.openxmlformats.org/officeDocument/2006/relationships/hyperlink" Target="mailto:shishgrill@att.net" TargetMode="External"/><Relationship Id="rId744" Type="http://schemas.openxmlformats.org/officeDocument/2006/relationships/printerSettings" Target="../printerSettings/printerSettings3.bin"/><Relationship Id="rId80" Type="http://schemas.openxmlformats.org/officeDocument/2006/relationships/hyperlink" Target="mailto:ted@steinsbeergarden.com" TargetMode="External"/><Relationship Id="rId176" Type="http://schemas.openxmlformats.org/officeDocument/2006/relationships/hyperlink" Target="mailto:brombergerville@hotmail.com" TargetMode="External"/><Relationship Id="rId383" Type="http://schemas.openxmlformats.org/officeDocument/2006/relationships/hyperlink" Target="mailto:mail4navsingh.nps@gmail.com" TargetMode="External"/><Relationship Id="rId590" Type="http://schemas.openxmlformats.org/officeDocument/2006/relationships/hyperlink" Target="mailto:natali7@comcast.net" TargetMode="External"/><Relationship Id="rId604" Type="http://schemas.openxmlformats.org/officeDocument/2006/relationships/hyperlink" Target="mailto:info@montismv.com" TargetMode="External"/><Relationship Id="rId243" Type="http://schemas.openxmlformats.org/officeDocument/2006/relationships/hyperlink" Target="mailto:cheungandy8@gmail.com" TargetMode="External"/><Relationship Id="rId450" Type="http://schemas.openxmlformats.org/officeDocument/2006/relationships/hyperlink" Target="mailto:alottasdeli@aol.com" TargetMode="External"/><Relationship Id="rId688" Type="http://schemas.openxmlformats.org/officeDocument/2006/relationships/hyperlink" Target="mailto:fera@aryarestaurant.com" TargetMode="External"/><Relationship Id="rId38" Type="http://schemas.openxmlformats.org/officeDocument/2006/relationships/hyperlink" Target="mailto:edward.v88@hotmail.com" TargetMode="External"/><Relationship Id="rId103" Type="http://schemas.openxmlformats.org/officeDocument/2006/relationships/hyperlink" Target="mailto:rodrigo@backofthehouseinc.com" TargetMode="External"/><Relationship Id="rId310" Type="http://schemas.openxmlformats.org/officeDocument/2006/relationships/hyperlink" Target="mailto:gleneaglesinsf@gmail.com" TargetMode="External"/><Relationship Id="rId548" Type="http://schemas.openxmlformats.org/officeDocument/2006/relationships/hyperlink" Target="mailto:mark@thechieftain.com" TargetMode="External"/><Relationship Id="rId91" Type="http://schemas.openxmlformats.org/officeDocument/2006/relationships/hyperlink" Target="mailto:info@thebirdsf.com" TargetMode="External"/><Relationship Id="rId187" Type="http://schemas.openxmlformats.org/officeDocument/2006/relationships/hyperlink" Target="mailto:peterschumacher2@gmail.com" TargetMode="External"/><Relationship Id="rId394" Type="http://schemas.openxmlformats.org/officeDocument/2006/relationships/hyperlink" Target="mailto:p.gonzalez@lasmontanas.com" TargetMode="External"/><Relationship Id="rId408" Type="http://schemas.openxmlformats.org/officeDocument/2006/relationships/hyperlink" Target="mailto:accounting@lukeslocal.com" TargetMode="External"/><Relationship Id="rId615" Type="http://schemas.openxmlformats.org/officeDocument/2006/relationships/hyperlink" Target="mailto:info@barbravas.com" TargetMode="External"/><Relationship Id="rId254" Type="http://schemas.openxmlformats.org/officeDocument/2006/relationships/hyperlink" Target="mailto:tmad050@teriyakimadness.com" TargetMode="External"/><Relationship Id="rId699" Type="http://schemas.openxmlformats.org/officeDocument/2006/relationships/hyperlink" Target="mailto:chef_chui@yahoo.com" TargetMode="External"/><Relationship Id="rId49" Type="http://schemas.openxmlformats.org/officeDocument/2006/relationships/hyperlink" Target="mailto:e1030@aol.com" TargetMode="External"/><Relationship Id="rId114" Type="http://schemas.openxmlformats.org/officeDocument/2006/relationships/hyperlink" Target="mailto:lborrego@themagnolia.com" TargetMode="External"/><Relationship Id="rId461" Type="http://schemas.openxmlformats.org/officeDocument/2006/relationships/hyperlink" Target="mailto:sheryl@stationhousecafe.com" TargetMode="External"/><Relationship Id="rId559" Type="http://schemas.openxmlformats.org/officeDocument/2006/relationships/hyperlink" Target="mailto:cevans@leftbank.com" TargetMode="External"/><Relationship Id="rId198" Type="http://schemas.openxmlformats.org/officeDocument/2006/relationships/hyperlink" Target="mailto:rodrigo@backofthehouseinc.com" TargetMode="External"/><Relationship Id="rId321" Type="http://schemas.openxmlformats.org/officeDocument/2006/relationships/hyperlink" Target="mailto:phanhuynh@fhda.edu" TargetMode="External"/><Relationship Id="rId419" Type="http://schemas.openxmlformats.org/officeDocument/2006/relationships/hyperlink" Target="mailto:info@ernestsf.com" TargetMode="External"/><Relationship Id="rId626" Type="http://schemas.openxmlformats.org/officeDocument/2006/relationships/hyperlink" Target="mailto:j.seabrook@mac.com" TargetMode="External"/><Relationship Id="rId265" Type="http://schemas.openxmlformats.org/officeDocument/2006/relationships/hyperlink" Target="mailto:laestrell22@aol.com" TargetMode="External"/><Relationship Id="rId472" Type="http://schemas.openxmlformats.org/officeDocument/2006/relationships/hyperlink" Target="mailto:smakras@msn.com" TargetMode="External"/><Relationship Id="rId125" Type="http://schemas.openxmlformats.org/officeDocument/2006/relationships/hyperlink" Target="mailto:aql761@hotmail.com" TargetMode="External"/><Relationship Id="rId332" Type="http://schemas.openxmlformats.org/officeDocument/2006/relationships/hyperlink" Target="mailto:rob@towinginsurance.com" TargetMode="External"/><Relationship Id="rId637" Type="http://schemas.openxmlformats.org/officeDocument/2006/relationships/hyperlink" Target="mailto:mengs2002@yahoo.com" TargetMode="External"/><Relationship Id="rId276" Type="http://schemas.openxmlformats.org/officeDocument/2006/relationships/hyperlink" Target="mailto:yummymojo@gmail.com" TargetMode="External"/><Relationship Id="rId483" Type="http://schemas.openxmlformats.org/officeDocument/2006/relationships/hyperlink" Target="mailto:hp_pg@peacockgapgolfclub.com" TargetMode="External"/><Relationship Id="rId690" Type="http://schemas.openxmlformats.org/officeDocument/2006/relationships/hyperlink" Target="mailto:ecapitan1198@yahoo.com" TargetMode="External"/><Relationship Id="rId704" Type="http://schemas.openxmlformats.org/officeDocument/2006/relationships/hyperlink" Target="mailto:evergreenproduce2@gmail.com" TargetMode="External"/><Relationship Id="rId40" Type="http://schemas.openxmlformats.org/officeDocument/2006/relationships/hyperlink" Target="mailto:paulpaul12344@yahoo.com" TargetMode="External"/><Relationship Id="rId136" Type="http://schemas.openxmlformats.org/officeDocument/2006/relationships/hyperlink" Target="mailto:pablo@fattoriaemare.com" TargetMode="External"/><Relationship Id="rId343" Type="http://schemas.openxmlformats.org/officeDocument/2006/relationships/hyperlink" Target="mailto:manitasom@gmail.com" TargetMode="External"/><Relationship Id="rId550" Type="http://schemas.openxmlformats.org/officeDocument/2006/relationships/hyperlink" Target="mailto:UNCLEYUATTHEVINEYARD@GMAIL.COM" TargetMode="External"/><Relationship Id="rId203" Type="http://schemas.openxmlformats.org/officeDocument/2006/relationships/hyperlink" Target="mailto:mexquitechris@gmail.com" TargetMode="External"/><Relationship Id="rId648" Type="http://schemas.openxmlformats.org/officeDocument/2006/relationships/hyperlink" Target="mailto:monica@monicaslivermore.com" TargetMode="External"/><Relationship Id="rId287" Type="http://schemas.openxmlformats.org/officeDocument/2006/relationships/hyperlink" Target="mailto:lc.javahut@gmail.com" TargetMode="External"/><Relationship Id="rId410" Type="http://schemas.openxmlformats.org/officeDocument/2006/relationships/hyperlink" Target="mailto:scott@lukeslocal.com" TargetMode="External"/><Relationship Id="rId494" Type="http://schemas.openxmlformats.org/officeDocument/2006/relationships/hyperlink" Target="mailto:radu@theoldwagonsaloon.com" TargetMode="External"/><Relationship Id="rId508" Type="http://schemas.openxmlformats.org/officeDocument/2006/relationships/hyperlink" Target="mailto:abelvasquez824@icloud.com" TargetMode="External"/><Relationship Id="rId715" Type="http://schemas.openxmlformats.org/officeDocument/2006/relationships/hyperlink" Target="mailto:darren@chinalivesf.com" TargetMode="External"/><Relationship Id="rId147" Type="http://schemas.openxmlformats.org/officeDocument/2006/relationships/hyperlink" Target="mailto:cachogti@gmail.com" TargetMode="External"/><Relationship Id="rId354" Type="http://schemas.openxmlformats.org/officeDocument/2006/relationships/hyperlink" Target="mailto:aztecamarketsanrafael@gmail.com" TargetMode="External"/><Relationship Id="rId51" Type="http://schemas.openxmlformats.org/officeDocument/2006/relationships/hyperlink" Target="mailto:roberto06750@yahoo.com" TargetMode="External"/><Relationship Id="rId561" Type="http://schemas.openxmlformats.org/officeDocument/2006/relationships/hyperlink" Target="mailto:yum@moonscoops.com" TargetMode="External"/><Relationship Id="rId659" Type="http://schemas.openxmlformats.org/officeDocument/2006/relationships/hyperlink" Target="mailto:asianbox@info.com" TargetMode="External"/><Relationship Id="rId214" Type="http://schemas.openxmlformats.org/officeDocument/2006/relationships/hyperlink" Target="mailto:info@thepanzon.com" TargetMode="External"/><Relationship Id="rId298" Type="http://schemas.openxmlformats.org/officeDocument/2006/relationships/hyperlink" Target="mailto:delarosabishopranch@invoice.plateiq.com" TargetMode="External"/><Relationship Id="rId421" Type="http://schemas.openxmlformats.org/officeDocument/2006/relationships/hyperlink" Target="mailto:info@ernestsf.com" TargetMode="External"/><Relationship Id="rId519" Type="http://schemas.openxmlformats.org/officeDocument/2006/relationships/hyperlink" Target="mailto:khenging8@gmail.com" TargetMode="External"/><Relationship Id="rId158" Type="http://schemas.openxmlformats.org/officeDocument/2006/relationships/hyperlink" Target="mailto:elias499@sbcglogal.net" TargetMode="External"/><Relationship Id="rId726" Type="http://schemas.openxmlformats.org/officeDocument/2006/relationships/hyperlink" Target="mailto:starks@centralbooks.ne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upplies@performancepos.com" TargetMode="External"/><Relationship Id="rId13" Type="http://schemas.openxmlformats.org/officeDocument/2006/relationships/hyperlink" Target="mailto:lgalang@performancepos.com" TargetMode="External"/><Relationship Id="rId3" Type="http://schemas.openxmlformats.org/officeDocument/2006/relationships/hyperlink" Target="mailto:richalden@performancepos.com" TargetMode="External"/><Relationship Id="rId7" Type="http://schemas.openxmlformats.org/officeDocument/2006/relationships/hyperlink" Target="mailto:support@performancepos.com" TargetMode="External"/><Relationship Id="rId12" Type="http://schemas.openxmlformats.org/officeDocument/2006/relationships/hyperlink" Target="mailto:yann@performancepos.com" TargetMode="External"/><Relationship Id="rId2" Type="http://schemas.openxmlformats.org/officeDocument/2006/relationships/hyperlink" Target="mailto:dougkelly@performancepos.com" TargetMode="External"/><Relationship Id="rId16" Type="http://schemas.openxmlformats.org/officeDocument/2006/relationships/printerSettings" Target="../printerSettings/printerSettings5.bin"/><Relationship Id="rId1" Type="http://schemas.openxmlformats.org/officeDocument/2006/relationships/hyperlink" Target="mailto:robfreaney@performancepos.com" TargetMode="External"/><Relationship Id="rId6" Type="http://schemas.openxmlformats.org/officeDocument/2006/relationships/hyperlink" Target="mailto:steve@performancepos.com" TargetMode="External"/><Relationship Id="rId11" Type="http://schemas.openxmlformats.org/officeDocument/2006/relationships/hyperlink" Target="mailto:kristen@performancepos.com" TargetMode="External"/><Relationship Id="rId5" Type="http://schemas.openxmlformats.org/officeDocument/2006/relationships/hyperlink" Target="mailto:gaudencio@performancepos.com" TargetMode="External"/><Relationship Id="rId15" Type="http://schemas.openxmlformats.org/officeDocument/2006/relationships/hyperlink" Target="mailto:brock@performancepos.com" TargetMode="External"/><Relationship Id="rId10" Type="http://schemas.openxmlformats.org/officeDocument/2006/relationships/hyperlink" Target="mailto:dennisfees@performancepos.com" TargetMode="External"/><Relationship Id="rId4" Type="http://schemas.openxmlformats.org/officeDocument/2006/relationships/hyperlink" Target="mailto:josesantos@performancepos.com" TargetMode="External"/><Relationship Id="rId9" Type="http://schemas.openxmlformats.org/officeDocument/2006/relationships/hyperlink" Target="mailto:jeffcab@performancepos.com" TargetMode="External"/><Relationship Id="rId14" Type="http://schemas.openxmlformats.org/officeDocument/2006/relationships/hyperlink" Target="mailto:heather@performancep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M52"/>
  <sheetViews>
    <sheetView topLeftCell="B1" workbookViewId="0">
      <selection activeCell="P6" sqref="P6"/>
    </sheetView>
  </sheetViews>
  <sheetFormatPr defaultColWidth="9.1796875" defaultRowHeight="12.5" x14ac:dyDescent="0.25"/>
  <cols>
    <col min="1" max="1" width="0.1796875" style="69" hidden="1" customWidth="1"/>
    <col min="2" max="2" width="8.1796875" style="69" customWidth="1"/>
    <col min="3" max="3" width="9.453125" style="69" customWidth="1"/>
    <col min="4" max="4" width="6.453125" style="69" customWidth="1"/>
    <col min="5" max="5" width="8.453125" style="69" customWidth="1"/>
    <col min="6" max="6" width="15.453125" style="69" customWidth="1"/>
    <col min="7" max="7" width="1.453125" style="69" customWidth="1"/>
    <col min="8" max="8" width="5.453125" style="69" customWidth="1"/>
    <col min="9" max="9" width="20.1796875" style="69" customWidth="1"/>
    <col min="10" max="10" width="11.7265625" style="69" customWidth="1"/>
    <col min="11" max="11" width="15.26953125" style="69" customWidth="1"/>
    <col min="12" max="16384" width="9.1796875" style="69"/>
  </cols>
  <sheetData>
    <row r="1" spans="1:11" ht="3.75" customHeight="1" x14ac:dyDescent="0.25">
      <c r="A1" s="210"/>
      <c r="B1" s="210"/>
      <c r="C1" s="210"/>
      <c r="D1" s="210"/>
      <c r="E1" s="210"/>
      <c r="F1" s="210"/>
      <c r="G1" s="210"/>
      <c r="H1" s="210"/>
      <c r="I1" s="210"/>
      <c r="J1" s="210"/>
      <c r="K1" s="210"/>
    </row>
    <row r="2" spans="1:11" ht="28.5" customHeight="1" x14ac:dyDescent="0.4">
      <c r="A2" s="210"/>
      <c r="B2" s="210" t="e" vm="1">
        <v>#VALUE!</v>
      </c>
      <c r="C2" s="398" t="s">
        <v>0</v>
      </c>
      <c r="D2" s="399"/>
      <c r="E2" s="399"/>
      <c r="F2" s="399"/>
      <c r="G2" s="399"/>
      <c r="H2" s="399"/>
      <c r="I2" s="399"/>
      <c r="J2" s="1" t="s">
        <v>1</v>
      </c>
      <c r="K2" s="197"/>
    </row>
    <row r="3" spans="1:11" ht="12.75" customHeight="1" x14ac:dyDescent="0.3">
      <c r="A3" s="210"/>
      <c r="B3" s="210"/>
      <c r="C3" s="357"/>
      <c r="D3" s="210"/>
      <c r="E3" s="210"/>
      <c r="F3" s="210"/>
      <c r="G3" s="210"/>
      <c r="H3" s="210"/>
      <c r="I3" s="210"/>
      <c r="J3" s="1"/>
      <c r="K3" s="70"/>
    </row>
    <row r="4" spans="1:11" ht="18.75" customHeight="1" x14ac:dyDescent="0.35">
      <c r="A4" s="210"/>
      <c r="B4" s="210"/>
      <c r="C4" s="2" t="s">
        <v>2</v>
      </c>
      <c r="D4" s="2"/>
      <c r="E4" s="2"/>
      <c r="F4" s="3"/>
      <c r="G4" s="3"/>
      <c r="H4" s="3"/>
      <c r="I4" s="210"/>
      <c r="J4" s="3" t="s">
        <v>3</v>
      </c>
      <c r="K4" s="29"/>
    </row>
    <row r="5" spans="1:11" ht="15.5" x14ac:dyDescent="0.35">
      <c r="A5" s="210"/>
      <c r="B5" s="210"/>
      <c r="C5" s="2" t="s">
        <v>4</v>
      </c>
      <c r="D5" s="2"/>
      <c r="E5" s="2"/>
      <c r="F5" s="3"/>
      <c r="G5" s="3"/>
      <c r="H5" s="3"/>
      <c r="I5" s="210"/>
      <c r="J5" s="3" t="s">
        <v>5</v>
      </c>
      <c r="K5" s="4"/>
    </row>
    <row r="6" spans="1:11" ht="15" customHeight="1" x14ac:dyDescent="0.35">
      <c r="A6" s="210"/>
      <c r="B6" s="210"/>
      <c r="C6" s="2" t="s">
        <v>6</v>
      </c>
      <c r="D6" s="2"/>
      <c r="E6" s="2" t="s">
        <v>7</v>
      </c>
      <c r="F6" s="3"/>
      <c r="G6" s="3"/>
      <c r="H6" s="3"/>
      <c r="I6" s="210" t="s">
        <v>0</v>
      </c>
      <c r="J6" s="3" t="s">
        <v>8</v>
      </c>
      <c r="K6" s="228"/>
    </row>
    <row r="7" spans="1:11" ht="13" x14ac:dyDescent="0.3">
      <c r="A7" s="210"/>
      <c r="B7" s="210"/>
      <c r="C7" s="210"/>
      <c r="D7" s="210"/>
      <c r="E7" s="210"/>
      <c r="F7" s="210"/>
      <c r="G7" s="210"/>
      <c r="H7" s="210"/>
      <c r="I7" s="210"/>
      <c r="J7" s="3" t="s">
        <v>9</v>
      </c>
      <c r="K7" s="4"/>
    </row>
    <row r="8" spans="1:11" ht="10.5" customHeight="1" x14ac:dyDescent="0.3">
      <c r="A8" s="210"/>
      <c r="B8" s="210"/>
      <c r="C8" s="210"/>
      <c r="D8" s="210"/>
      <c r="E8" s="210"/>
      <c r="F8" s="210"/>
      <c r="G8" s="210"/>
      <c r="H8" s="210"/>
      <c r="I8" s="210"/>
      <c r="J8" s="3"/>
      <c r="K8" s="4"/>
    </row>
    <row r="9" spans="1:11" ht="21" customHeight="1" x14ac:dyDescent="0.55000000000000004">
      <c r="A9" s="210" t="s">
        <v>10</v>
      </c>
      <c r="B9" s="359"/>
      <c r="C9" s="3" t="s">
        <v>11</v>
      </c>
      <c r="D9" s="210"/>
      <c r="E9" s="210"/>
      <c r="F9" s="403" t="s">
        <v>12</v>
      </c>
      <c r="G9" s="403"/>
      <c r="H9" s="403"/>
      <c r="I9" s="403"/>
      <c r="J9" s="3" t="s">
        <v>13</v>
      </c>
      <c r="K9" s="3"/>
    </row>
    <row r="10" spans="1:11" ht="5.25" customHeight="1" thickBot="1" x14ac:dyDescent="0.35">
      <c r="A10" s="210"/>
      <c r="B10" s="359"/>
      <c r="C10" s="210"/>
      <c r="D10" s="210"/>
      <c r="E10" s="210"/>
      <c r="F10" s="210"/>
      <c r="G10" s="210"/>
      <c r="H10" s="210"/>
      <c r="I10" s="357"/>
      <c r="J10" s="3"/>
      <c r="K10" s="3"/>
    </row>
    <row r="11" spans="1:11" ht="15" customHeight="1" x14ac:dyDescent="0.3">
      <c r="A11" s="210"/>
      <c r="B11" s="400" t="s">
        <v>14</v>
      </c>
      <c r="C11" s="401"/>
      <c r="D11" s="401"/>
      <c r="E11" s="401"/>
      <c r="F11" s="401"/>
      <c r="G11" s="404"/>
      <c r="H11" s="210"/>
      <c r="I11" s="400" t="s">
        <v>15</v>
      </c>
      <c r="J11" s="401"/>
      <c r="K11" s="402"/>
    </row>
    <row r="12" spans="1:11" s="3" customFormat="1" ht="15" customHeight="1" x14ac:dyDescent="0.35">
      <c r="B12" s="27" t="s">
        <v>16</v>
      </c>
      <c r="C12" s="405"/>
      <c r="D12" s="405"/>
      <c r="E12" s="405"/>
      <c r="F12" s="405"/>
      <c r="G12" s="28"/>
      <c r="I12" s="406"/>
      <c r="J12" s="405"/>
      <c r="K12" s="407"/>
    </row>
    <row r="13" spans="1:11" s="3" customFormat="1" ht="15" customHeight="1" x14ac:dyDescent="0.35">
      <c r="B13" s="351" t="s">
        <v>17</v>
      </c>
      <c r="C13" s="397"/>
      <c r="D13" s="397"/>
      <c r="E13" s="397"/>
      <c r="F13" s="397"/>
      <c r="G13" s="17"/>
      <c r="I13" s="388"/>
      <c r="J13" s="381"/>
      <c r="K13" s="389"/>
    </row>
    <row r="14" spans="1:11" s="3" customFormat="1" ht="15" customHeight="1" x14ac:dyDescent="0.3">
      <c r="B14" s="21" t="s">
        <v>18</v>
      </c>
      <c r="C14" s="381"/>
      <c r="D14" s="381"/>
      <c r="E14" s="381"/>
      <c r="F14" s="381"/>
      <c r="G14" s="17"/>
      <c r="I14" s="388"/>
      <c r="J14" s="381"/>
      <c r="K14" s="389"/>
    </row>
    <row r="15" spans="1:11" s="3" customFormat="1" ht="15" customHeight="1" x14ac:dyDescent="0.3">
      <c r="B15" s="21" t="s">
        <v>19</v>
      </c>
      <c r="C15" s="381"/>
      <c r="D15" s="381"/>
      <c r="E15" s="14"/>
      <c r="F15" s="31"/>
      <c r="G15" s="17"/>
      <c r="I15" s="351"/>
      <c r="J15" s="14"/>
      <c r="K15" s="352"/>
    </row>
    <row r="16" spans="1:11" s="3" customFormat="1" ht="15" customHeight="1" x14ac:dyDescent="0.3">
      <c r="B16" s="21" t="s">
        <v>20</v>
      </c>
      <c r="C16" s="381"/>
      <c r="D16" s="381"/>
      <c r="E16" s="381"/>
      <c r="F16" s="381"/>
      <c r="G16" s="17"/>
      <c r="I16" s="388"/>
      <c r="J16" s="381"/>
      <c r="K16" s="389"/>
    </row>
    <row r="17" spans="2:13" s="3" customFormat="1" ht="15" customHeight="1" thickBot="1" x14ac:dyDescent="0.35">
      <c r="B17" s="22" t="s">
        <v>21</v>
      </c>
      <c r="C17" s="390"/>
      <c r="D17" s="391"/>
      <c r="E17" s="391"/>
      <c r="F17" s="391"/>
      <c r="G17" s="10"/>
      <c r="I17" s="392"/>
      <c r="J17" s="391"/>
      <c r="K17" s="393"/>
    </row>
    <row r="18" spans="2:13" s="3" customFormat="1" ht="8.15" customHeight="1" x14ac:dyDescent="0.3">
      <c r="C18" s="14"/>
      <c r="D18" s="14"/>
      <c r="E18" s="14"/>
      <c r="F18" s="14"/>
      <c r="I18" s="30"/>
      <c r="J18" s="14"/>
      <c r="K18" s="14"/>
    </row>
    <row r="19" spans="2:13" ht="15" customHeight="1" thickBot="1" x14ac:dyDescent="0.35">
      <c r="B19" s="5"/>
      <c r="C19" s="1" t="s">
        <v>22</v>
      </c>
      <c r="D19" s="5"/>
      <c r="E19" s="5"/>
      <c r="F19" s="5"/>
      <c r="G19" s="5"/>
      <c r="H19" s="5"/>
      <c r="I19" s="5"/>
      <c r="J19" s="5"/>
      <c r="K19" s="5"/>
      <c r="L19" s="210"/>
      <c r="M19" s="210"/>
    </row>
    <row r="20" spans="2:13" ht="15" customHeight="1" thickBot="1" x14ac:dyDescent="0.35">
      <c r="B20" s="304" t="s">
        <v>23</v>
      </c>
      <c r="C20" s="64"/>
      <c r="D20" s="62"/>
      <c r="E20" s="62" t="s">
        <v>24</v>
      </c>
      <c r="F20" s="62"/>
      <c r="G20" s="62"/>
      <c r="H20" s="62"/>
      <c r="I20" s="65"/>
      <c r="J20" s="71" t="s">
        <v>25</v>
      </c>
      <c r="K20" s="305" t="s">
        <v>26</v>
      </c>
      <c r="L20" s="210"/>
      <c r="M20" s="210"/>
    </row>
    <row r="21" spans="2:13" s="210" customFormat="1" ht="16.5" customHeight="1" x14ac:dyDescent="0.3">
      <c r="B21" s="150"/>
      <c r="C21" s="212"/>
      <c r="D21" s="355"/>
      <c r="E21" s="271"/>
      <c r="F21" s="355"/>
      <c r="G21" s="355"/>
      <c r="H21" s="272"/>
      <c r="I21" s="356"/>
      <c r="J21" s="74"/>
      <c r="K21" s="273">
        <f>B21*J21</f>
        <v>0</v>
      </c>
      <c r="M21" s="3"/>
    </row>
    <row r="22" spans="2:13" s="210" customFormat="1" ht="16.5" customHeight="1" x14ac:dyDescent="0.3">
      <c r="B22" s="351"/>
      <c r="C22" s="13"/>
      <c r="D22" s="3"/>
      <c r="F22" s="3"/>
      <c r="G22" s="3"/>
      <c r="H22" s="3"/>
      <c r="I22" s="51"/>
      <c r="J22" s="20"/>
      <c r="K22" s="274">
        <f>B22*J22</f>
        <v>0</v>
      </c>
      <c r="L22" s="3"/>
    </row>
    <row r="23" spans="2:13" s="210" customFormat="1" ht="13.5" customHeight="1" x14ac:dyDescent="0.3">
      <c r="B23" s="351"/>
      <c r="C23" s="13"/>
      <c r="D23" s="3"/>
      <c r="F23" s="3"/>
      <c r="G23" s="3"/>
      <c r="H23" s="246"/>
      <c r="I23" s="51"/>
      <c r="J23" s="20"/>
      <c r="K23" s="274">
        <f t="shared" ref="K23:K24" si="0">B23*J23</f>
        <v>0</v>
      </c>
    </row>
    <row r="24" spans="2:13" s="210" customFormat="1" ht="15" customHeight="1" x14ac:dyDescent="0.3">
      <c r="B24" s="351"/>
      <c r="C24" s="13"/>
      <c r="D24" s="3"/>
      <c r="F24" s="3"/>
      <c r="G24" s="3"/>
      <c r="H24" s="246"/>
      <c r="I24" s="51"/>
      <c r="J24" s="20"/>
      <c r="K24" s="274">
        <f t="shared" si="0"/>
        <v>0</v>
      </c>
    </row>
    <row r="25" spans="2:13" s="210" customFormat="1" ht="15" customHeight="1" x14ac:dyDescent="0.3">
      <c r="B25" s="351"/>
      <c r="C25" s="349"/>
      <c r="D25" s="348"/>
      <c r="E25" s="348"/>
      <c r="F25" s="348"/>
      <c r="G25" s="348"/>
      <c r="H25" s="348"/>
      <c r="I25" s="350"/>
      <c r="J25" s="149"/>
      <c r="K25" s="274">
        <f t="shared" ref="K25" si="1">B25*J25</f>
        <v>0</v>
      </c>
    </row>
    <row r="26" spans="2:13" s="210" customFormat="1" ht="15" customHeight="1" x14ac:dyDescent="0.3">
      <c r="B26" s="351"/>
      <c r="C26" s="308"/>
      <c r="D26" s="55"/>
      <c r="E26" s="55"/>
      <c r="F26" s="55"/>
      <c r="G26" s="55"/>
      <c r="H26" s="55"/>
      <c r="I26" s="309"/>
      <c r="J26" s="149"/>
      <c r="K26" s="274">
        <f t="shared" ref="K26:K27" si="2">B26*J26</f>
        <v>0</v>
      </c>
    </row>
    <row r="27" spans="2:13" ht="13.5" thickBot="1" x14ac:dyDescent="0.35">
      <c r="B27" s="354"/>
      <c r="C27" s="382"/>
      <c r="D27" s="383"/>
      <c r="E27" s="383"/>
      <c r="F27" s="383"/>
      <c r="G27" s="383"/>
      <c r="H27" s="383"/>
      <c r="I27" s="384"/>
      <c r="J27" s="201"/>
      <c r="K27" s="168">
        <f t="shared" si="2"/>
        <v>0</v>
      </c>
      <c r="L27" s="210"/>
      <c r="M27" s="210"/>
    </row>
    <row r="28" spans="2:13" s="3" customFormat="1" ht="15" customHeight="1" thickBot="1" x14ac:dyDescent="0.35">
      <c r="B28" s="220"/>
      <c r="C28" s="373"/>
      <c r="D28" s="373"/>
      <c r="E28" s="373"/>
      <c r="F28" s="373"/>
      <c r="G28" s="373"/>
      <c r="H28" s="373"/>
      <c r="I28" s="3" t="s">
        <v>27</v>
      </c>
      <c r="J28" s="356"/>
      <c r="K28" s="32">
        <f>SUM(K21:K27)</f>
        <v>0</v>
      </c>
    </row>
    <row r="29" spans="2:13" s="3" customFormat="1" ht="15" customHeight="1" thickBot="1" x14ac:dyDescent="0.35">
      <c r="B29" s="220"/>
      <c r="C29" s="373"/>
      <c r="D29" s="373"/>
      <c r="E29" s="373"/>
      <c r="F29" s="373"/>
      <c r="G29" s="373"/>
      <c r="H29" s="373"/>
      <c r="I29" s="3" t="s">
        <v>28</v>
      </c>
      <c r="K29" s="237"/>
    </row>
    <row r="30" spans="2:13" s="3" customFormat="1" ht="15" customHeight="1" thickBot="1" x14ac:dyDescent="0.35">
      <c r="B30" s="152"/>
      <c r="C30" s="348"/>
      <c r="D30" s="348"/>
      <c r="E30" s="348"/>
      <c r="F30" s="348"/>
      <c r="G30" s="348"/>
      <c r="H30" s="348"/>
      <c r="I30" s="3" t="s">
        <v>29</v>
      </c>
      <c r="J30" s="26"/>
      <c r="K30" s="151">
        <f>K28*J30</f>
        <v>0</v>
      </c>
    </row>
    <row r="31" spans="2:13" s="3" customFormat="1" ht="15" customHeight="1" thickBot="1" x14ac:dyDescent="0.35">
      <c r="C31" s="1" t="s">
        <v>30</v>
      </c>
      <c r="K31" s="6"/>
    </row>
    <row r="32" spans="2:13" s="3" customFormat="1" ht="15" customHeight="1" thickBot="1" x14ac:dyDescent="0.35">
      <c r="B32" s="72" t="s">
        <v>31</v>
      </c>
      <c r="C32" s="45"/>
      <c r="D32" s="35"/>
      <c r="E32" s="35" t="s">
        <v>24</v>
      </c>
      <c r="F32" s="35"/>
      <c r="G32" s="35"/>
      <c r="H32" s="35"/>
      <c r="I32" s="46"/>
      <c r="J32" s="196" t="s">
        <v>32</v>
      </c>
      <c r="K32" s="73"/>
    </row>
    <row r="33" spans="2:11" s="3" customFormat="1" ht="8.25" customHeight="1" x14ac:dyDescent="0.3">
      <c r="B33" s="61"/>
      <c r="C33" s="394"/>
      <c r="D33" s="395"/>
      <c r="E33" s="395"/>
      <c r="F33" s="395"/>
      <c r="G33" s="395"/>
      <c r="H33" s="395"/>
      <c r="I33" s="396"/>
      <c r="J33" s="20"/>
      <c r="K33" s="33">
        <f>J33*B33</f>
        <v>0</v>
      </c>
    </row>
    <row r="34" spans="2:11" s="3" customFormat="1" ht="15" customHeight="1" x14ac:dyDescent="0.3">
      <c r="B34" s="23"/>
      <c r="C34" s="385"/>
      <c r="D34" s="373"/>
      <c r="E34" s="373"/>
      <c r="F34" s="373"/>
      <c r="G34" s="373"/>
      <c r="H34" s="373"/>
      <c r="I34" s="386"/>
      <c r="J34" s="20"/>
      <c r="K34" s="60">
        <f t="shared" ref="K34:K38" si="3">B34*J34</f>
        <v>0</v>
      </c>
    </row>
    <row r="35" spans="2:11" s="210" customFormat="1" ht="15" customHeight="1" x14ac:dyDescent="0.3">
      <c r="B35" s="351"/>
      <c r="C35" s="349"/>
      <c r="D35" s="348"/>
      <c r="E35" s="3"/>
      <c r="F35" s="14"/>
      <c r="G35" s="3"/>
      <c r="H35" s="246"/>
      <c r="I35" s="51"/>
      <c r="J35" s="20"/>
      <c r="K35" s="274">
        <f t="shared" si="3"/>
        <v>0</v>
      </c>
    </row>
    <row r="36" spans="2:11" customFormat="1" ht="13" x14ac:dyDescent="0.3">
      <c r="B36" s="351"/>
      <c r="C36" s="13"/>
      <c r="D36" s="3"/>
      <c r="E36" s="3"/>
      <c r="F36" s="3"/>
      <c r="G36" s="3"/>
      <c r="H36" s="3"/>
      <c r="I36" s="3"/>
      <c r="J36" s="34"/>
      <c r="K36" s="274">
        <f t="shared" si="3"/>
        <v>0</v>
      </c>
    </row>
    <row r="37" spans="2:11" customFormat="1" ht="13" x14ac:dyDescent="0.3">
      <c r="B37" s="351"/>
      <c r="C37" s="13"/>
      <c r="D37" s="3"/>
      <c r="E37" s="3"/>
      <c r="F37" s="3"/>
      <c r="G37" s="3"/>
      <c r="H37" s="3"/>
      <c r="I37" s="3"/>
      <c r="J37" s="34"/>
      <c r="K37" s="274">
        <f t="shared" si="3"/>
        <v>0</v>
      </c>
    </row>
    <row r="38" spans="2:11" customFormat="1" ht="13" x14ac:dyDescent="0.3">
      <c r="B38" s="351"/>
      <c r="C38" s="13"/>
      <c r="D38" s="3"/>
      <c r="E38" s="3"/>
      <c r="F38" s="3"/>
      <c r="G38" s="3"/>
      <c r="H38" s="3"/>
      <c r="I38" s="3"/>
      <c r="J38" s="34"/>
      <c r="K38" s="274">
        <f t="shared" si="3"/>
        <v>0</v>
      </c>
    </row>
    <row r="39" spans="2:11" s="3" customFormat="1" ht="15" customHeight="1" thickBot="1" x14ac:dyDescent="0.35">
      <c r="B39" s="24"/>
      <c r="C39" s="307"/>
      <c r="D39" s="7"/>
      <c r="E39" s="7"/>
      <c r="F39" s="7"/>
      <c r="G39" s="7"/>
      <c r="H39" s="7"/>
      <c r="I39" s="264"/>
      <c r="J39" s="306" t="s">
        <v>33</v>
      </c>
      <c r="K39" s="262"/>
    </row>
    <row r="40" spans="2:11" s="3" customFormat="1" ht="11.25" customHeight="1" x14ac:dyDescent="0.3">
      <c r="F40" s="14"/>
      <c r="J40" s="8"/>
      <c r="K40" s="8"/>
    </row>
    <row r="41" spans="2:11" s="3" customFormat="1" ht="13.5" thickBot="1" x14ac:dyDescent="0.35">
      <c r="C41" s="3" t="s">
        <v>34</v>
      </c>
      <c r="K41" s="8"/>
    </row>
    <row r="42" spans="2:11" s="3" customFormat="1" ht="18.5" thickBot="1" x14ac:dyDescent="0.45">
      <c r="B42" s="15"/>
      <c r="C42" s="387"/>
      <c r="D42" s="387"/>
      <c r="E42" s="18"/>
      <c r="F42" s="387"/>
      <c r="G42" s="379"/>
      <c r="H42" s="210"/>
      <c r="J42" s="9" t="s">
        <v>35</v>
      </c>
      <c r="K42" s="221">
        <f>SUM(K28:K39)</f>
        <v>0</v>
      </c>
    </row>
    <row r="43" spans="2:11" s="3" customFormat="1" ht="14.25" customHeight="1" x14ac:dyDescent="0.35">
      <c r="B43" s="13"/>
      <c r="C43" s="373"/>
      <c r="D43" s="373"/>
      <c r="F43" s="373"/>
      <c r="G43" s="386"/>
      <c r="H43" s="210"/>
      <c r="I43" s="233"/>
    </row>
    <row r="44" spans="2:11" s="3" customFormat="1" ht="15" customHeight="1" x14ac:dyDescent="0.3">
      <c r="B44" s="13"/>
      <c r="C44" s="372"/>
      <c r="D44" s="373"/>
      <c r="F44" s="374"/>
      <c r="G44" s="375"/>
      <c r="H44" s="210"/>
      <c r="J44" s="3" t="s">
        <v>36</v>
      </c>
    </row>
    <row r="45" spans="2:11" s="3" customFormat="1" ht="13" x14ac:dyDescent="0.3">
      <c r="B45" s="16"/>
      <c r="C45" s="376"/>
      <c r="D45" s="376"/>
      <c r="E45" s="19"/>
      <c r="F45" s="376"/>
      <c r="G45" s="377"/>
      <c r="H45" s="210"/>
      <c r="J45" s="378"/>
      <c r="K45" s="379"/>
    </row>
    <row r="46" spans="2:11" s="3" customFormat="1" ht="13" x14ac:dyDescent="0.3">
      <c r="B46" s="210"/>
      <c r="C46" s="210"/>
      <c r="D46" s="210"/>
      <c r="E46" s="210"/>
      <c r="F46" s="210"/>
      <c r="G46" s="210"/>
      <c r="H46" s="210"/>
      <c r="J46" s="380"/>
      <c r="K46" s="377"/>
    </row>
    <row r="47" spans="2:11" s="3" customFormat="1" ht="12" customHeight="1" x14ac:dyDescent="0.3"/>
    <row r="48" spans="2:11" s="3" customFormat="1" ht="13" x14ac:dyDescent="0.3">
      <c r="C48" s="3" t="s">
        <v>37</v>
      </c>
    </row>
    <row r="49" spans="3:9" s="3" customFormat="1" ht="22.5" customHeight="1" thickBot="1" x14ac:dyDescent="0.35">
      <c r="C49" s="11"/>
      <c r="D49" s="11"/>
      <c r="E49" s="11"/>
      <c r="F49" s="11"/>
      <c r="G49" s="11"/>
      <c r="H49" s="11"/>
      <c r="I49" s="11"/>
    </row>
    <row r="50" spans="3:9" s="3" customFormat="1" ht="13.5" thickTop="1" x14ac:dyDescent="0.3">
      <c r="C50" s="3" t="s">
        <v>38</v>
      </c>
    </row>
    <row r="51" spans="3:9" s="3" customFormat="1" ht="8.25" customHeight="1" x14ac:dyDescent="0.3"/>
    <row r="52" spans="3:9" s="3" customFormat="1" ht="17.25" customHeight="1" x14ac:dyDescent="0.35">
      <c r="D52" s="12" t="s">
        <v>39</v>
      </c>
      <c r="E52" s="12"/>
      <c r="F52" s="12"/>
      <c r="G52" s="12"/>
      <c r="H52" s="12"/>
      <c r="I52" s="12"/>
    </row>
  </sheetData>
  <mergeCells count="29">
    <mergeCell ref="C13:F13"/>
    <mergeCell ref="I13:K13"/>
    <mergeCell ref="C14:F14"/>
    <mergeCell ref="I14:K14"/>
    <mergeCell ref="C2:I2"/>
    <mergeCell ref="I11:K11"/>
    <mergeCell ref="F9:I9"/>
    <mergeCell ref="B11:G11"/>
    <mergeCell ref="C12:F12"/>
    <mergeCell ref="I12:K12"/>
    <mergeCell ref="C15:D15"/>
    <mergeCell ref="C27:I27"/>
    <mergeCell ref="C29:H29"/>
    <mergeCell ref="C34:I34"/>
    <mergeCell ref="C43:D43"/>
    <mergeCell ref="F43:G43"/>
    <mergeCell ref="C42:D42"/>
    <mergeCell ref="F42:G42"/>
    <mergeCell ref="I16:K16"/>
    <mergeCell ref="C28:H28"/>
    <mergeCell ref="C17:F17"/>
    <mergeCell ref="I17:K17"/>
    <mergeCell ref="C16:F16"/>
    <mergeCell ref="C33:I33"/>
    <mergeCell ref="C44:D44"/>
    <mergeCell ref="F44:G44"/>
    <mergeCell ref="C45:D45"/>
    <mergeCell ref="F45:G45"/>
    <mergeCell ref="J45:K46"/>
  </mergeCells>
  <conditionalFormatting sqref="B32:B33">
    <cfRule type="cellIs" dxfId="20" priority="23" stopIfTrue="1" operator="greaterThan">
      <formula>0</formula>
    </cfRule>
  </conditionalFormatting>
  <conditionalFormatting sqref="B34">
    <cfRule type="cellIs" dxfId="19" priority="18" stopIfTrue="1" operator="greaterThan">
      <formula>0</formula>
    </cfRule>
  </conditionalFormatting>
  <conditionalFormatting sqref="J27:K28">
    <cfRule type="cellIs" dxfId="18" priority="15" stopIfTrue="1" operator="equal">
      <formula>0</formula>
    </cfRule>
  </conditionalFormatting>
  <conditionalFormatting sqref="J29:K34">
    <cfRule type="cellIs" dxfId="17" priority="17" stopIfTrue="1" operator="equal">
      <formula>0</formula>
    </cfRule>
  </conditionalFormatting>
  <conditionalFormatting sqref="J36:K39 B27:B31 B36:B41">
    <cfRule type="cellIs" dxfId="16" priority="20" stopIfTrue="1" operator="equal">
      <formula>0</formula>
    </cfRule>
  </conditionalFormatting>
  <conditionalFormatting sqref="K1 J1:J11 B1:B20 K9:K11 J19:K20 B33 J40:J42 I43 J44:J45 B47:B63705 J47:K63705">
    <cfRule type="cellIs" dxfId="15" priority="22" stopIfTrue="1" operator="equal">
      <formula>0</formula>
    </cfRule>
  </conditionalFormatting>
  <conditionalFormatting sqref="K3:K5">
    <cfRule type="cellIs" dxfId="14" priority="19" stopIfTrue="1" operator="equal">
      <formula>0</formula>
    </cfRule>
  </conditionalFormatting>
  <conditionalFormatting sqref="K21:K27">
    <cfRule type="cellIs" dxfId="13" priority="1" operator="equal">
      <formula>0</formula>
    </cfRule>
  </conditionalFormatting>
  <conditionalFormatting sqref="K29:K33 K35:K38">
    <cfRule type="cellIs" dxfId="12" priority="16" operator="equal">
      <formula>0</formula>
    </cfRule>
  </conditionalFormatting>
  <conditionalFormatting sqref="K39:K44">
    <cfRule type="cellIs" dxfId="11" priority="21" stopIfTrue="1" operator="equal">
      <formula>0</formula>
    </cfRule>
  </conditionalFormatting>
  <dataValidations count="1">
    <dataValidation type="list" allowBlank="1" showInputMessage="1" showErrorMessage="1" sqref="C12:F12 I12" xr:uid="{D72F44DE-AC1F-48D7-86A9-78B7ADBC47CC}">
      <formula1>CLIENT</formula1>
    </dataValidation>
  </dataValidations>
  <pageMargins left="0.32" right="0.34" top="0.43" bottom="0.41" header="0.3" footer="0.3"/>
  <pageSetup scale="9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M51"/>
  <sheetViews>
    <sheetView topLeftCell="B1" zoomScale="112" zoomScaleNormal="112" workbookViewId="0">
      <selection activeCell="T14" sqref="T14"/>
    </sheetView>
  </sheetViews>
  <sheetFormatPr defaultColWidth="9.1796875" defaultRowHeight="12.5" x14ac:dyDescent="0.25"/>
  <cols>
    <col min="1" max="1" width="0.1796875" style="69" hidden="1" customWidth="1"/>
    <col min="2" max="2" width="8.1796875" style="69" customWidth="1"/>
    <col min="3" max="3" width="9.453125" style="69" customWidth="1"/>
    <col min="4" max="4" width="6.453125" style="69" customWidth="1"/>
    <col min="5" max="5" width="8.453125" style="69" customWidth="1"/>
    <col min="6" max="6" width="15.453125" style="69" customWidth="1"/>
    <col min="7" max="7" width="1.453125" style="69" customWidth="1"/>
    <col min="8" max="8" width="5.453125" style="69" customWidth="1"/>
    <col min="9" max="9" width="20.1796875" style="69" customWidth="1"/>
    <col min="10" max="10" width="11.7265625" style="69" customWidth="1"/>
    <col min="11" max="11" width="15.26953125" style="69" customWidth="1"/>
    <col min="12" max="16384" width="9.1796875" style="69"/>
  </cols>
  <sheetData>
    <row r="1" spans="1:11" ht="9.75" customHeight="1" x14ac:dyDescent="0.25">
      <c r="A1" s="210"/>
      <c r="B1" s="210"/>
      <c r="C1" s="210"/>
      <c r="D1" s="210"/>
      <c r="E1" s="210"/>
      <c r="F1" s="210"/>
      <c r="G1" s="210"/>
      <c r="H1" s="210"/>
      <c r="I1" s="210"/>
      <c r="J1" s="210"/>
      <c r="K1" s="210"/>
    </row>
    <row r="2" spans="1:11" ht="28.5" customHeight="1" x14ac:dyDescent="0.4">
      <c r="A2" s="210"/>
      <c r="B2" s="210"/>
      <c r="C2" s="398" t="s">
        <v>0</v>
      </c>
      <c r="D2" s="399"/>
      <c r="E2" s="399"/>
      <c r="F2" s="399"/>
      <c r="G2" s="399"/>
      <c r="H2" s="399"/>
      <c r="I2" s="399"/>
      <c r="J2" s="1" t="s">
        <v>1</v>
      </c>
      <c r="K2" s="197" t="s">
        <v>6477</v>
      </c>
    </row>
    <row r="3" spans="1:11" ht="12.75" customHeight="1" x14ac:dyDescent="0.3">
      <c r="A3" s="210"/>
      <c r="B3" s="210"/>
      <c r="C3" s="357"/>
      <c r="D3" s="210"/>
      <c r="E3" s="210"/>
      <c r="F3" s="210"/>
      <c r="G3" s="210"/>
      <c r="H3" s="210"/>
      <c r="I3" s="210"/>
      <c r="J3" s="1"/>
      <c r="K3" s="70"/>
    </row>
    <row r="4" spans="1:11" ht="15" customHeight="1" x14ac:dyDescent="0.35">
      <c r="A4" s="210"/>
      <c r="B4" s="210"/>
      <c r="C4" s="2" t="s">
        <v>2</v>
      </c>
      <c r="D4" s="2"/>
      <c r="E4" s="2"/>
      <c r="F4" s="3"/>
      <c r="G4" s="3"/>
      <c r="H4" s="3"/>
      <c r="I4" s="210"/>
      <c r="J4" s="3" t="s">
        <v>3</v>
      </c>
      <c r="K4" s="29">
        <v>46022</v>
      </c>
    </row>
    <row r="5" spans="1:11" ht="15" customHeight="1" x14ac:dyDescent="0.35">
      <c r="A5" s="210"/>
      <c r="B5" s="210"/>
      <c r="C5" s="2" t="s">
        <v>4</v>
      </c>
      <c r="D5" s="2"/>
      <c r="E5" s="2"/>
      <c r="F5" s="3"/>
      <c r="G5" s="3"/>
      <c r="H5" s="3"/>
      <c r="I5" s="210"/>
      <c r="J5" s="3" t="s">
        <v>5</v>
      </c>
      <c r="K5" s="4" t="s">
        <v>6476</v>
      </c>
    </row>
    <row r="6" spans="1:11" ht="15" customHeight="1" x14ac:dyDescent="0.35">
      <c r="A6" s="210"/>
      <c r="B6" s="210"/>
      <c r="C6" s="2" t="s">
        <v>6</v>
      </c>
      <c r="D6" s="2"/>
      <c r="E6" s="2" t="s">
        <v>7</v>
      </c>
      <c r="F6" s="3"/>
      <c r="G6" s="3"/>
      <c r="H6" s="3"/>
      <c r="I6" s="210" t="s">
        <v>0</v>
      </c>
      <c r="J6" s="3" t="s">
        <v>8</v>
      </c>
      <c r="K6" s="228"/>
    </row>
    <row r="7" spans="1:11" ht="11.25" customHeight="1" x14ac:dyDescent="0.3">
      <c r="A7" s="210"/>
      <c r="B7" s="210"/>
      <c r="C7" s="210"/>
      <c r="D7" s="210"/>
      <c r="E7" s="210"/>
      <c r="F7" s="210"/>
      <c r="G7" s="210"/>
      <c r="H7" s="210"/>
      <c r="I7" s="210"/>
      <c r="J7" s="3" t="s">
        <v>9</v>
      </c>
      <c r="K7" s="4" t="s">
        <v>6251</v>
      </c>
    </row>
    <row r="8" spans="1:11" ht="21" customHeight="1" thickBot="1" x14ac:dyDescent="0.6">
      <c r="A8" s="210" t="s">
        <v>10</v>
      </c>
      <c r="B8" s="359"/>
      <c r="C8" s="3" t="s">
        <v>11</v>
      </c>
      <c r="D8" s="210"/>
      <c r="E8" s="210"/>
      <c r="F8" s="403" t="s">
        <v>12</v>
      </c>
      <c r="G8" s="403"/>
      <c r="H8" s="403"/>
      <c r="I8" s="403"/>
      <c r="J8" s="3" t="s">
        <v>13</v>
      </c>
      <c r="K8" s="3"/>
    </row>
    <row r="9" spans="1:11" ht="15" customHeight="1" x14ac:dyDescent="0.3">
      <c r="A9" s="210"/>
      <c r="B9" s="400" t="s">
        <v>14</v>
      </c>
      <c r="C9" s="401"/>
      <c r="D9" s="401"/>
      <c r="E9" s="401"/>
      <c r="F9" s="401"/>
      <c r="G9" s="404"/>
      <c r="H9" s="210"/>
      <c r="I9" s="400" t="s">
        <v>15</v>
      </c>
      <c r="J9" s="401"/>
      <c r="K9" s="402"/>
    </row>
    <row r="10" spans="1:11" s="3" customFormat="1" ht="15" customHeight="1" x14ac:dyDescent="0.35">
      <c r="B10" s="27" t="s">
        <v>16</v>
      </c>
      <c r="C10" s="405" t="s">
        <v>6366</v>
      </c>
      <c r="D10" s="405"/>
      <c r="E10" s="405"/>
      <c r="F10" s="405"/>
      <c r="G10" s="28"/>
      <c r="I10" s="409" t="str">
        <f>C10</f>
        <v>El Quetzal Deli</v>
      </c>
      <c r="J10" s="410"/>
      <c r="K10" s="411"/>
    </row>
    <row r="11" spans="1:11" s="3" customFormat="1" ht="15" customHeight="1" x14ac:dyDescent="0.35">
      <c r="B11" s="351" t="s">
        <v>17</v>
      </c>
      <c r="C11" s="397">
        <f>LOOKUP(C10,Master!A:A,Master!AT:AT)</f>
        <v>0</v>
      </c>
      <c r="D11" s="397"/>
      <c r="E11" s="397"/>
      <c r="F11" s="397"/>
      <c r="G11" s="17"/>
      <c r="I11" s="388"/>
      <c r="J11" s="381"/>
      <c r="K11" s="389"/>
    </row>
    <row r="12" spans="1:11" s="3" customFormat="1" ht="15" customHeight="1" x14ac:dyDescent="0.3">
      <c r="B12" s="21" t="s">
        <v>18</v>
      </c>
      <c r="C12" s="381" t="str">
        <f>LOOKUP(C10,Master!A:A,Master!AU:AU)</f>
        <v>136 Bellam Boulevard</v>
      </c>
      <c r="D12" s="381"/>
      <c r="E12" s="381"/>
      <c r="F12" s="381"/>
      <c r="G12" s="17"/>
      <c r="I12" s="388" t="str">
        <f>LOOKUP(C10,Master!A:A,Master!T:T)</f>
        <v>136 Bellam Boulevard</v>
      </c>
      <c r="J12" s="381"/>
      <c r="K12" s="389"/>
    </row>
    <row r="13" spans="1:11" s="3" customFormat="1" ht="15" customHeight="1" x14ac:dyDescent="0.3">
      <c r="B13" s="21" t="s">
        <v>19</v>
      </c>
      <c r="C13" s="381" t="str">
        <f>LOOKUP(C10,Master!A:A,Master!AW:AW)</f>
        <v>San Rafael</v>
      </c>
      <c r="D13" s="381"/>
      <c r="E13" s="14" t="str">
        <f>LOOKUP(C10,Master!A:A,Master!AX:AX)</f>
        <v>Ca</v>
      </c>
      <c r="F13" s="31">
        <f>LOOKUP(C10,Master!A:A,Master!AY:AY)</f>
        <v>94901</v>
      </c>
      <c r="G13" s="17"/>
      <c r="I13" s="351" t="str">
        <f>LOOKUP(C10,Master!A:A,Master!U:U)</f>
        <v>San Rafael</v>
      </c>
      <c r="J13" s="14" t="str">
        <f>LOOKUP(C10,Master!A:A,Master!V:V)</f>
        <v>Ca</v>
      </c>
      <c r="K13" s="352">
        <f>LOOKUP(C10,Master!A:A,Master!W:W)</f>
        <v>94901</v>
      </c>
    </row>
    <row r="14" spans="1:11" s="3" customFormat="1" ht="15" customHeight="1" x14ac:dyDescent="0.3">
      <c r="B14" s="21" t="s">
        <v>20</v>
      </c>
      <c r="C14" s="381" t="str">
        <f>LOOKUP(C10,Master!A:A,Master!AZ:AZ)</f>
        <v>415-259-7333</v>
      </c>
      <c r="D14" s="381"/>
      <c r="E14" s="381"/>
      <c r="F14" s="381"/>
      <c r="G14" s="17"/>
      <c r="I14" s="388" t="str">
        <f>LOOKUP(C10,Master!A:A,Master!O:O)</f>
        <v>415-654-6312</v>
      </c>
      <c r="J14" s="381"/>
      <c r="K14" s="389"/>
    </row>
    <row r="15" spans="1:11" s="3" customFormat="1" ht="15" customHeight="1" thickBot="1" x14ac:dyDescent="0.35">
      <c r="B15" s="22" t="s">
        <v>21</v>
      </c>
      <c r="C15" s="391"/>
      <c r="D15" s="391"/>
      <c r="E15" s="391"/>
      <c r="F15" s="391"/>
      <c r="G15" s="10"/>
      <c r="I15" s="408"/>
      <c r="J15" s="391"/>
      <c r="K15" s="393"/>
    </row>
    <row r="16" spans="1:11" s="3" customFormat="1" ht="8.15" customHeight="1" x14ac:dyDescent="0.3">
      <c r="C16" s="14"/>
      <c r="D16" s="14"/>
      <c r="E16" s="14"/>
      <c r="F16" s="14"/>
      <c r="I16" s="30"/>
      <c r="J16" s="14"/>
      <c r="K16" s="14"/>
    </row>
    <row r="17" spans="2:13" ht="15" customHeight="1" thickBot="1" x14ac:dyDescent="0.35">
      <c r="B17" s="5"/>
      <c r="C17" s="1" t="s">
        <v>22</v>
      </c>
      <c r="D17" s="5"/>
      <c r="E17" s="5"/>
      <c r="F17" s="5"/>
      <c r="G17" s="5"/>
      <c r="H17" s="5"/>
      <c r="I17" s="5"/>
      <c r="J17" s="5"/>
      <c r="K17" s="5"/>
      <c r="L17" s="210"/>
      <c r="M17" s="210"/>
    </row>
    <row r="18" spans="2:13" ht="15" customHeight="1" thickBot="1" x14ac:dyDescent="0.35">
      <c r="B18" s="304" t="s">
        <v>23</v>
      </c>
      <c r="C18" s="64"/>
      <c r="D18" s="62"/>
      <c r="E18" s="62" t="s">
        <v>24</v>
      </c>
      <c r="F18" s="62"/>
      <c r="G18" s="62"/>
      <c r="H18" s="62"/>
      <c r="I18" s="65"/>
      <c r="J18" s="71" t="s">
        <v>25</v>
      </c>
      <c r="K18" s="305" t="s">
        <v>26</v>
      </c>
      <c r="L18" s="210"/>
      <c r="M18" s="210"/>
    </row>
    <row r="19" spans="2:13" s="210" customFormat="1" ht="16.5" customHeight="1" x14ac:dyDescent="0.3">
      <c r="B19" s="150"/>
      <c r="C19" s="212"/>
      <c r="D19" s="355"/>
      <c r="E19" s="271"/>
      <c r="F19" s="355"/>
      <c r="G19" s="355"/>
      <c r="H19" s="272"/>
      <c r="I19" s="356"/>
      <c r="J19" s="74"/>
      <c r="K19" s="273"/>
      <c r="M19" s="3"/>
    </row>
    <row r="20" spans="2:13" s="210" customFormat="1" ht="15" customHeight="1" x14ac:dyDescent="0.3">
      <c r="B20" s="351"/>
      <c r="C20" s="349"/>
      <c r="D20" s="348"/>
      <c r="E20" s="3"/>
      <c r="F20" s="3"/>
      <c r="G20" s="3"/>
      <c r="H20" s="246"/>
      <c r="I20" s="51"/>
      <c r="J20" s="20"/>
      <c r="K20" s="274">
        <f t="shared" ref="K20" si="0">B20*J20</f>
        <v>0</v>
      </c>
    </row>
    <row r="21" spans="2:13" s="210" customFormat="1" ht="15" customHeight="1" x14ac:dyDescent="0.3">
      <c r="B21" s="351"/>
      <c r="C21" s="13"/>
      <c r="D21" s="3"/>
      <c r="F21" s="3"/>
      <c r="G21" s="3"/>
      <c r="H21" s="246"/>
      <c r="I21" s="51"/>
      <c r="J21" s="20"/>
      <c r="K21" s="274">
        <f t="shared" ref="K21" si="1">B21*J21</f>
        <v>0</v>
      </c>
    </row>
    <row r="22" spans="2:13" s="210" customFormat="1" ht="15" customHeight="1" x14ac:dyDescent="0.3">
      <c r="B22" s="351"/>
      <c r="C22" s="361"/>
      <c r="D22" s="3"/>
      <c r="F22" s="3"/>
      <c r="G22" s="3"/>
      <c r="H22" s="246"/>
      <c r="I22" s="51"/>
      <c r="J22" s="20"/>
      <c r="K22" s="274"/>
    </row>
    <row r="23" spans="2:13" s="210" customFormat="1" ht="15" customHeight="1" x14ac:dyDescent="0.3">
      <c r="B23" s="351"/>
      <c r="C23" s="308"/>
      <c r="D23" s="348"/>
      <c r="E23" s="348"/>
      <c r="F23" s="348"/>
      <c r="G23" s="348"/>
      <c r="H23" s="348"/>
      <c r="I23" s="350"/>
      <c r="J23" s="20"/>
      <c r="K23" s="274">
        <f t="shared" ref="K23:K24" si="2">B23*J23</f>
        <v>0</v>
      </c>
    </row>
    <row r="24" spans="2:13" s="210" customFormat="1" ht="15" customHeight="1" x14ac:dyDescent="0.3">
      <c r="B24" s="351"/>
      <c r="C24" s="308"/>
      <c r="D24" s="348"/>
      <c r="E24" s="348"/>
      <c r="F24" s="348"/>
      <c r="G24" s="348"/>
      <c r="H24" s="348"/>
      <c r="I24" s="350"/>
      <c r="J24" s="149"/>
      <c r="K24" s="274">
        <f t="shared" si="2"/>
        <v>0</v>
      </c>
    </row>
    <row r="25" spans="2:13" s="210" customFormat="1" ht="15" customHeight="1" x14ac:dyDescent="0.3">
      <c r="B25" s="351"/>
      <c r="C25" s="349"/>
      <c r="D25" s="348"/>
      <c r="E25" s="348"/>
      <c r="F25" s="348"/>
      <c r="G25" s="348"/>
      <c r="H25" s="348"/>
      <c r="I25" s="350"/>
      <c r="J25" s="149"/>
      <c r="K25" s="274">
        <f t="shared" ref="K25:K26" si="3">B25*J25</f>
        <v>0</v>
      </c>
    </row>
    <row r="26" spans="2:13" ht="13.5" thickBot="1" x14ac:dyDescent="0.35">
      <c r="B26" s="354"/>
      <c r="C26" s="382"/>
      <c r="D26" s="383"/>
      <c r="E26" s="383"/>
      <c r="F26" s="383"/>
      <c r="G26" s="383"/>
      <c r="H26" s="383"/>
      <c r="I26" s="384"/>
      <c r="J26" s="201"/>
      <c r="K26" s="168">
        <f t="shared" si="3"/>
        <v>0</v>
      </c>
      <c r="L26" s="210"/>
      <c r="M26" s="210"/>
    </row>
    <row r="27" spans="2:13" s="3" customFormat="1" ht="15" customHeight="1" thickBot="1" x14ac:dyDescent="0.35">
      <c r="B27" s="220"/>
      <c r="C27" s="373"/>
      <c r="D27" s="373"/>
      <c r="E27" s="373"/>
      <c r="F27" s="373"/>
      <c r="G27" s="373"/>
      <c r="H27" s="373"/>
      <c r="I27" s="3" t="s">
        <v>27</v>
      </c>
      <c r="J27" s="356"/>
      <c r="K27" s="32">
        <f>SUM(K19:K26)</f>
        <v>0</v>
      </c>
    </row>
    <row r="28" spans="2:13" s="3" customFormat="1" ht="15" customHeight="1" thickBot="1" x14ac:dyDescent="0.35">
      <c r="B28" s="220" t="str">
        <f>LOOKUP(C10,Master!A:A,Master!S:S)</f>
        <v>SR</v>
      </c>
      <c r="C28" s="373"/>
      <c r="D28" s="373"/>
      <c r="E28" s="373"/>
      <c r="F28" s="373"/>
      <c r="G28" s="373"/>
      <c r="H28" s="373"/>
      <c r="I28" s="3" t="s">
        <v>28</v>
      </c>
      <c r="K28" s="237"/>
    </row>
    <row r="29" spans="2:13" s="3" customFormat="1" ht="15" customHeight="1" thickBot="1" x14ac:dyDescent="0.35">
      <c r="B29" s="152"/>
      <c r="C29" s="348"/>
      <c r="D29" s="348"/>
      <c r="E29" s="348"/>
      <c r="F29" s="348"/>
      <c r="G29" s="348"/>
      <c r="H29" s="348"/>
      <c r="I29" s="3" t="s">
        <v>29</v>
      </c>
      <c r="J29" s="26">
        <f>LOOKUP(C10,Master!A:A,Master!Q:Q)</f>
        <v>9.5000000000000001E-2</v>
      </c>
      <c r="K29" s="151">
        <f>K27*J29</f>
        <v>0</v>
      </c>
    </row>
    <row r="30" spans="2:13" s="3" customFormat="1" ht="15" customHeight="1" thickBot="1" x14ac:dyDescent="0.35">
      <c r="C30" s="1" t="s">
        <v>30</v>
      </c>
      <c r="K30" s="6"/>
    </row>
    <row r="31" spans="2:13" s="3" customFormat="1" ht="15" customHeight="1" thickBot="1" x14ac:dyDescent="0.35">
      <c r="B31" s="72" t="s">
        <v>31</v>
      </c>
      <c r="C31" s="45"/>
      <c r="D31" s="35"/>
      <c r="E31" s="35" t="s">
        <v>24</v>
      </c>
      <c r="F31" s="35"/>
      <c r="G31" s="35"/>
      <c r="H31" s="35"/>
      <c r="I31" s="46"/>
      <c r="J31" s="196" t="s">
        <v>32</v>
      </c>
      <c r="K31" s="73"/>
    </row>
    <row r="32" spans="2:13" s="3" customFormat="1" ht="8.25" customHeight="1" x14ac:dyDescent="0.3">
      <c r="B32" s="61"/>
      <c r="C32" s="394"/>
      <c r="D32" s="395"/>
      <c r="E32" s="395"/>
      <c r="F32" s="395"/>
      <c r="G32" s="395"/>
      <c r="H32" s="395"/>
      <c r="I32" s="396"/>
      <c r="J32" s="20"/>
      <c r="K32" s="33">
        <f>J32*B32</f>
        <v>0</v>
      </c>
    </row>
    <row r="33" spans="2:11" s="210" customFormat="1" ht="15" customHeight="1" x14ac:dyDescent="0.3">
      <c r="B33" s="351"/>
      <c r="C33" s="349"/>
      <c r="D33" s="348"/>
      <c r="E33" s="3"/>
      <c r="F33" s="14"/>
      <c r="G33" s="3"/>
      <c r="H33" s="246"/>
      <c r="I33" s="51"/>
      <c r="J33" s="20"/>
      <c r="K33" s="274"/>
    </row>
    <row r="34" spans="2:11" s="210" customFormat="1" ht="15" customHeight="1" x14ac:dyDescent="0.3">
      <c r="B34" s="351"/>
      <c r="C34" s="349"/>
      <c r="D34" s="348"/>
      <c r="E34" s="3"/>
      <c r="F34" s="3"/>
      <c r="G34" s="3"/>
      <c r="H34" s="246"/>
      <c r="I34" s="51"/>
      <c r="J34" s="20"/>
      <c r="K34" s="274">
        <f t="shared" ref="K34" si="4">B34*J34</f>
        <v>0</v>
      </c>
    </row>
    <row r="35" spans="2:11" customFormat="1" ht="13" x14ac:dyDescent="0.3">
      <c r="B35" s="351"/>
      <c r="C35" s="13"/>
      <c r="D35" s="3"/>
      <c r="E35" s="3"/>
      <c r="F35" s="69"/>
      <c r="G35" s="3"/>
      <c r="H35" s="3"/>
      <c r="I35" s="3"/>
      <c r="J35" s="34"/>
      <c r="K35" s="274">
        <f t="shared" ref="K35" si="5">B35*J35</f>
        <v>0</v>
      </c>
    </row>
    <row r="36" spans="2:11" customFormat="1" ht="13" x14ac:dyDescent="0.3">
      <c r="B36" s="351"/>
      <c r="C36" s="360"/>
      <c r="D36" s="3"/>
      <c r="E36" s="3"/>
      <c r="F36" s="3"/>
      <c r="G36" s="3"/>
      <c r="H36" s="3"/>
      <c r="I36" s="3"/>
      <c r="J36" s="34"/>
      <c r="K36" s="274">
        <f t="shared" ref="K36:K37" si="6">B36*J36</f>
        <v>0</v>
      </c>
    </row>
    <row r="37" spans="2:11" customFormat="1" ht="13" x14ac:dyDescent="0.3">
      <c r="B37" s="351"/>
      <c r="C37" s="13"/>
      <c r="D37" s="3"/>
      <c r="E37" s="3"/>
      <c r="F37" s="3"/>
      <c r="G37" s="3"/>
      <c r="H37" s="3"/>
      <c r="I37" s="3"/>
      <c r="J37" s="34"/>
      <c r="K37" s="274">
        <f t="shared" si="6"/>
        <v>0</v>
      </c>
    </row>
    <row r="38" spans="2:11" s="3" customFormat="1" ht="15" customHeight="1" thickBot="1" x14ac:dyDescent="0.35">
      <c r="B38" s="24"/>
      <c r="C38" s="307"/>
      <c r="D38" s="7"/>
      <c r="E38" s="7"/>
      <c r="F38" s="7"/>
      <c r="G38" s="7"/>
      <c r="H38" s="7"/>
      <c r="I38" s="264"/>
      <c r="J38" s="306" t="s">
        <v>33</v>
      </c>
      <c r="K38" s="262"/>
    </row>
    <row r="39" spans="2:11" s="3" customFormat="1" ht="11.25" customHeight="1" x14ac:dyDescent="0.3">
      <c r="F39" s="14"/>
      <c r="J39" s="8"/>
      <c r="K39" s="8"/>
    </row>
    <row r="40" spans="2:11" s="3" customFormat="1" ht="13.5" thickBot="1" x14ac:dyDescent="0.35">
      <c r="C40" s="3" t="s">
        <v>34</v>
      </c>
      <c r="K40" s="8"/>
    </row>
    <row r="41" spans="2:11" s="3" customFormat="1" ht="18.5" thickBot="1" x14ac:dyDescent="0.45">
      <c r="B41" s="15"/>
      <c r="C41" s="387"/>
      <c r="D41" s="387"/>
      <c r="E41" s="18"/>
      <c r="F41" s="387"/>
      <c r="G41" s="379"/>
      <c r="H41" s="210"/>
      <c r="J41" s="9" t="s">
        <v>35</v>
      </c>
      <c r="K41" s="221">
        <f>SUM(K27:K38)</f>
        <v>0</v>
      </c>
    </row>
    <row r="42" spans="2:11" s="3" customFormat="1" ht="14.25" customHeight="1" x14ac:dyDescent="0.35">
      <c r="B42" s="360"/>
      <c r="C42" s="412"/>
      <c r="D42" s="373"/>
      <c r="F42" s="412"/>
      <c r="G42" s="413"/>
      <c r="H42" s="210"/>
      <c r="I42" s="233"/>
    </row>
    <row r="43" spans="2:11" s="3" customFormat="1" ht="15" customHeight="1" x14ac:dyDescent="0.3">
      <c r="B43" s="13"/>
      <c r="C43" s="372"/>
      <c r="D43" s="373"/>
      <c r="F43" s="374"/>
      <c r="G43" s="375"/>
      <c r="H43" s="210"/>
      <c r="J43" s="3" t="s">
        <v>36</v>
      </c>
    </row>
    <row r="44" spans="2:11" s="3" customFormat="1" ht="13" x14ac:dyDescent="0.3">
      <c r="B44" s="16"/>
      <c r="C44" s="376"/>
      <c r="D44" s="376"/>
      <c r="E44" s="19"/>
      <c r="F44" s="376"/>
      <c r="G44" s="377"/>
      <c r="H44" s="210"/>
      <c r="J44" s="378"/>
      <c r="K44" s="379"/>
    </row>
    <row r="45" spans="2:11" s="3" customFormat="1" ht="13" x14ac:dyDescent="0.3">
      <c r="B45" s="210"/>
      <c r="C45" s="210"/>
      <c r="D45" s="210"/>
      <c r="E45" s="210"/>
      <c r="F45" s="210"/>
      <c r="G45" s="210"/>
      <c r="H45" s="210"/>
      <c r="J45" s="380"/>
      <c r="K45" s="377"/>
    </row>
    <row r="46" spans="2:11" s="3" customFormat="1" ht="12" customHeight="1" x14ac:dyDescent="0.3"/>
    <row r="47" spans="2:11" s="3" customFormat="1" ht="13" x14ac:dyDescent="0.3">
      <c r="C47" s="3" t="s">
        <v>37</v>
      </c>
    </row>
    <row r="48" spans="2:11" s="3" customFormat="1" ht="22.5" customHeight="1" thickBot="1" x14ac:dyDescent="0.35">
      <c r="C48" s="11"/>
      <c r="D48" s="11"/>
      <c r="E48" s="11"/>
      <c r="F48" s="11"/>
      <c r="G48" s="11"/>
      <c r="H48" s="11"/>
      <c r="I48" s="11"/>
    </row>
    <row r="49" spans="3:9" s="3" customFormat="1" ht="13.5" thickTop="1" x14ac:dyDescent="0.3">
      <c r="C49" s="3" t="s">
        <v>38</v>
      </c>
    </row>
    <row r="50" spans="3:9" s="3" customFormat="1" ht="8.25" customHeight="1" x14ac:dyDescent="0.3"/>
    <row r="51" spans="3:9" s="3" customFormat="1" ht="17.25" customHeight="1" x14ac:dyDescent="0.35">
      <c r="D51" s="12" t="s">
        <v>39</v>
      </c>
      <c r="E51" s="12"/>
      <c r="F51" s="12"/>
      <c r="G51" s="12"/>
      <c r="H51" s="12"/>
      <c r="I51" s="12"/>
    </row>
  </sheetData>
  <sheetProtection selectLockedCells="1"/>
  <mergeCells count="28">
    <mergeCell ref="I11:K11"/>
    <mergeCell ref="I10:K10"/>
    <mergeCell ref="C11:F11"/>
    <mergeCell ref="J44:K45"/>
    <mergeCell ref="C44:D44"/>
    <mergeCell ref="C28:H28"/>
    <mergeCell ref="C43:D43"/>
    <mergeCell ref="C32:I32"/>
    <mergeCell ref="C42:D42"/>
    <mergeCell ref="C41:D41"/>
    <mergeCell ref="I12:K12"/>
    <mergeCell ref="C12:F12"/>
    <mergeCell ref="F44:G44"/>
    <mergeCell ref="F43:G43"/>
    <mergeCell ref="F42:G42"/>
    <mergeCell ref="C14:F14"/>
    <mergeCell ref="C2:I2"/>
    <mergeCell ref="F8:I8"/>
    <mergeCell ref="B9:G9"/>
    <mergeCell ref="I9:K9"/>
    <mergeCell ref="C10:F10"/>
    <mergeCell ref="F41:G41"/>
    <mergeCell ref="C13:D13"/>
    <mergeCell ref="C15:F15"/>
    <mergeCell ref="I14:K14"/>
    <mergeCell ref="I15:K15"/>
    <mergeCell ref="C26:I26"/>
    <mergeCell ref="C27:H27"/>
  </mergeCells>
  <phoneticPr fontId="5" type="noConversion"/>
  <conditionalFormatting sqref="B31:B32">
    <cfRule type="cellIs" dxfId="10" priority="6467" stopIfTrue="1" operator="greaterThan">
      <formula>0</formula>
    </cfRule>
  </conditionalFormatting>
  <conditionalFormatting sqref="J26:K32 J1:J9 B1:B18 K8:K9">
    <cfRule type="cellIs" dxfId="9" priority="97" stopIfTrue="1" operator="equal">
      <formula>0</formula>
    </cfRule>
  </conditionalFormatting>
  <conditionalFormatting sqref="J35:K38 B26:B30 B35:B40">
    <cfRule type="cellIs" dxfId="8" priority="2690" stopIfTrue="1" operator="equal">
      <formula>0</formula>
    </cfRule>
  </conditionalFormatting>
  <conditionalFormatting sqref="K1 J17:K18 B32 J39:J41 I42 J43:J44 B46:B63704 J46:K63704">
    <cfRule type="cellIs" dxfId="7" priority="6466" stopIfTrue="1" operator="equal">
      <formula>0</formula>
    </cfRule>
  </conditionalFormatting>
  <conditionalFormatting sqref="K3:K5">
    <cfRule type="cellIs" dxfId="6" priority="173" stopIfTrue="1" operator="equal">
      <formula>0</formula>
    </cfRule>
  </conditionalFormatting>
  <conditionalFormatting sqref="K19:K26">
    <cfRule type="cellIs" dxfId="5" priority="1" operator="equal">
      <formula>0</formula>
    </cfRule>
  </conditionalFormatting>
  <conditionalFormatting sqref="K28:K37">
    <cfRule type="cellIs" dxfId="4" priority="16" operator="equal">
      <formula>0</formula>
    </cfRule>
  </conditionalFormatting>
  <conditionalFormatting sqref="K38:K43">
    <cfRule type="cellIs" dxfId="3" priority="3992" stopIfTrue="1" operator="equal">
      <formula>0</formula>
    </cfRule>
  </conditionalFormatting>
  <dataValidations count="1">
    <dataValidation type="list" allowBlank="1" showInputMessage="1" showErrorMessage="1" sqref="C10:F10" xr:uid="{00000000-0002-0000-0200-000000000000}">
      <formula1>CLIENT</formula1>
    </dataValidation>
  </dataValidations>
  <pageMargins left="0.25" right="0.25" top="0" bottom="0.25" header="0" footer="0"/>
  <pageSetup fitToWidth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BA1455"/>
  <sheetViews>
    <sheetView tabSelected="1" zoomScale="130" zoomScaleNormal="130" workbookViewId="0">
      <pane ySplit="2" topLeftCell="A171" activePane="bottomLeft" state="frozen"/>
      <selection pane="bottomLeft" activeCell="K185" sqref="K185"/>
    </sheetView>
  </sheetViews>
  <sheetFormatPr defaultColWidth="9.1796875" defaultRowHeight="13.5" x14ac:dyDescent="0.25"/>
  <cols>
    <col min="1" max="1" width="34" style="258" customWidth="1"/>
    <col min="2" max="2" width="11.54296875" style="66" customWidth="1"/>
    <col min="3" max="3" width="3.81640625" style="68" customWidth="1"/>
    <col min="4" max="4" width="11.7265625" style="79" customWidth="1"/>
    <col min="5" max="5" width="7" style="123" customWidth="1"/>
    <col min="6" max="6" width="8.7265625" style="38" customWidth="1"/>
    <col min="7" max="7" width="7.453125" style="124" customWidth="1"/>
    <col min="8" max="8" width="5.7265625" style="123" customWidth="1"/>
    <col min="9" max="9" width="8.54296875" style="36" customWidth="1"/>
    <col min="10" max="10" width="7.54296875" style="37" customWidth="1"/>
    <col min="11" max="11" width="7" style="126" customWidth="1"/>
    <col min="12" max="12" width="1.81640625" style="331" customWidth="1"/>
    <col min="13" max="13" width="6.81640625" style="127" customWidth="1"/>
    <col min="14" max="14" width="12.54296875" style="128" customWidth="1"/>
    <col min="15" max="15" width="12.26953125" style="128" customWidth="1"/>
    <col min="16" max="16" width="13.7265625" style="59" customWidth="1"/>
    <col min="17" max="17" width="8.1796875" style="131" customWidth="1"/>
    <col min="18" max="18" width="0.26953125" style="131" hidden="1" customWidth="1"/>
    <col min="19" max="19" width="7.26953125" style="63" customWidth="1"/>
    <col min="20" max="20" width="26" style="67" customWidth="1"/>
    <col min="21" max="21" width="13.7265625" style="67" customWidth="1"/>
    <col min="22" max="22" width="3.1796875" style="79" customWidth="1"/>
    <col min="23" max="23" width="7.1796875" style="76" customWidth="1"/>
    <col min="24" max="24" width="28.7265625" style="147" customWidth="1"/>
    <col min="25" max="25" width="32.7265625" style="236" customWidth="1"/>
    <col min="26" max="26" width="31" style="234" customWidth="1"/>
    <col min="27" max="27" width="14.54296875" style="79" customWidth="1"/>
    <col min="28" max="28" width="10.7265625" style="135" customWidth="1"/>
    <col min="29" max="29" width="10.81640625" style="136" customWidth="1"/>
    <col min="30" max="30" width="10.453125" style="79" customWidth="1"/>
    <col min="31" max="31" width="10.81640625" style="128" customWidth="1"/>
    <col min="32" max="32" width="10.54296875" style="128" customWidth="1"/>
    <col min="33" max="33" width="10.81640625" style="128" customWidth="1"/>
    <col min="34" max="34" width="10.54296875" style="128" customWidth="1"/>
    <col min="35" max="36" width="10.81640625" style="135" customWidth="1"/>
    <col min="37" max="37" width="21.54296875" style="58" customWidth="1"/>
    <col min="38" max="38" width="9.81640625" style="287" customWidth="1"/>
    <col min="39" max="39" width="9.453125" style="288" customWidth="1"/>
    <col min="40" max="40" width="8.54296875" style="288" customWidth="1"/>
    <col min="41" max="41" width="9.453125" style="288" customWidth="1"/>
    <col min="42" max="42" width="9.1796875" style="288"/>
    <col min="43" max="43" width="12.26953125" style="288" customWidth="1"/>
    <col min="44" max="44" width="10.7265625" style="288" customWidth="1"/>
    <col min="45" max="45" width="13.54296875" style="322" customWidth="1"/>
    <col min="46" max="46" width="20.7265625" style="116" customWidth="1"/>
    <col min="47" max="47" width="26" style="67" customWidth="1"/>
    <col min="48" max="48" width="21.54296875" style="66" customWidth="1"/>
    <col min="49" max="49" width="13.1796875" style="67" customWidth="1"/>
    <col min="50" max="50" width="3.1796875" style="79" customWidth="1"/>
    <col min="51" max="51" width="7.1796875" style="76" customWidth="1"/>
    <col min="52" max="52" width="11.54296875" style="77" customWidth="1"/>
    <col min="53" max="53" width="2.1796875" style="75" customWidth="1"/>
    <col min="54" max="16384" width="9.1796875" style="66"/>
  </cols>
  <sheetData>
    <row r="1" spans="1:53" ht="24.75" customHeight="1" thickBot="1" x14ac:dyDescent="0.65">
      <c r="A1" s="335">
        <v>46022</v>
      </c>
      <c r="B1" s="425" t="s">
        <v>48</v>
      </c>
      <c r="C1" s="426"/>
      <c r="D1" s="427"/>
      <c r="E1" s="428" t="s">
        <v>49</v>
      </c>
      <c r="F1" s="429"/>
      <c r="G1" s="419"/>
      <c r="H1" s="430" t="s">
        <v>50</v>
      </c>
      <c r="I1" s="426"/>
      <c r="J1" s="427"/>
      <c r="K1" s="431" t="s">
        <v>51</v>
      </c>
      <c r="L1" s="432"/>
      <c r="M1" s="433"/>
      <c r="N1" s="428" t="s">
        <v>52</v>
      </c>
      <c r="O1" s="429"/>
      <c r="P1" s="419"/>
      <c r="Q1" s="194" t="s">
        <v>53</v>
      </c>
      <c r="R1" s="194" t="s">
        <v>54</v>
      </c>
      <c r="S1" s="48" t="s">
        <v>55</v>
      </c>
      <c r="T1" s="434" t="s">
        <v>56</v>
      </c>
      <c r="U1" s="435"/>
      <c r="V1" s="435"/>
      <c r="W1" s="436"/>
      <c r="X1" s="241" t="s">
        <v>57</v>
      </c>
      <c r="Y1" s="243" t="s">
        <v>58</v>
      </c>
      <c r="Z1" s="232" t="s">
        <v>59</v>
      </c>
      <c r="AA1" s="414" t="s">
        <v>60</v>
      </c>
      <c r="AB1" s="415"/>
      <c r="AC1" s="416" t="s">
        <v>61</v>
      </c>
      <c r="AD1" s="417"/>
      <c r="AE1" s="414" t="s">
        <v>62</v>
      </c>
      <c r="AF1" s="415"/>
      <c r="AG1" s="416" t="s">
        <v>63</v>
      </c>
      <c r="AH1" s="417"/>
      <c r="AI1" s="418" t="s">
        <v>64</v>
      </c>
      <c r="AJ1" s="419"/>
      <c r="AK1" s="213" t="s">
        <v>65</v>
      </c>
      <c r="AL1" s="285" t="s">
        <v>66</v>
      </c>
      <c r="AM1" s="286" t="s">
        <v>67</v>
      </c>
      <c r="AN1" s="285" t="s">
        <v>68</v>
      </c>
      <c r="AO1" s="285" t="s">
        <v>69</v>
      </c>
      <c r="AP1" s="285" t="s">
        <v>70</v>
      </c>
      <c r="AQ1" s="285" t="s">
        <v>71</v>
      </c>
      <c r="AR1" s="285" t="s">
        <v>72</v>
      </c>
      <c r="AS1" s="49"/>
      <c r="AT1" s="214" t="s">
        <v>73</v>
      </c>
      <c r="AU1" s="215" t="s">
        <v>74</v>
      </c>
      <c r="AV1" s="216"/>
      <c r="AW1" s="215" t="s">
        <v>75</v>
      </c>
      <c r="AX1" s="217" t="s">
        <v>76</v>
      </c>
      <c r="AY1" s="217" t="s">
        <v>77</v>
      </c>
      <c r="AZ1" s="218" t="s">
        <v>78</v>
      </c>
      <c r="BA1" s="50"/>
    </row>
    <row r="2" spans="1:53" s="44" customFormat="1" ht="21.75" customHeight="1" thickBot="1" x14ac:dyDescent="0.65">
      <c r="A2" s="255"/>
      <c r="B2" s="313" t="s">
        <v>79</v>
      </c>
      <c r="C2" s="155" t="s">
        <v>80</v>
      </c>
      <c r="D2" s="156" t="s">
        <v>81</v>
      </c>
      <c r="E2" s="156" t="s">
        <v>82</v>
      </c>
      <c r="F2" s="314"/>
      <c r="G2" s="157" t="s">
        <v>83</v>
      </c>
      <c r="H2" s="315" t="s">
        <v>82</v>
      </c>
      <c r="I2" s="316" t="s">
        <v>84</v>
      </c>
      <c r="J2" s="158" t="s">
        <v>83</v>
      </c>
      <c r="K2" s="219" t="s">
        <v>85</v>
      </c>
      <c r="L2" s="326"/>
      <c r="M2" s="159" t="s">
        <v>86</v>
      </c>
      <c r="N2" s="160" t="s">
        <v>87</v>
      </c>
      <c r="O2" s="160" t="s">
        <v>78</v>
      </c>
      <c r="P2" s="161" t="s">
        <v>88</v>
      </c>
      <c r="Q2" s="195"/>
      <c r="R2" s="193"/>
      <c r="S2" s="192"/>
      <c r="T2" s="162" t="s">
        <v>89</v>
      </c>
      <c r="U2" s="162" t="s">
        <v>90</v>
      </c>
      <c r="V2" s="154" t="s">
        <v>91</v>
      </c>
      <c r="W2" s="154" t="s">
        <v>92</v>
      </c>
      <c r="X2" s="242"/>
      <c r="Y2" s="242"/>
      <c r="Z2" s="154"/>
      <c r="AA2" s="164" t="s">
        <v>87</v>
      </c>
      <c r="AB2" s="164" t="s">
        <v>78</v>
      </c>
      <c r="AC2" s="165" t="s">
        <v>87</v>
      </c>
      <c r="AD2" s="165" t="s">
        <v>78</v>
      </c>
      <c r="AE2" s="164" t="s">
        <v>87</v>
      </c>
      <c r="AF2" s="164" t="s">
        <v>78</v>
      </c>
      <c r="AG2" s="165" t="s">
        <v>87</v>
      </c>
      <c r="AH2" s="165" t="s">
        <v>78</v>
      </c>
      <c r="AI2" s="160" t="s">
        <v>93</v>
      </c>
      <c r="AJ2" s="160" t="s">
        <v>94</v>
      </c>
      <c r="AK2" s="231"/>
      <c r="AL2" s="420" t="s">
        <v>95</v>
      </c>
      <c r="AM2" s="421"/>
      <c r="AN2" s="421"/>
      <c r="AO2" s="421"/>
      <c r="AP2" s="421"/>
      <c r="AQ2" s="421"/>
      <c r="AR2" s="421"/>
      <c r="AS2" s="166"/>
      <c r="AT2" s="422" t="s">
        <v>96</v>
      </c>
      <c r="AU2" s="423"/>
      <c r="AV2" s="423"/>
      <c r="AW2" s="423"/>
      <c r="AX2" s="423"/>
      <c r="AY2" s="423"/>
      <c r="AZ2" s="424"/>
      <c r="BA2" s="163"/>
    </row>
    <row r="3" spans="1:53" ht="14.15" customHeight="1" x14ac:dyDescent="0.4">
      <c r="A3" s="256" t="s">
        <v>97</v>
      </c>
      <c r="B3" s="67" t="s">
        <v>98</v>
      </c>
      <c r="C3" s="111" t="s">
        <v>99</v>
      </c>
      <c r="D3" s="115"/>
      <c r="E3" s="120" t="s">
        <v>100</v>
      </c>
      <c r="F3" s="82"/>
      <c r="G3" s="84"/>
      <c r="H3" s="90" t="s">
        <v>100</v>
      </c>
      <c r="I3" s="91"/>
      <c r="J3" s="97"/>
      <c r="K3" s="102"/>
      <c r="L3" s="327"/>
      <c r="M3" s="106">
        <v>44532</v>
      </c>
      <c r="N3" s="113" t="s">
        <v>101</v>
      </c>
      <c r="O3" s="113" t="s">
        <v>102</v>
      </c>
      <c r="P3" s="57"/>
      <c r="Q3" s="132">
        <v>8.6249999999999993E-2</v>
      </c>
      <c r="R3" s="132"/>
      <c r="S3" s="63" t="s">
        <v>103</v>
      </c>
      <c r="T3" s="67" t="s">
        <v>104</v>
      </c>
      <c r="U3" s="67" t="s">
        <v>105</v>
      </c>
      <c r="V3" s="113" t="s">
        <v>106</v>
      </c>
      <c r="W3" s="222">
        <v>94107</v>
      </c>
      <c r="X3" s="141"/>
      <c r="Z3" s="236"/>
      <c r="AA3" s="200"/>
      <c r="AB3" s="130"/>
      <c r="AC3" s="202"/>
      <c r="AD3" s="200"/>
      <c r="AE3" s="113"/>
      <c r="AF3" s="113"/>
      <c r="AG3" s="113"/>
      <c r="AH3" s="113"/>
      <c r="AI3" s="130"/>
      <c r="AK3" s="57"/>
      <c r="AS3" s="207"/>
      <c r="AU3" s="67" t="s">
        <v>104</v>
      </c>
      <c r="AV3" s="251"/>
      <c r="AW3" s="67" t="s">
        <v>105</v>
      </c>
      <c r="AX3" s="113" t="s">
        <v>106</v>
      </c>
      <c r="AY3" s="222">
        <v>94107</v>
      </c>
      <c r="AZ3" s="199" t="s">
        <v>102</v>
      </c>
      <c r="BA3" s="317"/>
    </row>
    <row r="4" spans="1:53" s="251" customFormat="1" ht="14.15" customHeight="1" x14ac:dyDescent="0.25">
      <c r="A4" s="256" t="s">
        <v>107</v>
      </c>
      <c r="B4" s="67" t="s">
        <v>108</v>
      </c>
      <c r="C4" s="109" t="s">
        <v>109</v>
      </c>
      <c r="D4" s="79" t="s">
        <v>110</v>
      </c>
      <c r="E4" s="118" t="s">
        <v>100</v>
      </c>
      <c r="F4" s="80"/>
      <c r="G4" s="81"/>
      <c r="H4" s="92" t="s">
        <v>100</v>
      </c>
      <c r="I4" s="86"/>
      <c r="J4" s="96"/>
      <c r="K4" s="100"/>
      <c r="L4" s="328"/>
      <c r="M4" s="104">
        <v>43927</v>
      </c>
      <c r="N4" s="128" t="s">
        <v>111</v>
      </c>
      <c r="O4" s="128" t="s">
        <v>112</v>
      </c>
      <c r="P4" s="59"/>
      <c r="Q4" s="132">
        <v>0.10249999999999999</v>
      </c>
      <c r="R4" s="132"/>
      <c r="S4" s="63" t="s">
        <v>113</v>
      </c>
      <c r="T4" s="67" t="s">
        <v>114</v>
      </c>
      <c r="U4" s="67" t="s">
        <v>115</v>
      </c>
      <c r="V4" s="79" t="s">
        <v>106</v>
      </c>
      <c r="W4" s="76">
        <v>94602</v>
      </c>
      <c r="X4" s="147"/>
      <c r="Y4" s="236"/>
      <c r="Z4" s="234"/>
      <c r="AA4" s="79"/>
      <c r="AB4" s="135"/>
      <c r="AC4" s="136"/>
      <c r="AD4" s="79"/>
      <c r="AE4" s="128"/>
      <c r="AF4" s="128"/>
      <c r="AG4" s="128"/>
      <c r="AH4" s="128"/>
      <c r="AI4" s="135"/>
      <c r="AJ4" s="135"/>
      <c r="AK4" s="58"/>
      <c r="AL4" s="290"/>
      <c r="AM4" s="290"/>
      <c r="AN4" s="290"/>
      <c r="AO4" s="290"/>
      <c r="AP4" s="290"/>
      <c r="AQ4" s="290"/>
      <c r="AR4" s="290"/>
      <c r="AS4" s="207"/>
      <c r="AT4" s="116" t="s">
        <v>116</v>
      </c>
      <c r="AU4" s="67" t="s">
        <v>114</v>
      </c>
      <c r="AV4" s="66"/>
      <c r="AW4" s="67" t="s">
        <v>115</v>
      </c>
      <c r="AX4" s="79" t="s">
        <v>106</v>
      </c>
      <c r="AY4" s="76">
        <v>94602</v>
      </c>
      <c r="AZ4" s="77" t="s">
        <v>112</v>
      </c>
      <c r="BA4" s="317"/>
    </row>
    <row r="5" spans="1:53" s="210" customFormat="1" ht="13.5" customHeight="1" x14ac:dyDescent="0.4">
      <c r="A5" s="256" t="s">
        <v>117</v>
      </c>
      <c r="B5" s="67" t="s">
        <v>118</v>
      </c>
      <c r="C5" s="111" t="s">
        <v>119</v>
      </c>
      <c r="D5" s="115" t="s">
        <v>120</v>
      </c>
      <c r="E5" s="120" t="s">
        <v>100</v>
      </c>
      <c r="F5" s="82"/>
      <c r="G5" s="84"/>
      <c r="H5" s="90" t="s">
        <v>100</v>
      </c>
      <c r="I5" s="91"/>
      <c r="J5" s="97"/>
      <c r="K5" s="102">
        <v>45356</v>
      </c>
      <c r="L5" s="327"/>
      <c r="M5" s="106">
        <v>44180</v>
      </c>
      <c r="N5" s="113" t="s">
        <v>121</v>
      </c>
      <c r="O5" s="113" t="s">
        <v>122</v>
      </c>
      <c r="P5" s="57"/>
      <c r="Q5" s="132">
        <v>8.6249999999999993E-2</v>
      </c>
      <c r="R5" s="132"/>
      <c r="S5" s="63" t="s">
        <v>103</v>
      </c>
      <c r="T5" s="67" t="s">
        <v>123</v>
      </c>
      <c r="U5" s="67" t="s">
        <v>105</v>
      </c>
      <c r="V5" s="113" t="s">
        <v>106</v>
      </c>
      <c r="W5" s="222">
        <v>94122</v>
      </c>
      <c r="X5" s="141"/>
      <c r="Y5" s="236"/>
      <c r="Z5" s="236"/>
      <c r="AA5" s="200"/>
      <c r="AB5" s="130"/>
      <c r="AC5" s="202"/>
      <c r="AD5" s="200"/>
      <c r="AE5" s="113"/>
      <c r="AF5" s="113"/>
      <c r="AG5" s="113"/>
      <c r="AH5" s="113"/>
      <c r="AI5" s="130"/>
      <c r="AJ5" s="135"/>
      <c r="AK5" s="57"/>
      <c r="AL5" s="287"/>
      <c r="AM5" s="288"/>
      <c r="AN5" s="288"/>
      <c r="AO5" s="288"/>
      <c r="AP5" s="288"/>
      <c r="AQ5" s="288">
        <v>1493</v>
      </c>
      <c r="AR5" s="288"/>
      <c r="AS5" s="207"/>
      <c r="AT5" s="116"/>
      <c r="AU5" s="67" t="s">
        <v>123</v>
      </c>
      <c r="AV5" s="251"/>
      <c r="AW5" s="67" t="s">
        <v>105</v>
      </c>
      <c r="AX5" s="113" t="s">
        <v>106</v>
      </c>
      <c r="AY5" s="222">
        <v>94122</v>
      </c>
      <c r="AZ5" s="199" t="s">
        <v>122</v>
      </c>
      <c r="BA5" s="317"/>
    </row>
    <row r="6" spans="1:53" s="251" customFormat="1" ht="14.15" customHeight="1" x14ac:dyDescent="0.4">
      <c r="A6" s="256" t="s">
        <v>124</v>
      </c>
      <c r="B6" s="67" t="s">
        <v>125</v>
      </c>
      <c r="C6" s="111" t="s">
        <v>99</v>
      </c>
      <c r="D6" s="113" t="s">
        <v>126</v>
      </c>
      <c r="E6" s="120" t="s">
        <v>100</v>
      </c>
      <c r="F6" s="82"/>
      <c r="G6" s="84"/>
      <c r="H6" s="90" t="s">
        <v>100</v>
      </c>
      <c r="I6" s="91"/>
      <c r="J6" s="97"/>
      <c r="K6" s="102">
        <v>44358</v>
      </c>
      <c r="L6" s="327"/>
      <c r="M6" s="106">
        <v>44449</v>
      </c>
      <c r="N6" s="113" t="s">
        <v>127</v>
      </c>
      <c r="O6" s="113" t="s">
        <v>128</v>
      </c>
      <c r="P6" s="57" t="s">
        <v>129</v>
      </c>
      <c r="Q6" s="132">
        <v>8.6249999999999993E-2</v>
      </c>
      <c r="R6" s="132">
        <v>8.7499999999999994E-2</v>
      </c>
      <c r="S6" s="63" t="s">
        <v>103</v>
      </c>
      <c r="T6" s="67" t="s">
        <v>130</v>
      </c>
      <c r="U6" s="67" t="s">
        <v>105</v>
      </c>
      <c r="V6" s="113" t="s">
        <v>106</v>
      </c>
      <c r="W6" s="222">
        <v>94110</v>
      </c>
      <c r="X6" s="141"/>
      <c r="Y6" s="236"/>
      <c r="Z6" s="236"/>
      <c r="AA6" s="200"/>
      <c r="AB6" s="130"/>
      <c r="AC6" s="202"/>
      <c r="AD6" s="200"/>
      <c r="AE6" s="113"/>
      <c r="AF6" s="113"/>
      <c r="AG6" s="113"/>
      <c r="AH6" s="113"/>
      <c r="AI6" s="130" t="s">
        <v>131</v>
      </c>
      <c r="AJ6" s="135" t="s">
        <v>116</v>
      </c>
      <c r="AK6" s="57"/>
      <c r="AL6" s="287"/>
      <c r="AM6" s="288"/>
      <c r="AN6" s="288"/>
      <c r="AO6" s="288"/>
      <c r="AP6" s="288"/>
      <c r="AQ6" s="288"/>
      <c r="AR6" s="288"/>
      <c r="AS6" s="207" t="s">
        <v>132</v>
      </c>
      <c r="AT6" s="116" t="s">
        <v>133</v>
      </c>
      <c r="AU6" s="67" t="s">
        <v>130</v>
      </c>
      <c r="AW6" s="67" t="s">
        <v>105</v>
      </c>
      <c r="AX6" s="113" t="s">
        <v>106</v>
      </c>
      <c r="AY6" s="222">
        <v>94110</v>
      </c>
      <c r="AZ6" s="199" t="s">
        <v>128</v>
      </c>
      <c r="BA6" s="75"/>
    </row>
    <row r="7" spans="1:53" s="251" customFormat="1" ht="14.15" customHeight="1" x14ac:dyDescent="0.4">
      <c r="A7" s="256" t="s">
        <v>134</v>
      </c>
      <c r="B7" s="67" t="s">
        <v>108</v>
      </c>
      <c r="C7" s="111" t="s">
        <v>109</v>
      </c>
      <c r="D7" s="113" t="s">
        <v>135</v>
      </c>
      <c r="E7" s="120" t="s">
        <v>100</v>
      </c>
      <c r="F7" s="82"/>
      <c r="G7" s="84"/>
      <c r="H7" s="90" t="s">
        <v>100</v>
      </c>
      <c r="I7" s="91"/>
      <c r="J7" s="97"/>
      <c r="K7" s="102"/>
      <c r="L7" s="327"/>
      <c r="M7" s="106">
        <v>43026</v>
      </c>
      <c r="N7" s="113" t="s">
        <v>136</v>
      </c>
      <c r="O7" s="113" t="s">
        <v>137</v>
      </c>
      <c r="P7" s="57"/>
      <c r="Q7" s="132">
        <v>9.7500000000000003E-2</v>
      </c>
      <c r="R7" s="132">
        <v>8.5000000000000006E-2</v>
      </c>
      <c r="S7" s="63" t="s">
        <v>138</v>
      </c>
      <c r="T7" s="67" t="s">
        <v>139</v>
      </c>
      <c r="U7" s="67" t="s">
        <v>138</v>
      </c>
      <c r="V7" s="113" t="s">
        <v>106</v>
      </c>
      <c r="W7" s="222">
        <v>94520</v>
      </c>
      <c r="X7" s="141"/>
      <c r="Y7" s="236"/>
      <c r="Z7" s="236"/>
      <c r="AA7" s="200" t="s">
        <v>140</v>
      </c>
      <c r="AB7" s="130"/>
      <c r="AC7" s="202"/>
      <c r="AD7" s="200"/>
      <c r="AE7" s="113"/>
      <c r="AF7" s="113"/>
      <c r="AG7" s="113"/>
      <c r="AH7" s="113"/>
      <c r="AI7" s="130"/>
      <c r="AJ7" s="135"/>
      <c r="AK7" s="57"/>
      <c r="AL7" s="290"/>
      <c r="AM7" s="290"/>
      <c r="AN7" s="290"/>
      <c r="AO7" s="290"/>
      <c r="AP7" s="290"/>
      <c r="AQ7" s="290"/>
      <c r="AR7" s="290"/>
      <c r="AS7" s="207" t="s">
        <v>132</v>
      </c>
      <c r="AT7" s="116" t="s">
        <v>133</v>
      </c>
      <c r="AU7" s="67" t="s">
        <v>139</v>
      </c>
      <c r="AW7" s="67" t="s">
        <v>138</v>
      </c>
      <c r="AX7" s="113" t="s">
        <v>106</v>
      </c>
      <c r="AY7" s="222">
        <v>94520</v>
      </c>
      <c r="AZ7" s="199" t="s">
        <v>137</v>
      </c>
      <c r="BA7" s="75"/>
    </row>
    <row r="8" spans="1:53" s="251" customFormat="1" ht="14.15" customHeight="1" x14ac:dyDescent="0.4">
      <c r="A8" s="256" t="s">
        <v>141</v>
      </c>
      <c r="B8" s="67" t="s">
        <v>125</v>
      </c>
      <c r="C8" s="111" t="s">
        <v>99</v>
      </c>
      <c r="D8" s="115" t="s">
        <v>142</v>
      </c>
      <c r="E8" s="120" t="s">
        <v>100</v>
      </c>
      <c r="F8" s="249" t="s">
        <v>143</v>
      </c>
      <c r="G8" s="84"/>
      <c r="H8" s="254" t="s">
        <v>100</v>
      </c>
      <c r="I8" s="253" t="s">
        <v>143</v>
      </c>
      <c r="J8" s="97"/>
      <c r="K8" s="102">
        <v>43878</v>
      </c>
      <c r="L8" s="327"/>
      <c r="M8" s="106">
        <v>44568</v>
      </c>
      <c r="N8" s="113" t="s">
        <v>144</v>
      </c>
      <c r="O8" s="113" t="s">
        <v>145</v>
      </c>
      <c r="P8" s="57"/>
      <c r="Q8" s="132">
        <v>9.375E-2</v>
      </c>
      <c r="R8" s="132"/>
      <c r="S8" s="63" t="s">
        <v>146</v>
      </c>
      <c r="T8" s="67" t="s">
        <v>147</v>
      </c>
      <c r="U8" s="67" t="s">
        <v>148</v>
      </c>
      <c r="V8" s="113" t="s">
        <v>106</v>
      </c>
      <c r="W8" s="222">
        <v>95128</v>
      </c>
      <c r="X8" s="141"/>
      <c r="Y8" s="236"/>
      <c r="Z8" s="236"/>
      <c r="AA8" s="200"/>
      <c r="AB8" s="130"/>
      <c r="AC8" s="202"/>
      <c r="AD8" s="200"/>
      <c r="AE8" s="113"/>
      <c r="AF8" s="113"/>
      <c r="AG8" s="113"/>
      <c r="AH8" s="113"/>
      <c r="AI8" s="130"/>
      <c r="AJ8" s="135"/>
      <c r="AK8" s="57"/>
      <c r="AL8" s="287" t="s">
        <v>149</v>
      </c>
      <c r="AM8" s="288"/>
      <c r="AN8" s="288"/>
      <c r="AO8" s="288"/>
      <c r="AP8" s="288"/>
      <c r="AQ8" s="288"/>
      <c r="AR8" s="288"/>
      <c r="AS8" s="207"/>
      <c r="AT8" s="116"/>
      <c r="AU8" s="67" t="s">
        <v>150</v>
      </c>
      <c r="AW8" s="67" t="s">
        <v>148</v>
      </c>
      <c r="AX8" s="113" t="s">
        <v>106</v>
      </c>
      <c r="AY8" s="222">
        <v>95128</v>
      </c>
      <c r="AZ8" s="199" t="s">
        <v>145</v>
      </c>
      <c r="BA8" s="317"/>
    </row>
    <row r="9" spans="1:53" s="251" customFormat="1" ht="14.15" customHeight="1" x14ac:dyDescent="0.4">
      <c r="A9" s="256" t="s">
        <v>151</v>
      </c>
      <c r="B9" s="67" t="s">
        <v>98</v>
      </c>
      <c r="C9" s="111" t="s">
        <v>99</v>
      </c>
      <c r="D9" s="113"/>
      <c r="E9" s="120" t="s">
        <v>100</v>
      </c>
      <c r="F9" s="82"/>
      <c r="G9" s="84"/>
      <c r="H9" s="90" t="s">
        <v>100</v>
      </c>
      <c r="I9" s="91"/>
      <c r="J9" s="97"/>
      <c r="K9" s="102">
        <v>45968</v>
      </c>
      <c r="L9" s="327"/>
      <c r="M9" s="106"/>
      <c r="N9" s="113" t="s">
        <v>152</v>
      </c>
      <c r="O9" s="113" t="s">
        <v>153</v>
      </c>
      <c r="P9" s="57"/>
      <c r="Q9" s="132">
        <v>9.2499999999999999E-2</v>
      </c>
      <c r="R9" s="132">
        <v>7.4999999999999997E-2</v>
      </c>
      <c r="S9" s="63" t="s">
        <v>154</v>
      </c>
      <c r="T9" s="67" t="s">
        <v>155</v>
      </c>
      <c r="U9" s="67" t="s">
        <v>156</v>
      </c>
      <c r="V9" s="113" t="s">
        <v>106</v>
      </c>
      <c r="W9" s="222">
        <v>95928</v>
      </c>
      <c r="X9" s="139" t="s">
        <v>157</v>
      </c>
      <c r="Y9" s="139" t="s">
        <v>157</v>
      </c>
      <c r="Z9" s="143"/>
      <c r="AA9" s="200" t="s">
        <v>158</v>
      </c>
      <c r="AB9" s="130"/>
      <c r="AC9" s="136"/>
      <c r="AD9" s="79"/>
      <c r="AE9" s="128"/>
      <c r="AF9" s="128"/>
      <c r="AG9" s="128"/>
      <c r="AH9" s="128"/>
      <c r="AI9" s="130" t="s">
        <v>159</v>
      </c>
      <c r="AJ9" s="135" t="s">
        <v>116</v>
      </c>
      <c r="AK9" s="57"/>
      <c r="AL9" s="290" t="s">
        <v>149</v>
      </c>
      <c r="AM9" s="290">
        <v>13305</v>
      </c>
      <c r="AN9" s="290">
        <v>15741</v>
      </c>
      <c r="AO9" s="290">
        <v>62245</v>
      </c>
      <c r="AP9" s="290">
        <v>62235</v>
      </c>
      <c r="AQ9" s="290"/>
      <c r="AR9" s="290"/>
      <c r="AS9" s="207" t="s">
        <v>132</v>
      </c>
      <c r="AT9" s="116" t="s">
        <v>133</v>
      </c>
      <c r="AU9" s="67" t="s">
        <v>155</v>
      </c>
      <c r="AW9" s="67" t="s">
        <v>156</v>
      </c>
      <c r="AX9" s="113" t="s">
        <v>106</v>
      </c>
      <c r="AY9" s="222">
        <v>95928</v>
      </c>
      <c r="AZ9" s="199" t="s">
        <v>153</v>
      </c>
      <c r="BA9" s="317"/>
    </row>
    <row r="10" spans="1:53" s="251" customFormat="1" ht="14.15" customHeight="1" x14ac:dyDescent="0.4">
      <c r="A10" s="256" t="s">
        <v>160</v>
      </c>
      <c r="B10" s="67" t="s">
        <v>125</v>
      </c>
      <c r="C10" s="111" t="s">
        <v>99</v>
      </c>
      <c r="D10" s="115" t="s">
        <v>161</v>
      </c>
      <c r="E10" s="122" t="s">
        <v>100</v>
      </c>
      <c r="F10" s="82"/>
      <c r="G10" s="84"/>
      <c r="H10" s="90" t="s">
        <v>100</v>
      </c>
      <c r="I10" s="91"/>
      <c r="J10" s="97"/>
      <c r="K10" s="102">
        <v>45881</v>
      </c>
      <c r="L10" s="327"/>
      <c r="M10" s="106">
        <v>44249</v>
      </c>
      <c r="N10" s="113" t="s">
        <v>162</v>
      </c>
      <c r="O10" s="113" t="s">
        <v>163</v>
      </c>
      <c r="P10" s="57"/>
      <c r="Q10" s="132">
        <v>0.105</v>
      </c>
      <c r="R10" s="132"/>
      <c r="S10" s="63" t="s">
        <v>164</v>
      </c>
      <c r="T10" s="67" t="s">
        <v>165</v>
      </c>
      <c r="U10" s="67" t="s">
        <v>166</v>
      </c>
      <c r="V10" s="113" t="s">
        <v>106</v>
      </c>
      <c r="W10" s="222">
        <v>94608</v>
      </c>
      <c r="X10" s="141"/>
      <c r="Y10" s="236"/>
      <c r="Z10" s="236"/>
      <c r="AA10" s="200"/>
      <c r="AB10" s="130"/>
      <c r="AC10" s="202"/>
      <c r="AD10" s="200"/>
      <c r="AE10" s="113"/>
      <c r="AF10" s="113"/>
      <c r="AG10" s="113"/>
      <c r="AH10" s="113"/>
      <c r="AI10" s="130"/>
      <c r="AJ10" s="135"/>
      <c r="AK10" s="57"/>
      <c r="AL10" s="287">
        <v>15157</v>
      </c>
      <c r="AM10" s="288"/>
      <c r="AN10" s="288"/>
      <c r="AO10" s="288"/>
      <c r="AP10" s="288"/>
      <c r="AQ10" s="288"/>
      <c r="AR10" s="288"/>
      <c r="AS10" s="207"/>
      <c r="AT10" s="116"/>
      <c r="AU10" s="67" t="s">
        <v>167</v>
      </c>
      <c r="AW10" s="67" t="s">
        <v>166</v>
      </c>
      <c r="AX10" s="113" t="s">
        <v>106</v>
      </c>
      <c r="AY10" s="222">
        <v>94608</v>
      </c>
      <c r="AZ10" s="199" t="s">
        <v>163</v>
      </c>
      <c r="BA10" s="317"/>
    </row>
    <row r="11" spans="1:53" s="251" customFormat="1" ht="14.15" customHeight="1" x14ac:dyDescent="0.4">
      <c r="A11" s="256" t="s">
        <v>168</v>
      </c>
      <c r="B11" s="67" t="s">
        <v>98</v>
      </c>
      <c r="C11" s="111" t="s">
        <v>99</v>
      </c>
      <c r="D11" s="115"/>
      <c r="E11" s="120" t="s">
        <v>100</v>
      </c>
      <c r="F11" s="82"/>
      <c r="G11" s="84"/>
      <c r="H11" s="90" t="s">
        <v>100</v>
      </c>
      <c r="I11" s="91"/>
      <c r="J11" s="97"/>
      <c r="K11" s="102">
        <v>43544</v>
      </c>
      <c r="L11" s="327"/>
      <c r="M11" s="106"/>
      <c r="N11" s="113" t="s">
        <v>169</v>
      </c>
      <c r="O11" s="113" t="s">
        <v>170</v>
      </c>
      <c r="P11" s="57"/>
      <c r="Q11" s="132">
        <v>0.10249999999999999</v>
      </c>
      <c r="R11" s="132"/>
      <c r="S11" s="63" t="s">
        <v>113</v>
      </c>
      <c r="T11" s="67" t="s">
        <v>171</v>
      </c>
      <c r="U11" s="67" t="s">
        <v>115</v>
      </c>
      <c r="V11" s="113" t="s">
        <v>106</v>
      </c>
      <c r="W11" s="222">
        <v>94602</v>
      </c>
      <c r="X11" s="141"/>
      <c r="Y11" s="236"/>
      <c r="Z11" s="236"/>
      <c r="AA11" s="200"/>
      <c r="AB11" s="130"/>
      <c r="AC11" s="202"/>
      <c r="AD11" s="200"/>
      <c r="AE11" s="113"/>
      <c r="AF11" s="113"/>
      <c r="AG11" s="113"/>
      <c r="AH11" s="113"/>
      <c r="AI11" s="130"/>
      <c r="AJ11" s="135"/>
      <c r="AK11" s="57"/>
      <c r="AL11" s="287" t="s">
        <v>149</v>
      </c>
      <c r="AM11" s="288">
        <v>15153</v>
      </c>
      <c r="AN11" s="288"/>
      <c r="AO11" s="288"/>
      <c r="AP11" s="288"/>
      <c r="AQ11" s="288"/>
      <c r="AR11" s="288"/>
      <c r="AS11" s="207" t="s">
        <v>132</v>
      </c>
      <c r="AT11" s="116" t="s">
        <v>133</v>
      </c>
      <c r="AU11" s="67" t="s">
        <v>171</v>
      </c>
      <c r="AW11" s="67" t="s">
        <v>115</v>
      </c>
      <c r="AX11" s="113" t="s">
        <v>106</v>
      </c>
      <c r="AY11" s="222">
        <v>94602</v>
      </c>
      <c r="AZ11" s="199" t="s">
        <v>170</v>
      </c>
      <c r="BA11" s="317"/>
    </row>
    <row r="12" spans="1:53" ht="14.15" customHeight="1" x14ac:dyDescent="0.4">
      <c r="A12" s="256" t="s">
        <v>172</v>
      </c>
      <c r="B12" s="67" t="s">
        <v>98</v>
      </c>
      <c r="C12" s="109" t="s">
        <v>99</v>
      </c>
      <c r="E12" s="120" t="s">
        <v>173</v>
      </c>
      <c r="F12" s="82" t="s">
        <v>174</v>
      </c>
      <c r="G12" s="84"/>
      <c r="H12" s="90" t="s">
        <v>100</v>
      </c>
      <c r="I12" s="91"/>
      <c r="J12" s="97"/>
      <c r="K12" s="102">
        <v>45197</v>
      </c>
      <c r="L12" s="327"/>
      <c r="M12" s="106"/>
      <c r="N12" s="128" t="s">
        <v>175</v>
      </c>
      <c r="O12" s="128" t="s">
        <v>176</v>
      </c>
      <c r="Q12" s="131">
        <v>9.1300000000000006E-2</v>
      </c>
      <c r="S12" s="63" t="s">
        <v>177</v>
      </c>
      <c r="T12" s="67" t="s">
        <v>178</v>
      </c>
      <c r="U12" s="67" t="s">
        <v>179</v>
      </c>
      <c r="V12" s="79" t="s">
        <v>106</v>
      </c>
      <c r="W12" s="76">
        <v>94040</v>
      </c>
      <c r="AL12" s="287" t="s">
        <v>180</v>
      </c>
      <c r="AS12" s="207"/>
      <c r="AU12" s="67" t="s">
        <v>181</v>
      </c>
      <c r="AW12" s="67" t="s">
        <v>179</v>
      </c>
      <c r="AX12" s="79" t="s">
        <v>106</v>
      </c>
      <c r="AY12" s="76">
        <v>94040</v>
      </c>
      <c r="AZ12" s="77" t="s">
        <v>176</v>
      </c>
    </row>
    <row r="13" spans="1:53" ht="14.15" customHeight="1" x14ac:dyDescent="0.4">
      <c r="A13" s="256" t="s">
        <v>182</v>
      </c>
      <c r="B13" s="67" t="s">
        <v>125</v>
      </c>
      <c r="C13" s="111" t="s">
        <v>99</v>
      </c>
      <c r="D13" s="115" t="s">
        <v>126</v>
      </c>
      <c r="E13" s="120" t="s">
        <v>100</v>
      </c>
      <c r="F13" s="82"/>
      <c r="G13" s="84"/>
      <c r="H13" s="90" t="s">
        <v>100</v>
      </c>
      <c r="I13" s="91"/>
      <c r="J13" s="97"/>
      <c r="K13" s="102">
        <v>44188</v>
      </c>
      <c r="L13" s="327"/>
      <c r="M13" s="106">
        <v>44188</v>
      </c>
      <c r="N13" s="251" t="s">
        <v>183</v>
      </c>
      <c r="O13" s="113" t="s">
        <v>184</v>
      </c>
      <c r="P13" s="57" t="s">
        <v>185</v>
      </c>
      <c r="Q13" s="132">
        <v>0.1</v>
      </c>
      <c r="R13" s="132"/>
      <c r="S13" s="63" t="s">
        <v>186</v>
      </c>
      <c r="T13" s="67" t="s">
        <v>187</v>
      </c>
      <c r="U13" s="67" t="s">
        <v>188</v>
      </c>
      <c r="V13" s="113" t="s">
        <v>106</v>
      </c>
      <c r="W13" s="222">
        <v>95401</v>
      </c>
      <c r="X13" s="141" t="s">
        <v>189</v>
      </c>
      <c r="Y13" s="141" t="s">
        <v>189</v>
      </c>
      <c r="Z13" s="141" t="s">
        <v>189</v>
      </c>
      <c r="AA13" s="200"/>
      <c r="AB13" s="130"/>
      <c r="AC13" s="202"/>
      <c r="AD13" s="200"/>
      <c r="AE13" s="113"/>
      <c r="AF13" s="113"/>
      <c r="AG13" s="113"/>
      <c r="AH13" s="113"/>
      <c r="AI13" s="130"/>
      <c r="AK13" s="57"/>
      <c r="AL13" s="287">
        <v>15157</v>
      </c>
      <c r="AS13" s="207"/>
      <c r="AU13" s="67" t="s">
        <v>187</v>
      </c>
      <c r="AV13" s="251"/>
      <c r="AW13" s="67" t="s">
        <v>188</v>
      </c>
      <c r="AX13" s="113" t="s">
        <v>106</v>
      </c>
      <c r="AY13" s="222">
        <v>95401</v>
      </c>
      <c r="AZ13" s="199" t="s">
        <v>184</v>
      </c>
      <c r="BA13" s="317"/>
    </row>
    <row r="14" spans="1:53" ht="14.15" customHeight="1" x14ac:dyDescent="0.4">
      <c r="A14" s="256" t="s">
        <v>190</v>
      </c>
      <c r="B14" s="67" t="s">
        <v>98</v>
      </c>
      <c r="C14" s="109" t="s">
        <v>99</v>
      </c>
      <c r="E14" s="120" t="s">
        <v>100</v>
      </c>
      <c r="F14" s="80"/>
      <c r="G14" s="81"/>
      <c r="H14" s="87" t="s">
        <v>100</v>
      </c>
      <c r="I14" s="86"/>
      <c r="J14" s="96"/>
      <c r="K14" s="102">
        <v>44950</v>
      </c>
      <c r="L14" s="327"/>
      <c r="M14" s="104">
        <v>44573</v>
      </c>
      <c r="N14" s="365" t="s">
        <v>191</v>
      </c>
      <c r="O14" s="128" t="s">
        <v>192</v>
      </c>
      <c r="P14" s="59" t="s">
        <v>193</v>
      </c>
      <c r="Q14" s="132">
        <v>8.6249999999999993E-2</v>
      </c>
      <c r="R14" s="132"/>
      <c r="S14" s="63" t="s">
        <v>103</v>
      </c>
      <c r="T14" s="67" t="s">
        <v>194</v>
      </c>
      <c r="U14" s="67" t="s">
        <v>105</v>
      </c>
      <c r="V14" s="79" t="s">
        <v>106</v>
      </c>
      <c r="W14" s="76">
        <v>94102</v>
      </c>
      <c r="X14" s="141" t="s">
        <v>195</v>
      </c>
      <c r="Y14" s="139" t="s">
        <v>196</v>
      </c>
      <c r="Z14" s="226" t="s">
        <v>197</v>
      </c>
      <c r="AI14" s="135" t="s">
        <v>192</v>
      </c>
      <c r="AL14" s="287" t="s">
        <v>149</v>
      </c>
      <c r="AM14" s="288">
        <v>13305</v>
      </c>
      <c r="AN14" s="288" t="s">
        <v>198</v>
      </c>
      <c r="AO14" s="288">
        <v>62245</v>
      </c>
      <c r="AS14" s="207" t="s">
        <v>132</v>
      </c>
      <c r="AT14" s="116" t="s">
        <v>133</v>
      </c>
      <c r="AU14" s="67" t="s">
        <v>199</v>
      </c>
      <c r="AW14" s="67" t="s">
        <v>105</v>
      </c>
      <c r="AX14" s="79" t="s">
        <v>106</v>
      </c>
      <c r="AY14" s="76">
        <v>94102</v>
      </c>
      <c r="AZ14" s="77" t="s">
        <v>200</v>
      </c>
    </row>
    <row r="15" spans="1:53" ht="14.15" customHeight="1" x14ac:dyDescent="0.4">
      <c r="A15" s="256" t="s">
        <v>201</v>
      </c>
      <c r="B15" s="67" t="s">
        <v>174</v>
      </c>
      <c r="C15" s="111" t="s">
        <v>119</v>
      </c>
      <c r="D15" s="113"/>
      <c r="E15" s="120" t="s">
        <v>100</v>
      </c>
      <c r="F15" s="82"/>
      <c r="G15" s="84"/>
      <c r="H15" s="90" t="s">
        <v>100</v>
      </c>
      <c r="I15" s="91"/>
      <c r="J15" s="97"/>
      <c r="K15" s="102"/>
      <c r="L15" s="327"/>
      <c r="M15" s="106">
        <v>43859</v>
      </c>
      <c r="N15" s="130" t="s">
        <v>202</v>
      </c>
      <c r="O15" s="113" t="s">
        <v>203</v>
      </c>
      <c r="P15" s="57" t="s">
        <v>204</v>
      </c>
      <c r="Q15" s="132">
        <v>9.2499999999999999E-2</v>
      </c>
      <c r="R15" s="132">
        <v>8.5000000000000006E-2</v>
      </c>
      <c r="S15" s="63" t="s">
        <v>205</v>
      </c>
      <c r="T15" s="67" t="s">
        <v>206</v>
      </c>
      <c r="U15" s="67" t="s">
        <v>207</v>
      </c>
      <c r="V15" s="113" t="s">
        <v>106</v>
      </c>
      <c r="W15" s="222">
        <v>94598</v>
      </c>
      <c r="X15" s="141" t="s">
        <v>208</v>
      </c>
      <c r="Y15" s="139" t="s">
        <v>209</v>
      </c>
      <c r="Z15" s="139" t="s">
        <v>209</v>
      </c>
      <c r="AA15" s="200" t="s">
        <v>210</v>
      </c>
      <c r="AB15" s="113" t="s">
        <v>211</v>
      </c>
      <c r="AC15" s="136" t="s">
        <v>212</v>
      </c>
      <c r="AI15" s="130"/>
      <c r="AK15" s="57"/>
      <c r="AL15" s="290"/>
      <c r="AM15" s="290"/>
      <c r="AN15" s="290"/>
      <c r="AO15" s="290"/>
      <c r="AP15" s="290"/>
      <c r="AQ15" s="290"/>
      <c r="AR15" s="290"/>
      <c r="AS15" s="207" t="s">
        <v>132</v>
      </c>
      <c r="AT15" s="116" t="s">
        <v>133</v>
      </c>
      <c r="AU15" s="67" t="s">
        <v>206</v>
      </c>
      <c r="AV15" s="251"/>
      <c r="AW15" s="67" t="s">
        <v>207</v>
      </c>
      <c r="AX15" s="113" t="s">
        <v>106</v>
      </c>
      <c r="AY15" s="222">
        <v>94598</v>
      </c>
      <c r="AZ15" s="199" t="s">
        <v>204</v>
      </c>
      <c r="BA15" s="317"/>
    </row>
    <row r="16" spans="1:53" s="251" customFormat="1" ht="14.15" customHeight="1" x14ac:dyDescent="0.4">
      <c r="A16" s="256" t="s">
        <v>213</v>
      </c>
      <c r="B16" s="67" t="s">
        <v>174</v>
      </c>
      <c r="C16" s="110" t="s">
        <v>119</v>
      </c>
      <c r="D16" s="112"/>
      <c r="E16" s="120" t="s">
        <v>173</v>
      </c>
      <c r="F16" s="82" t="s">
        <v>174</v>
      </c>
      <c r="G16" s="209"/>
      <c r="H16" s="88"/>
      <c r="I16" s="89"/>
      <c r="J16" s="98"/>
      <c r="K16" s="101"/>
      <c r="L16" s="329"/>
      <c r="M16" s="105">
        <v>44372</v>
      </c>
      <c r="N16" s="130" t="s">
        <v>202</v>
      </c>
      <c r="O16" s="112" t="s">
        <v>214</v>
      </c>
      <c r="P16" s="198"/>
      <c r="Q16" s="132">
        <v>9.2499999999999999E-2</v>
      </c>
      <c r="R16" s="132">
        <v>8.5000000000000006E-2</v>
      </c>
      <c r="S16" s="63" t="s">
        <v>205</v>
      </c>
      <c r="T16" s="198" t="s">
        <v>215</v>
      </c>
      <c r="U16" s="198" t="s">
        <v>207</v>
      </c>
      <c r="V16" s="112" t="s">
        <v>106</v>
      </c>
      <c r="W16" s="205">
        <v>94598</v>
      </c>
      <c r="X16" s="141" t="s">
        <v>216</v>
      </c>
      <c r="Y16" s="139" t="s">
        <v>209</v>
      </c>
      <c r="Z16" s="139" t="s">
        <v>209</v>
      </c>
      <c r="AA16" s="203" t="s">
        <v>217</v>
      </c>
      <c r="AB16" s="205" t="s">
        <v>204</v>
      </c>
      <c r="AC16" s="206"/>
      <c r="AD16" s="203"/>
      <c r="AE16" s="205"/>
      <c r="AF16" s="205"/>
      <c r="AG16" s="205"/>
      <c r="AH16" s="205"/>
      <c r="AI16" s="205" t="s">
        <v>218</v>
      </c>
      <c r="AJ16" s="135" t="s">
        <v>116</v>
      </c>
      <c r="AK16" s="318"/>
      <c r="AL16" s="290"/>
      <c r="AM16" s="290"/>
      <c r="AN16" s="290"/>
      <c r="AO16" s="290"/>
      <c r="AP16" s="290"/>
      <c r="AQ16" s="290"/>
      <c r="AR16" s="290"/>
      <c r="AS16" s="207" t="s">
        <v>132</v>
      </c>
      <c r="AT16" s="116" t="s">
        <v>133</v>
      </c>
      <c r="AU16" s="198" t="s">
        <v>215</v>
      </c>
      <c r="AV16" s="39"/>
      <c r="AW16" s="198" t="s">
        <v>207</v>
      </c>
      <c r="AX16" s="112" t="s">
        <v>106</v>
      </c>
      <c r="AY16" s="205">
        <v>94598</v>
      </c>
      <c r="AZ16" s="198" t="s">
        <v>214</v>
      </c>
      <c r="BA16" s="317"/>
    </row>
    <row r="17" spans="1:53" s="251" customFormat="1" ht="14.15" customHeight="1" x14ac:dyDescent="0.4">
      <c r="A17" s="256" t="s">
        <v>219</v>
      </c>
      <c r="B17" s="67" t="s">
        <v>220</v>
      </c>
      <c r="C17" s="111" t="s">
        <v>221</v>
      </c>
      <c r="D17" s="115"/>
      <c r="E17" s="120" t="s">
        <v>222</v>
      </c>
      <c r="F17" s="80">
        <v>45519</v>
      </c>
      <c r="G17" s="84">
        <v>49</v>
      </c>
      <c r="H17" s="90" t="s">
        <v>100</v>
      </c>
      <c r="I17" s="91"/>
      <c r="J17" s="97"/>
      <c r="K17" s="102">
        <v>43747</v>
      </c>
      <c r="L17" s="327"/>
      <c r="M17" s="106">
        <v>45762</v>
      </c>
      <c r="N17" s="113" t="s">
        <v>223</v>
      </c>
      <c r="O17" s="113" t="s">
        <v>224</v>
      </c>
      <c r="P17" s="57" t="s">
        <v>225</v>
      </c>
      <c r="Q17" s="132">
        <v>9.2499999999999999E-2</v>
      </c>
      <c r="R17" s="132"/>
      <c r="S17" s="63" t="s">
        <v>226</v>
      </c>
      <c r="T17" s="67" t="s">
        <v>227</v>
      </c>
      <c r="U17" s="67" t="s">
        <v>228</v>
      </c>
      <c r="V17" s="113" t="s">
        <v>106</v>
      </c>
      <c r="W17" s="222">
        <v>94903</v>
      </c>
      <c r="X17" s="141" t="s">
        <v>229</v>
      </c>
      <c r="Y17" s="139" t="s">
        <v>230</v>
      </c>
      <c r="Z17" s="236"/>
      <c r="AA17" s="200"/>
      <c r="AB17" s="130"/>
      <c r="AC17" s="202"/>
      <c r="AD17" s="200"/>
      <c r="AE17" s="113"/>
      <c r="AF17" s="113"/>
      <c r="AG17" s="113"/>
      <c r="AH17" s="113"/>
      <c r="AI17" s="130"/>
      <c r="AJ17" s="135"/>
      <c r="AK17" s="57"/>
      <c r="AL17" s="287">
        <v>15303</v>
      </c>
      <c r="AM17" s="288"/>
      <c r="AN17" s="288"/>
      <c r="AO17" s="288"/>
      <c r="AP17" s="288"/>
      <c r="AQ17" s="288"/>
      <c r="AR17" s="288"/>
      <c r="AS17" s="207" t="s">
        <v>132</v>
      </c>
      <c r="AT17" s="116" t="s">
        <v>133</v>
      </c>
      <c r="AU17" s="67" t="s">
        <v>227</v>
      </c>
      <c r="AW17" s="67" t="s">
        <v>228</v>
      </c>
      <c r="AX17" s="113" t="s">
        <v>106</v>
      </c>
      <c r="AY17" s="222">
        <v>94903</v>
      </c>
      <c r="AZ17" s="199" t="s">
        <v>224</v>
      </c>
      <c r="BA17" s="317"/>
    </row>
    <row r="18" spans="1:53" s="210" customFormat="1" ht="14.15" customHeight="1" x14ac:dyDescent="0.4">
      <c r="A18" s="256" t="s">
        <v>231</v>
      </c>
      <c r="B18" s="67" t="s">
        <v>98</v>
      </c>
      <c r="C18" s="111" t="s">
        <v>99</v>
      </c>
      <c r="D18" s="113"/>
      <c r="E18" s="120"/>
      <c r="F18" s="82"/>
      <c r="G18" s="84"/>
      <c r="H18" s="90"/>
      <c r="I18" s="91"/>
      <c r="J18" s="97"/>
      <c r="K18" s="102">
        <v>44798</v>
      </c>
      <c r="L18" s="327"/>
      <c r="M18" s="106"/>
      <c r="N18" s="113" t="s">
        <v>232</v>
      </c>
      <c r="O18" s="113" t="s">
        <v>233</v>
      </c>
      <c r="P18" s="57" t="s">
        <v>234</v>
      </c>
      <c r="Q18" s="132">
        <v>8.6249999999999993E-2</v>
      </c>
      <c r="R18" s="132">
        <v>8.7499999999999994E-2</v>
      </c>
      <c r="S18" s="63" t="s">
        <v>103</v>
      </c>
      <c r="T18" s="67" t="s">
        <v>235</v>
      </c>
      <c r="U18" s="67" t="s">
        <v>105</v>
      </c>
      <c r="V18" s="113" t="s">
        <v>106</v>
      </c>
      <c r="W18" s="222">
        <v>94123</v>
      </c>
      <c r="X18" s="141" t="s">
        <v>236</v>
      </c>
      <c r="Y18" s="139" t="s">
        <v>237</v>
      </c>
      <c r="Z18" s="143"/>
      <c r="AA18" s="200" t="s">
        <v>238</v>
      </c>
      <c r="AB18" s="130" t="s">
        <v>239</v>
      </c>
      <c r="AC18" s="136"/>
      <c r="AD18" s="79"/>
      <c r="AE18" s="128"/>
      <c r="AF18" s="128"/>
      <c r="AG18" s="128"/>
      <c r="AH18" s="128"/>
      <c r="AI18" s="130" t="s">
        <v>240</v>
      </c>
      <c r="AJ18" s="135" t="s">
        <v>116</v>
      </c>
      <c r="AK18" s="57"/>
      <c r="AL18" s="290" t="s">
        <v>149</v>
      </c>
      <c r="AM18" s="290">
        <v>13305</v>
      </c>
      <c r="AN18" s="290"/>
      <c r="AO18" s="290">
        <v>67240</v>
      </c>
      <c r="AP18" s="290"/>
      <c r="AQ18" s="290"/>
      <c r="AR18" s="290"/>
      <c r="AS18" s="207" t="s">
        <v>132</v>
      </c>
      <c r="AT18" s="116" t="s">
        <v>133</v>
      </c>
      <c r="AU18" s="67" t="s">
        <v>235</v>
      </c>
      <c r="AV18" s="251" t="s">
        <v>241</v>
      </c>
      <c r="AW18" s="67" t="s">
        <v>105</v>
      </c>
      <c r="AX18" s="113" t="s">
        <v>106</v>
      </c>
      <c r="AY18" s="222">
        <v>94123</v>
      </c>
      <c r="AZ18" s="199" t="s">
        <v>242</v>
      </c>
      <c r="BA18" s="317"/>
    </row>
    <row r="19" spans="1:53" ht="14.15" customHeight="1" x14ac:dyDescent="0.4">
      <c r="A19" s="256" t="s">
        <v>243</v>
      </c>
      <c r="B19" s="67" t="s">
        <v>244</v>
      </c>
      <c r="C19" s="111" t="s">
        <v>99</v>
      </c>
      <c r="D19" s="115"/>
      <c r="E19" s="120" t="s">
        <v>173</v>
      </c>
      <c r="F19" s="82" t="s">
        <v>174</v>
      </c>
      <c r="G19" s="84"/>
      <c r="H19" s="90"/>
      <c r="I19" s="91"/>
      <c r="J19" s="97"/>
      <c r="K19" s="102">
        <v>45527</v>
      </c>
      <c r="L19" s="327"/>
      <c r="M19" s="106"/>
      <c r="N19" s="130" t="s">
        <v>245</v>
      </c>
      <c r="O19" s="130" t="s">
        <v>246</v>
      </c>
      <c r="P19" s="57" t="s">
        <v>246</v>
      </c>
      <c r="Q19" s="132">
        <v>9.2499999999999999E-2</v>
      </c>
      <c r="R19" s="132"/>
      <c r="S19" s="63" t="s">
        <v>247</v>
      </c>
      <c r="T19" s="67" t="s">
        <v>248</v>
      </c>
      <c r="U19" s="67" t="s">
        <v>249</v>
      </c>
      <c r="V19" s="113" t="s">
        <v>106</v>
      </c>
      <c r="W19" s="222">
        <v>95062</v>
      </c>
      <c r="X19" s="141" t="s">
        <v>250</v>
      </c>
      <c r="Y19" s="229" t="s">
        <v>250</v>
      </c>
      <c r="Z19" s="141" t="s">
        <v>250</v>
      </c>
      <c r="AA19" s="200"/>
      <c r="AB19" s="130"/>
      <c r="AC19" s="202"/>
      <c r="AD19" s="200"/>
      <c r="AE19" s="113"/>
      <c r="AF19" s="113"/>
      <c r="AG19" s="113"/>
      <c r="AH19" s="113"/>
      <c r="AI19" s="130"/>
      <c r="AK19" s="57"/>
      <c r="AL19" s="287" t="s">
        <v>251</v>
      </c>
      <c r="AM19" s="288">
        <v>13305</v>
      </c>
      <c r="AO19" s="288">
        <v>62245</v>
      </c>
      <c r="AS19" s="207"/>
      <c r="AU19" s="67" t="s">
        <v>248</v>
      </c>
      <c r="AV19" s="251"/>
      <c r="AW19" s="67" t="s">
        <v>249</v>
      </c>
      <c r="AX19" s="113" t="s">
        <v>106</v>
      </c>
      <c r="AY19" s="222">
        <v>95062</v>
      </c>
      <c r="AZ19" s="199" t="s">
        <v>246</v>
      </c>
      <c r="BA19" s="317"/>
    </row>
    <row r="20" spans="1:53" ht="14.15" customHeight="1" x14ac:dyDescent="0.4">
      <c r="A20" s="256" t="s">
        <v>252</v>
      </c>
      <c r="B20" s="67" t="s">
        <v>253</v>
      </c>
      <c r="C20" s="109" t="s">
        <v>254</v>
      </c>
      <c r="E20" s="120" t="s">
        <v>253</v>
      </c>
      <c r="F20" s="82"/>
      <c r="G20" s="84"/>
      <c r="H20" s="90" t="s">
        <v>100</v>
      </c>
      <c r="I20" s="91"/>
      <c r="J20" s="97"/>
      <c r="K20" s="102">
        <v>45999</v>
      </c>
      <c r="L20" s="327"/>
      <c r="M20" s="106">
        <v>45309</v>
      </c>
      <c r="N20" s="128" t="s">
        <v>255</v>
      </c>
      <c r="Q20" s="131">
        <v>0.10249999999999999</v>
      </c>
      <c r="S20" s="63" t="s">
        <v>113</v>
      </c>
      <c r="T20" s="67" t="s">
        <v>256</v>
      </c>
      <c r="U20" s="67" t="s">
        <v>115</v>
      </c>
      <c r="V20" s="79" t="s">
        <v>106</v>
      </c>
      <c r="W20" s="76">
        <v>94618</v>
      </c>
      <c r="X20" s="141" t="s">
        <v>6365</v>
      </c>
      <c r="Y20" s="236" t="s">
        <v>6365</v>
      </c>
      <c r="Z20" s="234" t="s">
        <v>6365</v>
      </c>
      <c r="AL20" s="287">
        <v>54230</v>
      </c>
      <c r="AM20" s="288">
        <v>13305</v>
      </c>
      <c r="AN20" s="288" t="s">
        <v>257</v>
      </c>
      <c r="AO20" s="288">
        <v>62245</v>
      </c>
      <c r="AQ20" s="288">
        <v>15741</v>
      </c>
      <c r="AS20" s="207"/>
      <c r="AT20" s="116" t="s">
        <v>258</v>
      </c>
      <c r="AU20" s="67" t="s">
        <v>256</v>
      </c>
      <c r="AW20" s="67" t="s">
        <v>115</v>
      </c>
      <c r="AX20" s="79" t="s">
        <v>106</v>
      </c>
      <c r="AY20" s="76">
        <v>94618</v>
      </c>
    </row>
    <row r="21" spans="1:53" ht="14.15" customHeight="1" x14ac:dyDescent="0.4">
      <c r="A21" s="256" t="s">
        <v>259</v>
      </c>
      <c r="B21" s="67" t="s">
        <v>98</v>
      </c>
      <c r="C21" s="111" t="s">
        <v>99</v>
      </c>
      <c r="D21" s="115"/>
      <c r="E21" s="120" t="s">
        <v>100</v>
      </c>
      <c r="F21" s="82"/>
      <c r="G21" s="84"/>
      <c r="H21" s="90" t="s">
        <v>100</v>
      </c>
      <c r="I21" s="91"/>
      <c r="J21" s="97"/>
      <c r="K21" s="102"/>
      <c r="L21" s="327"/>
      <c r="M21" s="106">
        <v>44403</v>
      </c>
      <c r="N21" s="113" t="s">
        <v>260</v>
      </c>
      <c r="O21" s="113" t="s">
        <v>261</v>
      </c>
      <c r="P21" s="57"/>
      <c r="Q21" s="132">
        <v>9.7500000000000003E-2</v>
      </c>
      <c r="R21" s="132"/>
      <c r="S21" s="63" t="s">
        <v>3270</v>
      </c>
      <c r="T21" s="67" t="s">
        <v>263</v>
      </c>
      <c r="U21" s="67" t="s">
        <v>264</v>
      </c>
      <c r="V21" s="113" t="s">
        <v>106</v>
      </c>
      <c r="W21" s="222">
        <v>95448</v>
      </c>
      <c r="X21" s="141" t="s">
        <v>265</v>
      </c>
      <c r="Y21" s="139" t="s">
        <v>266</v>
      </c>
      <c r="Z21" s="139" t="s">
        <v>267</v>
      </c>
      <c r="AA21" s="200"/>
      <c r="AB21" s="130"/>
      <c r="AC21" s="202"/>
      <c r="AD21" s="200"/>
      <c r="AE21" s="113"/>
      <c r="AF21" s="113"/>
      <c r="AG21" s="113"/>
      <c r="AH21" s="113"/>
      <c r="AI21" s="130"/>
      <c r="AK21" s="57"/>
      <c r="AS21" s="207"/>
      <c r="AU21" s="67" t="s">
        <v>263</v>
      </c>
      <c r="AV21" s="251"/>
      <c r="AW21" s="67" t="s">
        <v>264</v>
      </c>
      <c r="AX21" s="113" t="s">
        <v>106</v>
      </c>
      <c r="AY21" s="222">
        <v>95448</v>
      </c>
      <c r="AZ21" s="199" t="s">
        <v>261</v>
      </c>
      <c r="BA21" s="317"/>
    </row>
    <row r="22" spans="1:53" s="251" customFormat="1" ht="14.15" customHeight="1" x14ac:dyDescent="0.4">
      <c r="A22" s="256" t="s">
        <v>268</v>
      </c>
      <c r="B22" s="67" t="s">
        <v>269</v>
      </c>
      <c r="C22" s="111" t="s">
        <v>109</v>
      </c>
      <c r="D22" s="115"/>
      <c r="E22" s="120" t="s">
        <v>100</v>
      </c>
      <c r="F22" s="82"/>
      <c r="G22" s="84"/>
      <c r="H22" s="90" t="s">
        <v>100</v>
      </c>
      <c r="I22" s="91"/>
      <c r="J22" s="97"/>
      <c r="K22" s="102"/>
      <c r="L22" s="327"/>
      <c r="M22" s="106">
        <v>45110</v>
      </c>
      <c r="N22" s="113" t="s">
        <v>270</v>
      </c>
      <c r="O22" s="113" t="s">
        <v>271</v>
      </c>
      <c r="P22" s="57" t="s">
        <v>272</v>
      </c>
      <c r="Q22" s="132">
        <v>0.10249999999999999</v>
      </c>
      <c r="R22" s="132"/>
      <c r="S22" s="63" t="s">
        <v>113</v>
      </c>
      <c r="T22" s="67" t="s">
        <v>273</v>
      </c>
      <c r="U22" s="67" t="s">
        <v>115</v>
      </c>
      <c r="V22" s="113" t="s">
        <v>106</v>
      </c>
      <c r="W22" s="222">
        <v>94601</v>
      </c>
      <c r="X22" s="141"/>
      <c r="Y22" s="139" t="s">
        <v>274</v>
      </c>
      <c r="Z22" s="236"/>
      <c r="AA22" s="200"/>
      <c r="AB22" s="130"/>
      <c r="AC22" s="202"/>
      <c r="AD22" s="200"/>
      <c r="AE22" s="113"/>
      <c r="AF22" s="113"/>
      <c r="AG22" s="113"/>
      <c r="AH22" s="113"/>
      <c r="AI22" s="130"/>
      <c r="AJ22" s="135"/>
      <c r="AK22" s="57"/>
      <c r="AL22" s="287"/>
      <c r="AM22" s="288"/>
      <c r="AN22" s="288"/>
      <c r="AO22" s="288"/>
      <c r="AP22" s="288"/>
      <c r="AQ22" s="288"/>
      <c r="AR22" s="288"/>
      <c r="AS22" s="207"/>
      <c r="AT22" s="116"/>
      <c r="AU22" s="67" t="s">
        <v>273</v>
      </c>
      <c r="AW22" s="67" t="s">
        <v>115</v>
      </c>
      <c r="AX22" s="113" t="s">
        <v>106</v>
      </c>
      <c r="AY22" s="222">
        <v>94601</v>
      </c>
      <c r="AZ22" s="199" t="s">
        <v>271</v>
      </c>
      <c r="BA22" s="317"/>
    </row>
    <row r="23" spans="1:53" s="251" customFormat="1" ht="14.15" customHeight="1" x14ac:dyDescent="0.4">
      <c r="A23" s="256" t="s">
        <v>275</v>
      </c>
      <c r="B23" s="67" t="s">
        <v>269</v>
      </c>
      <c r="C23" s="111" t="s">
        <v>109</v>
      </c>
      <c r="D23" s="113"/>
      <c r="E23" s="120" t="s">
        <v>173</v>
      </c>
      <c r="F23" s="83">
        <v>45505</v>
      </c>
      <c r="G23" s="84">
        <v>49</v>
      </c>
      <c r="H23" s="90" t="s">
        <v>276</v>
      </c>
      <c r="I23" s="93">
        <v>45505</v>
      </c>
      <c r="J23" s="97">
        <v>39</v>
      </c>
      <c r="K23" s="102">
        <v>45887</v>
      </c>
      <c r="L23" s="327"/>
      <c r="M23" s="106">
        <v>45855</v>
      </c>
      <c r="N23" s="113" t="s">
        <v>277</v>
      </c>
      <c r="O23" s="113" t="s">
        <v>278</v>
      </c>
      <c r="P23" s="57" t="s">
        <v>279</v>
      </c>
      <c r="Q23" s="132">
        <v>9.6250000000000002E-2</v>
      </c>
      <c r="R23" s="132">
        <v>0.09</v>
      </c>
      <c r="S23" s="63" t="s">
        <v>280</v>
      </c>
      <c r="T23" s="67" t="s">
        <v>281</v>
      </c>
      <c r="U23" s="67" t="s">
        <v>282</v>
      </c>
      <c r="V23" s="113" t="s">
        <v>106</v>
      </c>
      <c r="W23" s="222">
        <v>94010</v>
      </c>
      <c r="X23" s="142" t="s">
        <v>283</v>
      </c>
      <c r="Y23" s="139" t="s">
        <v>284</v>
      </c>
      <c r="Z23" s="236"/>
      <c r="AA23" s="200" t="s">
        <v>285</v>
      </c>
      <c r="AB23" s="130"/>
      <c r="AC23" s="202" t="s">
        <v>286</v>
      </c>
      <c r="AD23" s="200" t="s">
        <v>287</v>
      </c>
      <c r="AE23" s="113"/>
      <c r="AF23" s="113"/>
      <c r="AG23" s="113"/>
      <c r="AH23" s="113"/>
      <c r="AI23" s="130" t="s">
        <v>288</v>
      </c>
      <c r="AJ23" s="135" t="s">
        <v>116</v>
      </c>
      <c r="AK23" s="57"/>
      <c r="AL23" s="290" t="s">
        <v>289</v>
      </c>
      <c r="AM23" s="290"/>
      <c r="AN23" s="290" t="s">
        <v>290</v>
      </c>
      <c r="AO23" s="290">
        <v>62245</v>
      </c>
      <c r="AP23" s="290"/>
      <c r="AQ23" s="290"/>
      <c r="AR23" s="290"/>
      <c r="AS23" s="207" t="s">
        <v>132</v>
      </c>
      <c r="AT23" s="116" t="s">
        <v>133</v>
      </c>
      <c r="AU23" s="67" t="str">
        <f>PROPER(AV23)</f>
        <v>1408 Burlingame Avenue</v>
      </c>
      <c r="AV23" s="251" t="s">
        <v>291</v>
      </c>
      <c r="AW23" s="67" t="s">
        <v>282</v>
      </c>
      <c r="AX23" s="113" t="s">
        <v>106</v>
      </c>
      <c r="AY23" s="222">
        <v>94010</v>
      </c>
      <c r="AZ23" s="199" t="s">
        <v>278</v>
      </c>
      <c r="BA23" s="317"/>
    </row>
    <row r="24" spans="1:53" s="210" customFormat="1" ht="14.15" customHeight="1" x14ac:dyDescent="0.4">
      <c r="A24" s="256" t="s">
        <v>292</v>
      </c>
      <c r="B24" s="67" t="s">
        <v>98</v>
      </c>
      <c r="C24" s="111" t="s">
        <v>99</v>
      </c>
      <c r="D24" s="113"/>
      <c r="E24" s="120" t="s">
        <v>100</v>
      </c>
      <c r="F24" s="82"/>
      <c r="G24" s="84"/>
      <c r="H24" s="90" t="s">
        <v>100</v>
      </c>
      <c r="I24" s="91"/>
      <c r="J24" s="97"/>
      <c r="K24" s="102">
        <v>43077</v>
      </c>
      <c r="L24" s="327"/>
      <c r="M24" s="106">
        <v>43668</v>
      </c>
      <c r="N24" s="113" t="s">
        <v>293</v>
      </c>
      <c r="O24" s="113" t="s">
        <v>294</v>
      </c>
      <c r="P24" s="57"/>
      <c r="Q24" s="132">
        <v>8.6249999999999993E-2</v>
      </c>
      <c r="R24" s="132">
        <v>8.7499999999999994E-2</v>
      </c>
      <c r="S24" s="63" t="s">
        <v>103</v>
      </c>
      <c r="T24" s="67" t="s">
        <v>295</v>
      </c>
      <c r="U24" s="67" t="s">
        <v>105</v>
      </c>
      <c r="V24" s="113" t="s">
        <v>106</v>
      </c>
      <c r="W24" s="222">
        <v>94123</v>
      </c>
      <c r="X24" s="142" t="s">
        <v>296</v>
      </c>
      <c r="Y24" s="236"/>
      <c r="Z24" s="236"/>
      <c r="AA24" s="200" t="s">
        <v>297</v>
      </c>
      <c r="AB24" s="130"/>
      <c r="AC24" s="136"/>
      <c r="AD24" s="79"/>
      <c r="AE24" s="128"/>
      <c r="AF24" s="128"/>
      <c r="AG24" s="128"/>
      <c r="AH24" s="128"/>
      <c r="AI24" s="130" t="s">
        <v>288</v>
      </c>
      <c r="AJ24" s="135" t="s">
        <v>116</v>
      </c>
      <c r="AK24" s="57"/>
      <c r="AL24" s="290"/>
      <c r="AM24" s="290" t="s">
        <v>198</v>
      </c>
      <c r="AN24" s="290"/>
      <c r="AO24" s="290">
        <v>62245</v>
      </c>
      <c r="AP24" s="290"/>
      <c r="AQ24" s="290"/>
      <c r="AR24" s="290"/>
      <c r="AS24" s="207" t="s">
        <v>132</v>
      </c>
      <c r="AT24" s="116" t="s">
        <v>133</v>
      </c>
      <c r="AU24" s="67" t="str">
        <f>PROPER(AV24)</f>
        <v>2018 Lombard Street</v>
      </c>
      <c r="AV24" s="251" t="s">
        <v>298</v>
      </c>
      <c r="AW24" s="67" t="s">
        <v>105</v>
      </c>
      <c r="AX24" s="113" t="s">
        <v>106</v>
      </c>
      <c r="AY24" s="222">
        <v>94123</v>
      </c>
      <c r="AZ24" s="199" t="s">
        <v>294</v>
      </c>
      <c r="BA24" s="317"/>
    </row>
    <row r="25" spans="1:53" s="210" customFormat="1" ht="14.15" customHeight="1" x14ac:dyDescent="0.4">
      <c r="A25" s="256" t="s">
        <v>299</v>
      </c>
      <c r="B25" s="67" t="s">
        <v>125</v>
      </c>
      <c r="C25" s="111" t="s">
        <v>99</v>
      </c>
      <c r="D25" s="79" t="s">
        <v>300</v>
      </c>
      <c r="E25" s="118" t="s">
        <v>100</v>
      </c>
      <c r="F25" s="80"/>
      <c r="G25" s="81"/>
      <c r="H25" s="92" t="s">
        <v>100</v>
      </c>
      <c r="I25" s="86"/>
      <c r="J25" s="96"/>
      <c r="K25" s="100">
        <v>45215</v>
      </c>
      <c r="L25" s="328"/>
      <c r="M25" s="104">
        <v>42929</v>
      </c>
      <c r="N25" s="128" t="s">
        <v>301</v>
      </c>
      <c r="O25" s="128" t="s">
        <v>302</v>
      </c>
      <c r="P25" s="59"/>
      <c r="Q25" s="132">
        <v>8.3750000000000005E-2</v>
      </c>
      <c r="R25" s="132"/>
      <c r="S25" s="63" t="s">
        <v>303</v>
      </c>
      <c r="T25" s="67" t="s">
        <v>304</v>
      </c>
      <c r="U25" s="67" t="s">
        <v>305</v>
      </c>
      <c r="V25" s="79" t="s">
        <v>106</v>
      </c>
      <c r="W25" s="76">
        <v>94533</v>
      </c>
      <c r="X25" s="147"/>
      <c r="Y25" s="236"/>
      <c r="Z25" s="234"/>
      <c r="AA25" s="79"/>
      <c r="AB25" s="135"/>
      <c r="AC25" s="136"/>
      <c r="AD25" s="79"/>
      <c r="AE25" s="128"/>
      <c r="AF25" s="128"/>
      <c r="AG25" s="128"/>
      <c r="AH25" s="128"/>
      <c r="AI25" s="135"/>
      <c r="AJ25" s="135"/>
      <c r="AK25" s="58"/>
      <c r="AL25" s="290">
        <v>15157</v>
      </c>
      <c r="AM25" s="290">
        <v>44150</v>
      </c>
      <c r="AN25" s="290"/>
      <c r="AO25" s="290">
        <v>67655</v>
      </c>
      <c r="AP25" s="290"/>
      <c r="AQ25" s="290"/>
      <c r="AR25" s="290"/>
      <c r="AS25" s="207" t="s">
        <v>132</v>
      </c>
      <c r="AT25" s="116" t="s">
        <v>133</v>
      </c>
      <c r="AU25" s="67" t="s">
        <v>304</v>
      </c>
      <c r="AV25" s="66"/>
      <c r="AW25" s="67" t="s">
        <v>305</v>
      </c>
      <c r="AX25" s="79" t="s">
        <v>106</v>
      </c>
      <c r="AY25" s="76">
        <v>94533</v>
      </c>
      <c r="AZ25" s="77" t="s">
        <v>302</v>
      </c>
      <c r="BA25" s="317"/>
    </row>
    <row r="26" spans="1:53" s="251" customFormat="1" ht="14.15" customHeight="1" x14ac:dyDescent="0.4">
      <c r="A26" s="257" t="s">
        <v>306</v>
      </c>
      <c r="B26" s="67" t="s">
        <v>125</v>
      </c>
      <c r="C26" s="224" t="s">
        <v>99</v>
      </c>
      <c r="D26" s="79" t="s">
        <v>300</v>
      </c>
      <c r="E26" s="118" t="s">
        <v>100</v>
      </c>
      <c r="F26" s="80"/>
      <c r="G26" s="81"/>
      <c r="H26" s="92" t="s">
        <v>100</v>
      </c>
      <c r="I26" s="86"/>
      <c r="J26" s="96"/>
      <c r="K26" s="100"/>
      <c r="L26" s="328"/>
      <c r="M26" s="104">
        <v>43581</v>
      </c>
      <c r="N26" s="128" t="s">
        <v>307</v>
      </c>
      <c r="O26" s="128" t="s">
        <v>308</v>
      </c>
      <c r="P26" s="59"/>
      <c r="Q26" s="132">
        <v>8.7499999999999994E-2</v>
      </c>
      <c r="R26" s="132"/>
      <c r="S26" s="63" t="s">
        <v>309</v>
      </c>
      <c r="T26" s="66" t="s">
        <v>310</v>
      </c>
      <c r="U26" s="67" t="s">
        <v>311</v>
      </c>
      <c r="V26" s="79" t="s">
        <v>106</v>
      </c>
      <c r="W26" s="76">
        <v>95814</v>
      </c>
      <c r="X26" s="141" t="s">
        <v>312</v>
      </c>
      <c r="Y26" s="319"/>
      <c r="Z26" s="226" t="s">
        <v>312</v>
      </c>
      <c r="AA26" s="79"/>
      <c r="AB26" s="135"/>
      <c r="AC26" s="136"/>
      <c r="AD26" s="79"/>
      <c r="AE26" s="128"/>
      <c r="AF26" s="128"/>
      <c r="AG26" s="128"/>
      <c r="AH26" s="128"/>
      <c r="AI26" s="135"/>
      <c r="AJ26" s="135"/>
      <c r="AK26" s="58"/>
      <c r="AL26" s="290">
        <v>15157</v>
      </c>
      <c r="AM26" s="290"/>
      <c r="AN26" s="290"/>
      <c r="AO26" s="290"/>
      <c r="AP26" s="290"/>
      <c r="AQ26" s="290"/>
      <c r="AR26" s="290"/>
      <c r="AS26" s="207" t="s">
        <v>132</v>
      </c>
      <c r="AT26" s="116" t="s">
        <v>133</v>
      </c>
      <c r="AU26" s="67" t="s">
        <v>310</v>
      </c>
      <c r="AV26" s="66"/>
      <c r="AW26" s="67" t="s">
        <v>311</v>
      </c>
      <c r="AX26" s="79" t="s">
        <v>106</v>
      </c>
      <c r="AY26" s="76">
        <v>95814</v>
      </c>
      <c r="AZ26" s="77" t="s">
        <v>308</v>
      </c>
      <c r="BA26" s="317"/>
    </row>
    <row r="27" spans="1:53" s="210" customFormat="1" ht="14.15" customHeight="1" x14ac:dyDescent="0.4">
      <c r="A27" s="256" t="s">
        <v>313</v>
      </c>
      <c r="B27" s="67" t="s">
        <v>125</v>
      </c>
      <c r="C27" s="111" t="s">
        <v>99</v>
      </c>
      <c r="D27" s="79" t="s">
        <v>314</v>
      </c>
      <c r="E27" s="118" t="s">
        <v>100</v>
      </c>
      <c r="F27" s="80"/>
      <c r="G27" s="81"/>
      <c r="H27" s="92" t="s">
        <v>100</v>
      </c>
      <c r="I27" s="86"/>
      <c r="J27" s="96"/>
      <c r="K27" s="100"/>
      <c r="L27" s="328"/>
      <c r="M27" s="104">
        <v>44858</v>
      </c>
      <c r="N27" s="128" t="s">
        <v>315</v>
      </c>
      <c r="O27" s="128" t="s">
        <v>316</v>
      </c>
      <c r="P27" s="59"/>
      <c r="Q27" s="132">
        <v>0.10249999999999999</v>
      </c>
      <c r="R27" s="132">
        <v>9.5000000000000001E-2</v>
      </c>
      <c r="S27" s="63" t="s">
        <v>317</v>
      </c>
      <c r="T27" s="67" t="s">
        <v>318</v>
      </c>
      <c r="U27" s="67" t="s">
        <v>319</v>
      </c>
      <c r="V27" s="79" t="s">
        <v>106</v>
      </c>
      <c r="W27" s="76">
        <v>94530</v>
      </c>
      <c r="X27" s="141"/>
      <c r="Y27" s="143"/>
      <c r="Z27" s="235"/>
      <c r="AA27" s="79"/>
      <c r="AB27" s="135"/>
      <c r="AC27" s="136"/>
      <c r="AD27" s="79"/>
      <c r="AE27" s="128"/>
      <c r="AF27" s="128"/>
      <c r="AG27" s="128"/>
      <c r="AH27" s="128"/>
      <c r="AI27" s="135"/>
      <c r="AJ27" s="135"/>
      <c r="AK27" s="58"/>
      <c r="AL27" s="290"/>
      <c r="AM27" s="290"/>
      <c r="AN27" s="290"/>
      <c r="AO27" s="290"/>
      <c r="AP27" s="290"/>
      <c r="AQ27" s="290"/>
      <c r="AR27" s="290"/>
      <c r="AS27" s="207" t="s">
        <v>132</v>
      </c>
      <c r="AT27" s="116" t="s">
        <v>133</v>
      </c>
      <c r="AU27" s="67" t="s">
        <v>318</v>
      </c>
      <c r="AV27" s="66"/>
      <c r="AW27" s="67" t="s">
        <v>319</v>
      </c>
      <c r="AX27" s="79" t="s">
        <v>106</v>
      </c>
      <c r="AY27" s="76">
        <v>94530</v>
      </c>
      <c r="AZ27" s="77" t="s">
        <v>316</v>
      </c>
      <c r="BA27" s="317"/>
    </row>
    <row r="28" spans="1:53" s="210" customFormat="1" ht="14.15" customHeight="1" x14ac:dyDescent="0.4">
      <c r="A28" s="256" t="s">
        <v>320</v>
      </c>
      <c r="B28" s="67" t="s">
        <v>98</v>
      </c>
      <c r="C28" s="111" t="s">
        <v>99</v>
      </c>
      <c r="D28" s="115"/>
      <c r="E28" s="120" t="s">
        <v>100</v>
      </c>
      <c r="F28" s="82"/>
      <c r="G28" s="84"/>
      <c r="H28" s="90" t="s">
        <v>100</v>
      </c>
      <c r="I28" s="91"/>
      <c r="J28" s="97"/>
      <c r="K28" s="102">
        <v>45257</v>
      </c>
      <c r="L28" s="327"/>
      <c r="M28" s="106"/>
      <c r="N28" s="113" t="s">
        <v>321</v>
      </c>
      <c r="O28" s="113" t="s">
        <v>322</v>
      </c>
      <c r="P28" s="57"/>
      <c r="Q28" s="132">
        <v>0.1075</v>
      </c>
      <c r="R28" s="132"/>
      <c r="S28" s="63" t="s">
        <v>113</v>
      </c>
      <c r="T28" s="67" t="s">
        <v>323</v>
      </c>
      <c r="U28" s="67" t="s">
        <v>324</v>
      </c>
      <c r="V28" s="113" t="s">
        <v>106</v>
      </c>
      <c r="W28" s="222">
        <v>94501</v>
      </c>
      <c r="X28" s="141"/>
      <c r="Y28" s="236"/>
      <c r="Z28" s="236"/>
      <c r="AA28" s="200"/>
      <c r="AB28" s="130"/>
      <c r="AC28" s="202"/>
      <c r="AD28" s="200"/>
      <c r="AE28" s="113"/>
      <c r="AF28" s="113"/>
      <c r="AG28" s="113"/>
      <c r="AH28" s="113"/>
      <c r="AI28" s="130"/>
      <c r="AJ28" s="135"/>
      <c r="AK28" s="57"/>
      <c r="AL28" s="287" t="s">
        <v>251</v>
      </c>
      <c r="AM28" s="288">
        <v>15741</v>
      </c>
      <c r="AN28" s="288" t="s">
        <v>325</v>
      </c>
      <c r="AO28" s="288"/>
      <c r="AP28" s="288"/>
      <c r="AQ28" s="288"/>
      <c r="AR28" s="288"/>
      <c r="AS28" s="207"/>
      <c r="AT28" s="116"/>
      <c r="AU28" s="67" t="s">
        <v>323</v>
      </c>
      <c r="AV28" s="251"/>
      <c r="AW28" s="67" t="s">
        <v>324</v>
      </c>
      <c r="AX28" s="113" t="s">
        <v>106</v>
      </c>
      <c r="AY28" s="222">
        <v>94501</v>
      </c>
      <c r="AZ28" s="199" t="s">
        <v>322</v>
      </c>
      <c r="BA28" s="317"/>
    </row>
    <row r="29" spans="1:53" s="210" customFormat="1" ht="14.15" customHeight="1" x14ac:dyDescent="0.4">
      <c r="A29" s="256" t="s">
        <v>326</v>
      </c>
      <c r="B29" s="67" t="s">
        <v>269</v>
      </c>
      <c r="C29" s="111" t="s">
        <v>119</v>
      </c>
      <c r="D29" s="115"/>
      <c r="E29" s="204" t="s">
        <v>327</v>
      </c>
      <c r="F29" s="82"/>
      <c r="G29" s="84"/>
      <c r="H29" s="90" t="s">
        <v>100</v>
      </c>
      <c r="I29" s="91"/>
      <c r="J29" s="97"/>
      <c r="K29" s="102"/>
      <c r="L29" s="327"/>
      <c r="M29" s="106">
        <v>45721</v>
      </c>
      <c r="N29" s="113" t="s">
        <v>328</v>
      </c>
      <c r="O29" s="113" t="s">
        <v>329</v>
      </c>
      <c r="P29" s="57" t="s">
        <v>330</v>
      </c>
      <c r="Q29" s="132">
        <v>9.2499999999999999E-2</v>
      </c>
      <c r="R29" s="132"/>
      <c r="S29" s="63" t="s">
        <v>331</v>
      </c>
      <c r="T29" s="67" t="s">
        <v>332</v>
      </c>
      <c r="U29" s="67" t="s">
        <v>333</v>
      </c>
      <c r="V29" s="113" t="s">
        <v>106</v>
      </c>
      <c r="W29" s="222">
        <v>94024</v>
      </c>
      <c r="X29" s="139" t="s">
        <v>334</v>
      </c>
      <c r="Y29" s="139" t="s">
        <v>334</v>
      </c>
      <c r="Z29" s="139" t="s">
        <v>334</v>
      </c>
      <c r="AA29" s="200"/>
      <c r="AB29" s="130"/>
      <c r="AC29" s="202"/>
      <c r="AD29" s="200"/>
      <c r="AE29" s="113"/>
      <c r="AF29" s="113"/>
      <c r="AG29" s="113"/>
      <c r="AH29" s="113"/>
      <c r="AI29" s="130"/>
      <c r="AJ29" s="135"/>
      <c r="AK29" s="57"/>
      <c r="AL29" s="287"/>
      <c r="AM29" s="288"/>
      <c r="AN29" s="288"/>
      <c r="AO29" s="288"/>
      <c r="AP29" s="288"/>
      <c r="AQ29" s="288"/>
      <c r="AR29" s="288"/>
      <c r="AS29" s="207"/>
      <c r="AT29" s="116"/>
      <c r="AU29" s="67" t="s">
        <v>332</v>
      </c>
      <c r="AV29" s="251"/>
      <c r="AW29" s="67" t="s">
        <v>333</v>
      </c>
      <c r="AX29" s="113" t="s">
        <v>106</v>
      </c>
      <c r="AY29" s="222">
        <v>94024</v>
      </c>
      <c r="AZ29" s="199" t="s">
        <v>329</v>
      </c>
      <c r="BA29" s="317"/>
    </row>
    <row r="30" spans="1:53" s="210" customFormat="1" ht="14.25" customHeight="1" x14ac:dyDescent="0.4">
      <c r="A30" s="256" t="s">
        <v>335</v>
      </c>
      <c r="B30" s="67" t="s">
        <v>98</v>
      </c>
      <c r="C30" s="111" t="s">
        <v>99</v>
      </c>
      <c r="D30" s="113"/>
      <c r="E30" s="120" t="s">
        <v>100</v>
      </c>
      <c r="F30" s="82"/>
      <c r="G30" s="84"/>
      <c r="H30" s="90" t="s">
        <v>100</v>
      </c>
      <c r="I30" s="91"/>
      <c r="J30" s="97"/>
      <c r="K30" s="102">
        <v>46003</v>
      </c>
      <c r="L30" s="327"/>
      <c r="M30" s="106">
        <v>43032</v>
      </c>
      <c r="N30" s="113" t="s">
        <v>336</v>
      </c>
      <c r="O30" s="113" t="s">
        <v>337</v>
      </c>
      <c r="P30" s="57" t="s">
        <v>338</v>
      </c>
      <c r="Q30" s="132">
        <v>0.10249999999999999</v>
      </c>
      <c r="R30" s="132">
        <v>9.5000000000000001E-2</v>
      </c>
      <c r="S30" s="63" t="s">
        <v>113</v>
      </c>
      <c r="T30" s="67" t="s">
        <v>339</v>
      </c>
      <c r="U30" s="67" t="s">
        <v>340</v>
      </c>
      <c r="V30" s="113" t="s">
        <v>106</v>
      </c>
      <c r="W30" s="222">
        <v>94568</v>
      </c>
      <c r="X30" s="141" t="s">
        <v>341</v>
      </c>
      <c r="Y30" s="236"/>
      <c r="Z30" s="236"/>
      <c r="AA30" s="200" t="s">
        <v>342</v>
      </c>
      <c r="AB30" s="130" t="s">
        <v>343</v>
      </c>
      <c r="AC30" s="202" t="s">
        <v>344</v>
      </c>
      <c r="AD30" s="200" t="s">
        <v>345</v>
      </c>
      <c r="AE30" s="113"/>
      <c r="AF30" s="113"/>
      <c r="AG30" s="113"/>
      <c r="AH30" s="113"/>
      <c r="AI30" s="130" t="s">
        <v>0</v>
      </c>
      <c r="AJ30" s="135" t="s">
        <v>116</v>
      </c>
      <c r="AK30" s="57"/>
      <c r="AL30" s="290" t="s">
        <v>251</v>
      </c>
      <c r="AM30" s="290">
        <v>13305</v>
      </c>
      <c r="AN30" s="290" t="s">
        <v>290</v>
      </c>
      <c r="AO30" s="290">
        <v>62245</v>
      </c>
      <c r="AP30" s="290"/>
      <c r="AQ30" s="290"/>
      <c r="AR30" s="290"/>
      <c r="AS30" s="207" t="s">
        <v>132</v>
      </c>
      <c r="AT30" s="116" t="s">
        <v>133</v>
      </c>
      <c r="AU30" s="67" t="s">
        <v>339</v>
      </c>
      <c r="AV30" s="251" t="s">
        <v>346</v>
      </c>
      <c r="AW30" s="67" t="s">
        <v>340</v>
      </c>
      <c r="AX30" s="113" t="s">
        <v>106</v>
      </c>
      <c r="AY30" s="222">
        <v>94568</v>
      </c>
      <c r="AZ30" s="199" t="s">
        <v>337</v>
      </c>
      <c r="BA30" s="317"/>
    </row>
    <row r="31" spans="1:53" s="210" customFormat="1" ht="14.15" customHeight="1" x14ac:dyDescent="0.4">
      <c r="A31" s="256" t="s">
        <v>347</v>
      </c>
      <c r="B31" s="67" t="s">
        <v>269</v>
      </c>
      <c r="C31" s="111" t="s">
        <v>119</v>
      </c>
      <c r="D31" s="115"/>
      <c r="E31" s="120" t="s">
        <v>100</v>
      </c>
      <c r="F31" s="82"/>
      <c r="G31" s="84"/>
      <c r="H31" s="90" t="s">
        <v>100</v>
      </c>
      <c r="I31" s="91"/>
      <c r="J31" s="97"/>
      <c r="K31" s="102"/>
      <c r="L31" s="327"/>
      <c r="M31" s="106">
        <v>44776</v>
      </c>
      <c r="N31" s="113" t="s">
        <v>348</v>
      </c>
      <c r="O31" s="113" t="s">
        <v>349</v>
      </c>
      <c r="P31" s="57"/>
      <c r="Q31" s="132">
        <v>8.6249999999999993E-2</v>
      </c>
      <c r="R31" s="132"/>
      <c r="S31" s="63" t="s">
        <v>103</v>
      </c>
      <c r="T31" s="67" t="s">
        <v>350</v>
      </c>
      <c r="U31" s="67" t="s">
        <v>105</v>
      </c>
      <c r="V31" s="113" t="s">
        <v>106</v>
      </c>
      <c r="W31" s="222">
        <v>94117</v>
      </c>
      <c r="X31" s="141"/>
      <c r="Y31" s="236"/>
      <c r="Z31" s="236"/>
      <c r="AA31" s="200"/>
      <c r="AB31" s="130"/>
      <c r="AC31" s="202"/>
      <c r="AD31" s="200"/>
      <c r="AE31" s="113"/>
      <c r="AF31" s="113"/>
      <c r="AG31" s="113"/>
      <c r="AH31" s="113"/>
      <c r="AI31" s="130"/>
      <c r="AJ31" s="135"/>
      <c r="AK31" s="57"/>
      <c r="AL31" s="287"/>
      <c r="AM31" s="288"/>
      <c r="AN31" s="288"/>
      <c r="AO31" s="288"/>
      <c r="AP31" s="288"/>
      <c r="AQ31" s="288"/>
      <c r="AR31" s="288"/>
      <c r="AS31" s="207"/>
      <c r="AT31" s="116"/>
      <c r="AU31" s="67" t="s">
        <v>350</v>
      </c>
      <c r="AV31" s="251"/>
      <c r="AW31" s="67" t="s">
        <v>105</v>
      </c>
      <c r="AX31" s="113" t="s">
        <v>106</v>
      </c>
      <c r="AY31" s="222">
        <v>94117</v>
      </c>
      <c r="AZ31" s="199" t="s">
        <v>349</v>
      </c>
      <c r="BA31" s="317"/>
    </row>
    <row r="32" spans="1:53" s="251" customFormat="1" ht="14.15" customHeight="1" x14ac:dyDescent="0.4">
      <c r="A32" s="256" t="s">
        <v>351</v>
      </c>
      <c r="B32" s="67" t="s">
        <v>269</v>
      </c>
      <c r="C32" s="111" t="s">
        <v>119</v>
      </c>
      <c r="D32" s="113"/>
      <c r="E32" s="120" t="s">
        <v>100</v>
      </c>
      <c r="F32" s="82"/>
      <c r="G32" s="84"/>
      <c r="H32" s="90" t="s">
        <v>100</v>
      </c>
      <c r="I32" s="91"/>
      <c r="J32" s="97"/>
      <c r="K32" s="102">
        <v>43363</v>
      </c>
      <c r="L32" s="327"/>
      <c r="M32" s="106">
        <v>43955</v>
      </c>
      <c r="N32" s="113" t="s">
        <v>352</v>
      </c>
      <c r="O32" s="113" t="s">
        <v>353</v>
      </c>
      <c r="P32" s="57" t="s">
        <v>354</v>
      </c>
      <c r="Q32" s="132">
        <v>9.6250000000000002E-2</v>
      </c>
      <c r="R32" s="132">
        <v>0.09</v>
      </c>
      <c r="S32" s="63" t="s">
        <v>280</v>
      </c>
      <c r="T32" s="67" t="s">
        <v>355</v>
      </c>
      <c r="U32" s="67" t="s">
        <v>282</v>
      </c>
      <c r="V32" s="113" t="s">
        <v>106</v>
      </c>
      <c r="W32" s="222">
        <v>94010</v>
      </c>
      <c r="X32" s="141" t="s">
        <v>356</v>
      </c>
      <c r="Y32" s="236"/>
      <c r="Z32" s="236"/>
      <c r="AA32" s="200" t="s">
        <v>357</v>
      </c>
      <c r="AB32" s="130" t="s">
        <v>358</v>
      </c>
      <c r="AC32" s="202"/>
      <c r="AD32" s="200"/>
      <c r="AE32" s="113"/>
      <c r="AF32" s="113"/>
      <c r="AG32" s="113"/>
      <c r="AH32" s="113"/>
      <c r="AI32" s="130" t="s">
        <v>359</v>
      </c>
      <c r="AJ32" s="135" t="s">
        <v>116</v>
      </c>
      <c r="AK32" s="57"/>
      <c r="AL32" s="290" t="s">
        <v>289</v>
      </c>
      <c r="AM32" s="290">
        <v>13305</v>
      </c>
      <c r="AN32" s="290"/>
      <c r="AO32" s="290">
        <v>62245</v>
      </c>
      <c r="AP32" s="290"/>
      <c r="AQ32" s="290"/>
      <c r="AR32" s="290"/>
      <c r="AS32" s="207" t="s">
        <v>132</v>
      </c>
      <c r="AT32" s="116" t="s">
        <v>133</v>
      </c>
      <c r="AU32" s="67" t="str">
        <f>PROPER(AV32)</f>
        <v>1819 El Camino Real</v>
      </c>
      <c r="AV32" s="251" t="s">
        <v>360</v>
      </c>
      <c r="AW32" s="67" t="s">
        <v>282</v>
      </c>
      <c r="AX32" s="113" t="s">
        <v>106</v>
      </c>
      <c r="AY32" s="222">
        <v>94010</v>
      </c>
      <c r="AZ32" s="199" t="s">
        <v>353</v>
      </c>
      <c r="BA32" s="317"/>
    </row>
    <row r="33" spans="1:53" s="210" customFormat="1" ht="14.15" customHeight="1" x14ac:dyDescent="0.4">
      <c r="A33" s="256" t="s">
        <v>361</v>
      </c>
      <c r="B33" s="67" t="s">
        <v>98</v>
      </c>
      <c r="C33" s="111" t="s">
        <v>99</v>
      </c>
      <c r="D33" s="113"/>
      <c r="E33" s="120" t="s">
        <v>100</v>
      </c>
      <c r="F33" s="82"/>
      <c r="G33" s="84"/>
      <c r="H33" s="90" t="s">
        <v>100</v>
      </c>
      <c r="I33" s="91"/>
      <c r="J33" s="97"/>
      <c r="K33" s="102">
        <v>45939</v>
      </c>
      <c r="L33" s="327"/>
      <c r="M33" s="106"/>
      <c r="N33" s="113" t="s">
        <v>362</v>
      </c>
      <c r="O33" s="113" t="s">
        <v>363</v>
      </c>
      <c r="P33" s="57"/>
      <c r="Q33" s="132">
        <v>7.7499999999999999E-2</v>
      </c>
      <c r="R33" s="132"/>
      <c r="S33" s="63" t="s">
        <v>364</v>
      </c>
      <c r="T33" s="67" t="s">
        <v>365</v>
      </c>
      <c r="U33" s="67" t="s">
        <v>366</v>
      </c>
      <c r="V33" s="113" t="s">
        <v>106</v>
      </c>
      <c r="W33" s="222">
        <v>92805</v>
      </c>
      <c r="X33" s="147"/>
      <c r="Y33" s="139" t="s">
        <v>367</v>
      </c>
      <c r="Z33" s="236"/>
      <c r="AA33" s="200"/>
      <c r="AB33" s="130"/>
      <c r="AC33" s="202"/>
      <c r="AD33" s="200"/>
      <c r="AE33" s="113"/>
      <c r="AF33" s="113"/>
      <c r="AG33" s="113"/>
      <c r="AH33" s="113"/>
      <c r="AI33" s="130"/>
      <c r="AJ33" s="135"/>
      <c r="AK33" s="57"/>
      <c r="AL33" s="290" t="s">
        <v>149</v>
      </c>
      <c r="AM33" s="290" t="s">
        <v>198</v>
      </c>
      <c r="AN33" s="290"/>
      <c r="AO33" s="290">
        <v>62245</v>
      </c>
      <c r="AP33" s="290"/>
      <c r="AQ33" s="290"/>
      <c r="AR33" s="290"/>
      <c r="AS33" s="207" t="s">
        <v>132</v>
      </c>
      <c r="AT33" s="116" t="s">
        <v>133</v>
      </c>
      <c r="AU33" s="67" t="s">
        <v>365</v>
      </c>
      <c r="AV33" s="251"/>
      <c r="AW33" s="67" t="s">
        <v>366</v>
      </c>
      <c r="AX33" s="113" t="s">
        <v>106</v>
      </c>
      <c r="AY33" s="222">
        <v>92805</v>
      </c>
      <c r="AZ33" s="199" t="s">
        <v>363</v>
      </c>
      <c r="BA33" s="317"/>
    </row>
    <row r="34" spans="1:53" ht="14.15" customHeight="1" x14ac:dyDescent="0.4">
      <c r="A34" s="256" t="s">
        <v>368</v>
      </c>
      <c r="B34" s="67" t="s">
        <v>98</v>
      </c>
      <c r="C34" s="111" t="s">
        <v>99</v>
      </c>
      <c r="D34" s="114"/>
      <c r="E34" s="120" t="s">
        <v>100</v>
      </c>
      <c r="F34" s="82"/>
      <c r="G34" s="84"/>
      <c r="H34" s="90" t="s">
        <v>100</v>
      </c>
      <c r="I34" s="91"/>
      <c r="J34" s="97"/>
      <c r="K34" s="102">
        <v>44760</v>
      </c>
      <c r="L34" s="327"/>
      <c r="M34" s="106">
        <v>43649</v>
      </c>
      <c r="N34" s="113" t="s">
        <v>369</v>
      </c>
      <c r="O34" s="113" t="s">
        <v>370</v>
      </c>
      <c r="P34" s="57" t="s">
        <v>371</v>
      </c>
      <c r="Q34" s="132">
        <v>8.6249999999999993E-2</v>
      </c>
      <c r="R34" s="132">
        <v>8.7499999999999994E-2</v>
      </c>
      <c r="S34" s="63" t="s">
        <v>103</v>
      </c>
      <c r="T34" s="67" t="s">
        <v>372</v>
      </c>
      <c r="U34" s="67" t="s">
        <v>105</v>
      </c>
      <c r="V34" s="113" t="s">
        <v>106</v>
      </c>
      <c r="W34" s="222">
        <v>94102</v>
      </c>
      <c r="Z34" s="236"/>
      <c r="AA34" s="200"/>
      <c r="AB34" s="130"/>
      <c r="AC34" s="202"/>
      <c r="AD34" s="200"/>
      <c r="AE34" s="113"/>
      <c r="AF34" s="113"/>
      <c r="AG34" s="113"/>
      <c r="AH34" s="113"/>
      <c r="AI34" s="130" t="s">
        <v>0</v>
      </c>
      <c r="AJ34" s="135" t="s">
        <v>116</v>
      </c>
      <c r="AK34" s="57"/>
      <c r="AL34" s="290">
        <v>54230</v>
      </c>
      <c r="AM34" s="290">
        <v>13305</v>
      </c>
      <c r="AN34" s="290"/>
      <c r="AO34" s="290">
        <v>67240</v>
      </c>
      <c r="AP34" s="290"/>
      <c r="AQ34" s="290"/>
      <c r="AR34" s="290"/>
      <c r="AS34" s="207" t="s">
        <v>132</v>
      </c>
      <c r="AT34" s="116" t="s">
        <v>133</v>
      </c>
      <c r="AU34" s="67" t="s">
        <v>372</v>
      </c>
      <c r="AV34" s="251"/>
      <c r="AW34" s="67" t="s">
        <v>105</v>
      </c>
      <c r="AX34" s="113" t="s">
        <v>106</v>
      </c>
      <c r="AY34" s="222">
        <v>94102</v>
      </c>
      <c r="AZ34" s="199" t="s">
        <v>370</v>
      </c>
      <c r="BA34" s="317"/>
    </row>
    <row r="35" spans="1:53" ht="14.15" customHeight="1" x14ac:dyDescent="0.25">
      <c r="A35" s="256" t="s">
        <v>373</v>
      </c>
      <c r="B35" s="67" t="s">
        <v>98</v>
      </c>
      <c r="C35" s="109" t="s">
        <v>99</v>
      </c>
      <c r="E35" s="118" t="s">
        <v>100</v>
      </c>
      <c r="F35" s="80"/>
      <c r="G35" s="81"/>
      <c r="H35" s="87" t="s">
        <v>100</v>
      </c>
      <c r="I35" s="86"/>
      <c r="J35" s="96"/>
      <c r="K35" s="100">
        <v>43675</v>
      </c>
      <c r="L35" s="328"/>
      <c r="M35" s="104"/>
      <c r="N35" s="128" t="s">
        <v>374</v>
      </c>
      <c r="O35" s="128" t="s">
        <v>375</v>
      </c>
      <c r="Q35" s="132">
        <v>7.8750000000000001E-2</v>
      </c>
      <c r="R35" s="132">
        <v>7.6200000000000004E-2</v>
      </c>
      <c r="S35" s="63" t="s">
        <v>376</v>
      </c>
      <c r="T35" s="67" t="s">
        <v>377</v>
      </c>
      <c r="U35" s="67" t="s">
        <v>378</v>
      </c>
      <c r="V35" s="79" t="s">
        <v>106</v>
      </c>
      <c r="W35" s="76">
        <v>95415</v>
      </c>
      <c r="X35" s="141" t="s">
        <v>379</v>
      </c>
      <c r="Y35" s="139" t="s">
        <v>380</v>
      </c>
      <c r="AA35" s="79" t="s">
        <v>381</v>
      </c>
      <c r="AI35" s="135" t="s">
        <v>382</v>
      </c>
      <c r="AJ35" s="135" t="s">
        <v>116</v>
      </c>
      <c r="AL35" s="290" t="s">
        <v>289</v>
      </c>
      <c r="AM35" s="290"/>
      <c r="AN35" s="290"/>
      <c r="AO35" s="290"/>
      <c r="AP35" s="290"/>
      <c r="AQ35" s="290"/>
      <c r="AR35" s="290"/>
      <c r="AS35" s="207" t="s">
        <v>132</v>
      </c>
      <c r="AT35" s="116" t="s">
        <v>133</v>
      </c>
      <c r="AU35" s="67" t="s">
        <v>383</v>
      </c>
      <c r="AV35" s="66" t="s">
        <v>384</v>
      </c>
      <c r="AW35" s="67" t="s">
        <v>378</v>
      </c>
      <c r="AX35" s="79" t="s">
        <v>106</v>
      </c>
      <c r="AY35" s="76">
        <v>95415</v>
      </c>
      <c r="AZ35" s="77" t="s">
        <v>375</v>
      </c>
      <c r="BA35" s="317"/>
    </row>
    <row r="36" spans="1:53" ht="14.15" customHeight="1" x14ac:dyDescent="0.25">
      <c r="A36" s="256" t="s">
        <v>385</v>
      </c>
      <c r="B36" s="67" t="s">
        <v>269</v>
      </c>
      <c r="C36" s="109" t="s">
        <v>109</v>
      </c>
      <c r="D36" s="79" t="s">
        <v>386</v>
      </c>
      <c r="E36" s="118" t="s">
        <v>100</v>
      </c>
      <c r="F36" s="80"/>
      <c r="G36" s="81"/>
      <c r="H36" s="87" t="s">
        <v>100</v>
      </c>
      <c r="I36" s="86" t="s">
        <v>0</v>
      </c>
      <c r="J36" s="96" t="s">
        <v>0</v>
      </c>
      <c r="K36" s="100">
        <v>45979</v>
      </c>
      <c r="L36" s="328"/>
      <c r="M36" s="104">
        <v>44897</v>
      </c>
      <c r="N36" s="128" t="s">
        <v>387</v>
      </c>
      <c r="O36" s="128" t="s">
        <v>388</v>
      </c>
      <c r="P36" s="59" t="s">
        <v>389</v>
      </c>
      <c r="Q36" s="132">
        <v>8.6249999999999993E-2</v>
      </c>
      <c r="R36" s="132">
        <v>8.7499999999999994E-2</v>
      </c>
      <c r="S36" s="63" t="s">
        <v>103</v>
      </c>
      <c r="T36" s="67" t="s">
        <v>390</v>
      </c>
      <c r="U36" s="67" t="s">
        <v>105</v>
      </c>
      <c r="V36" s="79" t="s">
        <v>106</v>
      </c>
      <c r="W36" s="76">
        <v>94110</v>
      </c>
      <c r="X36" s="139" t="s">
        <v>391</v>
      </c>
      <c r="Y36" s="139" t="s">
        <v>391</v>
      </c>
      <c r="Z36" s="226" t="s">
        <v>391</v>
      </c>
      <c r="AL36" s="290" t="s">
        <v>251</v>
      </c>
      <c r="AM36" s="290">
        <v>15185</v>
      </c>
      <c r="AN36" s="290"/>
      <c r="AO36" s="290"/>
      <c r="AP36" s="290"/>
      <c r="AQ36" s="290" t="s">
        <v>392</v>
      </c>
      <c r="AR36" s="290"/>
      <c r="AS36" s="207" t="s">
        <v>132</v>
      </c>
      <c r="AT36" s="116" t="s">
        <v>133</v>
      </c>
      <c r="AU36" s="67" t="s">
        <v>390</v>
      </c>
      <c r="AW36" s="67" t="s">
        <v>105</v>
      </c>
      <c r="AX36" s="79" t="s">
        <v>106</v>
      </c>
      <c r="AY36" s="76">
        <v>94110</v>
      </c>
      <c r="AZ36" s="77" t="s">
        <v>388</v>
      </c>
      <c r="BA36" s="317"/>
    </row>
    <row r="37" spans="1:53" ht="14.15" customHeight="1" x14ac:dyDescent="0.4">
      <c r="A37" s="256" t="s">
        <v>393</v>
      </c>
      <c r="B37" s="67" t="s">
        <v>174</v>
      </c>
      <c r="C37" s="111" t="s">
        <v>99</v>
      </c>
      <c r="D37" s="113"/>
      <c r="E37" s="120" t="s">
        <v>173</v>
      </c>
      <c r="F37" s="82" t="s">
        <v>174</v>
      </c>
      <c r="G37" s="84"/>
      <c r="H37" s="90" t="s">
        <v>100</v>
      </c>
      <c r="I37" s="91"/>
      <c r="J37" s="97"/>
      <c r="K37" s="102">
        <v>45454</v>
      </c>
      <c r="L37" s="327"/>
      <c r="M37" s="106">
        <v>45434</v>
      </c>
      <c r="N37" s="113" t="s">
        <v>394</v>
      </c>
      <c r="O37" s="113" t="s">
        <v>395</v>
      </c>
      <c r="P37" s="57"/>
      <c r="Q37" s="132">
        <v>0.10249999999999999</v>
      </c>
      <c r="R37" s="132"/>
      <c r="S37" s="63" t="s">
        <v>396</v>
      </c>
      <c r="T37" s="67" t="s">
        <v>397</v>
      </c>
      <c r="U37" s="67" t="s">
        <v>398</v>
      </c>
      <c r="V37" s="113" t="s">
        <v>106</v>
      </c>
      <c r="W37" s="222">
        <v>94566</v>
      </c>
      <c r="X37" s="141"/>
      <c r="Y37" s="141"/>
      <c r="Z37" s="141"/>
      <c r="AA37" s="200"/>
      <c r="AB37" s="130"/>
      <c r="AC37" s="202"/>
      <c r="AD37" s="200"/>
      <c r="AE37" s="113"/>
      <c r="AF37" s="113"/>
      <c r="AG37" s="113"/>
      <c r="AH37" s="113"/>
      <c r="AI37" s="130"/>
      <c r="AK37" s="57"/>
      <c r="AL37" s="290"/>
      <c r="AM37" s="290"/>
      <c r="AN37" s="290"/>
      <c r="AO37" s="290"/>
      <c r="AP37" s="290"/>
      <c r="AQ37" s="290"/>
      <c r="AR37" s="290"/>
      <c r="AS37" s="207"/>
      <c r="AT37" s="116" t="s">
        <v>399</v>
      </c>
      <c r="AU37" s="67" t="s">
        <v>400</v>
      </c>
      <c r="AV37" s="251"/>
      <c r="AW37" s="67" t="s">
        <v>398</v>
      </c>
      <c r="AX37" s="113" t="s">
        <v>106</v>
      </c>
      <c r="AY37" s="222">
        <v>94566</v>
      </c>
      <c r="AZ37" s="199" t="s">
        <v>395</v>
      </c>
      <c r="BA37" s="317"/>
    </row>
    <row r="38" spans="1:53" s="210" customFormat="1" ht="14.15" customHeight="1" x14ac:dyDescent="0.4">
      <c r="A38" s="256" t="s">
        <v>401</v>
      </c>
      <c r="B38" s="67" t="s">
        <v>98</v>
      </c>
      <c r="C38" s="109" t="s">
        <v>99</v>
      </c>
      <c r="D38" s="79"/>
      <c r="E38" s="120" t="s">
        <v>100</v>
      </c>
      <c r="F38" s="82"/>
      <c r="G38" s="84"/>
      <c r="H38" s="90" t="s">
        <v>100</v>
      </c>
      <c r="I38" s="91"/>
      <c r="J38" s="97"/>
      <c r="K38" s="102">
        <v>45453</v>
      </c>
      <c r="L38" s="327"/>
      <c r="M38" s="106"/>
      <c r="N38" s="128" t="s">
        <v>402</v>
      </c>
      <c r="O38" s="128" t="s">
        <v>403</v>
      </c>
      <c r="P38" s="59"/>
      <c r="Q38" s="131">
        <v>9.2499999999999999E-2</v>
      </c>
      <c r="R38" s="131"/>
      <c r="S38" s="63" t="s">
        <v>226</v>
      </c>
      <c r="T38" s="67" t="s">
        <v>404</v>
      </c>
      <c r="U38" s="67" t="s">
        <v>228</v>
      </c>
      <c r="V38" s="79" t="s">
        <v>106</v>
      </c>
      <c r="W38" s="76">
        <v>94901</v>
      </c>
      <c r="X38" s="141" t="s">
        <v>6333</v>
      </c>
      <c r="Y38" s="236"/>
      <c r="Z38" s="234"/>
      <c r="AA38" s="79"/>
      <c r="AB38" s="135"/>
      <c r="AC38" s="136"/>
      <c r="AD38" s="79"/>
      <c r="AE38" s="128"/>
      <c r="AF38" s="128"/>
      <c r="AG38" s="128"/>
      <c r="AH38" s="128"/>
      <c r="AI38" s="135"/>
      <c r="AJ38" s="135"/>
      <c r="AK38" s="58"/>
      <c r="AL38" s="287" t="s">
        <v>251</v>
      </c>
      <c r="AM38" s="288"/>
      <c r="AN38" s="288" t="s">
        <v>198</v>
      </c>
      <c r="AO38" s="288">
        <v>62245</v>
      </c>
      <c r="AP38" s="288" t="s">
        <v>405</v>
      </c>
      <c r="AQ38" s="288"/>
      <c r="AR38" s="288"/>
      <c r="AS38" s="207"/>
      <c r="AT38" s="116" t="s">
        <v>406</v>
      </c>
      <c r="AU38" s="67" t="s">
        <v>404</v>
      </c>
      <c r="AV38" s="66"/>
      <c r="AW38" s="67" t="s">
        <v>228</v>
      </c>
      <c r="AX38" s="79" t="s">
        <v>106</v>
      </c>
      <c r="AY38" s="76">
        <v>94901</v>
      </c>
      <c r="AZ38" s="77" t="s">
        <v>403</v>
      </c>
      <c r="BA38" s="75"/>
    </row>
    <row r="39" spans="1:53" ht="14.15" customHeight="1" x14ac:dyDescent="0.4">
      <c r="A39" s="259" t="s">
        <v>407</v>
      </c>
      <c r="B39" s="67" t="s">
        <v>98</v>
      </c>
      <c r="C39" s="111" t="s">
        <v>99</v>
      </c>
      <c r="E39" s="118" t="s">
        <v>100</v>
      </c>
      <c r="F39" s="80"/>
      <c r="G39" s="81"/>
      <c r="H39" s="87" t="s">
        <v>100</v>
      </c>
      <c r="I39" s="86"/>
      <c r="J39" s="96"/>
      <c r="K39" s="100">
        <v>44594</v>
      </c>
      <c r="L39" s="328"/>
      <c r="M39" s="104"/>
      <c r="N39" s="128" t="s">
        <v>408</v>
      </c>
      <c r="O39" s="128" t="s">
        <v>409</v>
      </c>
      <c r="P39" s="59" t="s">
        <v>410</v>
      </c>
      <c r="Q39" s="132">
        <v>0.1075</v>
      </c>
      <c r="R39" s="132">
        <v>9.5000000000000001E-2</v>
      </c>
      <c r="S39" s="63" t="s">
        <v>113</v>
      </c>
      <c r="T39" s="67" t="s">
        <v>411</v>
      </c>
      <c r="U39" s="67" t="s">
        <v>324</v>
      </c>
      <c r="V39" s="79" t="s">
        <v>106</v>
      </c>
      <c r="W39" s="76">
        <v>94501</v>
      </c>
      <c r="X39" s="141" t="s">
        <v>412</v>
      </c>
      <c r="Y39" s="139" t="s">
        <v>412</v>
      </c>
      <c r="AA39" s="79" t="s">
        <v>413</v>
      </c>
      <c r="AI39" s="135" t="s">
        <v>414</v>
      </c>
      <c r="AJ39" s="135" t="s">
        <v>116</v>
      </c>
      <c r="AL39" s="290" t="s">
        <v>289</v>
      </c>
      <c r="AM39" s="290">
        <v>18333</v>
      </c>
      <c r="AN39" s="290"/>
      <c r="AO39" s="290">
        <v>67240</v>
      </c>
      <c r="AP39" s="290"/>
      <c r="AQ39" s="290"/>
      <c r="AR39" s="290"/>
      <c r="AS39" s="207" t="s">
        <v>132</v>
      </c>
      <c r="AT39" s="116" t="s">
        <v>133</v>
      </c>
      <c r="AU39" s="67" t="s">
        <v>411</v>
      </c>
      <c r="AW39" s="67" t="s">
        <v>324</v>
      </c>
      <c r="AX39" s="79" t="s">
        <v>106</v>
      </c>
      <c r="AY39" s="76">
        <v>94501</v>
      </c>
      <c r="AZ39" s="77" t="s">
        <v>415</v>
      </c>
      <c r="BA39" s="317"/>
    </row>
    <row r="40" spans="1:53" ht="14.15" customHeight="1" x14ac:dyDescent="0.4">
      <c r="A40" s="256" t="s">
        <v>416</v>
      </c>
      <c r="B40" s="67" t="s">
        <v>125</v>
      </c>
      <c r="C40" s="111" t="s">
        <v>99</v>
      </c>
      <c r="D40" s="115" t="s">
        <v>417</v>
      </c>
      <c r="E40" s="120" t="s">
        <v>100</v>
      </c>
      <c r="F40" s="82"/>
      <c r="G40" s="84"/>
      <c r="H40" s="90" t="s">
        <v>100</v>
      </c>
      <c r="I40" s="91"/>
      <c r="J40" s="97"/>
      <c r="K40" s="102"/>
      <c r="L40" s="327"/>
      <c r="M40" s="106">
        <v>44400</v>
      </c>
      <c r="N40" s="113" t="s">
        <v>418</v>
      </c>
      <c r="O40" s="113" t="s">
        <v>419</v>
      </c>
      <c r="P40" s="57"/>
      <c r="Q40" s="132">
        <v>9.2499999999999999E-2</v>
      </c>
      <c r="R40" s="132"/>
      <c r="S40" s="63" t="s">
        <v>420</v>
      </c>
      <c r="T40" s="67" t="s">
        <v>421</v>
      </c>
      <c r="U40" s="67" t="s">
        <v>420</v>
      </c>
      <c r="V40" s="113" t="s">
        <v>106</v>
      </c>
      <c r="W40" s="222">
        <v>94945</v>
      </c>
      <c r="X40" s="141"/>
      <c r="Z40" s="236"/>
      <c r="AA40" s="200"/>
      <c r="AB40" s="130"/>
      <c r="AC40" s="202"/>
      <c r="AD40" s="200"/>
      <c r="AE40" s="113"/>
      <c r="AF40" s="113"/>
      <c r="AG40" s="113"/>
      <c r="AH40" s="113"/>
      <c r="AI40" s="130"/>
      <c r="AK40" s="57"/>
      <c r="AS40" s="207"/>
      <c r="AU40" s="67" t="s">
        <v>422</v>
      </c>
      <c r="AV40" s="251"/>
      <c r="AW40" s="67" t="s">
        <v>420</v>
      </c>
      <c r="AX40" s="113" t="s">
        <v>106</v>
      </c>
      <c r="AY40" s="222">
        <v>94945</v>
      </c>
      <c r="AZ40" s="199" t="s">
        <v>419</v>
      </c>
      <c r="BA40" s="317"/>
    </row>
    <row r="41" spans="1:53" ht="14.15" customHeight="1" x14ac:dyDescent="0.4">
      <c r="A41" s="256" t="s">
        <v>423</v>
      </c>
      <c r="B41" s="67" t="s">
        <v>98</v>
      </c>
      <c r="C41" s="111" t="s">
        <v>99</v>
      </c>
      <c r="E41" s="120" t="s">
        <v>100</v>
      </c>
      <c r="F41" s="82"/>
      <c r="G41" s="84"/>
      <c r="H41" s="94" t="s">
        <v>100</v>
      </c>
      <c r="I41" s="95" t="s">
        <v>0</v>
      </c>
      <c r="J41" s="99" t="s">
        <v>0</v>
      </c>
      <c r="K41" s="103">
        <v>43742</v>
      </c>
      <c r="L41" s="330"/>
      <c r="M41" s="107">
        <v>44573</v>
      </c>
      <c r="N41" s="129" t="s">
        <v>424</v>
      </c>
      <c r="O41" s="129" t="s">
        <v>425</v>
      </c>
      <c r="P41" s="41" t="s">
        <v>426</v>
      </c>
      <c r="Q41" s="132">
        <v>7.2499999999999995E-2</v>
      </c>
      <c r="R41" s="132">
        <v>7.4999999999999997E-2</v>
      </c>
      <c r="S41" s="63" t="s">
        <v>427</v>
      </c>
      <c r="T41" s="41" t="s">
        <v>428</v>
      </c>
      <c r="U41" s="41" t="s">
        <v>429</v>
      </c>
      <c r="V41" s="129" t="s">
        <v>106</v>
      </c>
      <c r="W41" s="133">
        <v>95991</v>
      </c>
      <c r="X41" s="141" t="s">
        <v>430</v>
      </c>
      <c r="Y41" s="133"/>
      <c r="Z41" s="133"/>
      <c r="AA41" s="134" t="s">
        <v>431</v>
      </c>
      <c r="AB41" s="133" t="s">
        <v>432</v>
      </c>
      <c r="AC41" s="137"/>
      <c r="AD41" s="134"/>
      <c r="AE41" s="133"/>
      <c r="AF41" s="133"/>
      <c r="AG41" s="133"/>
      <c r="AH41" s="133"/>
      <c r="AI41" s="133"/>
      <c r="AK41" s="42"/>
      <c r="AL41" s="290" t="s">
        <v>149</v>
      </c>
      <c r="AM41" s="290">
        <v>13305</v>
      </c>
      <c r="AN41" s="290"/>
      <c r="AO41" s="290">
        <v>62245</v>
      </c>
      <c r="AP41" s="290"/>
      <c r="AQ41" s="290"/>
      <c r="AR41" s="290"/>
      <c r="AS41" s="207" t="s">
        <v>132</v>
      </c>
      <c r="AT41" s="116" t="s">
        <v>133</v>
      </c>
      <c r="AU41" s="41" t="s">
        <v>428</v>
      </c>
      <c r="AV41" s="40"/>
      <c r="AW41" s="41" t="s">
        <v>429</v>
      </c>
      <c r="AX41" s="129" t="s">
        <v>106</v>
      </c>
      <c r="AY41" s="133">
        <v>95991</v>
      </c>
      <c r="AZ41" s="41" t="s">
        <v>426</v>
      </c>
      <c r="BA41" s="317"/>
    </row>
    <row r="42" spans="1:53" ht="14.15" customHeight="1" x14ac:dyDescent="0.4">
      <c r="A42" s="256" t="s">
        <v>433</v>
      </c>
      <c r="B42" s="67" t="s">
        <v>434</v>
      </c>
      <c r="C42" s="110" t="s">
        <v>435</v>
      </c>
      <c r="D42" s="112"/>
      <c r="E42" s="119" t="s">
        <v>173</v>
      </c>
      <c r="F42" s="83" t="s">
        <v>174</v>
      </c>
      <c r="G42" s="209"/>
      <c r="H42" s="88" t="s">
        <v>276</v>
      </c>
      <c r="I42" s="89" t="s">
        <v>434</v>
      </c>
      <c r="J42" s="98"/>
      <c r="K42" s="101">
        <v>45897</v>
      </c>
      <c r="L42" s="329"/>
      <c r="M42" s="105">
        <v>44916</v>
      </c>
      <c r="N42" s="112" t="s">
        <v>436</v>
      </c>
      <c r="O42" s="112" t="s">
        <v>437</v>
      </c>
      <c r="P42" s="198" t="s">
        <v>438</v>
      </c>
      <c r="Q42" s="132">
        <v>8.7499999999999994E-2</v>
      </c>
      <c r="R42" s="132">
        <v>0.08</v>
      </c>
      <c r="S42" s="63" t="s">
        <v>439</v>
      </c>
      <c r="T42" s="198" t="s">
        <v>440</v>
      </c>
      <c r="U42" s="198" t="s">
        <v>441</v>
      </c>
      <c r="V42" s="112" t="s">
        <v>106</v>
      </c>
      <c r="W42" s="205">
        <v>92260</v>
      </c>
      <c r="X42" s="141" t="s">
        <v>442</v>
      </c>
      <c r="Y42" s="139" t="s">
        <v>443</v>
      </c>
      <c r="Z42" s="139" t="s">
        <v>444</v>
      </c>
      <c r="AA42" s="203" t="s">
        <v>445</v>
      </c>
      <c r="AB42" s="205"/>
      <c r="AC42" s="206"/>
      <c r="AD42" s="203"/>
      <c r="AE42" s="205"/>
      <c r="AF42" s="205"/>
      <c r="AG42" s="205"/>
      <c r="AH42" s="205"/>
      <c r="AI42" s="205" t="s">
        <v>446</v>
      </c>
      <c r="AJ42" s="135" t="s">
        <v>116</v>
      </c>
      <c r="AL42" s="290" t="s">
        <v>149</v>
      </c>
      <c r="AM42" s="290">
        <v>13305</v>
      </c>
      <c r="AN42" s="290">
        <v>15185</v>
      </c>
      <c r="AO42" s="290">
        <v>62245</v>
      </c>
      <c r="AP42" s="290"/>
      <c r="AQ42" s="290"/>
      <c r="AR42" s="290"/>
      <c r="AS42" s="207" t="s">
        <v>132</v>
      </c>
      <c r="AT42" s="116" t="s">
        <v>447</v>
      </c>
      <c r="AU42" s="198" t="s">
        <v>440</v>
      </c>
      <c r="AV42" s="39"/>
      <c r="AW42" s="198" t="s">
        <v>441</v>
      </c>
      <c r="AX42" s="112" t="s">
        <v>106</v>
      </c>
      <c r="AY42" s="205">
        <v>92260</v>
      </c>
      <c r="AZ42" s="198" t="s">
        <v>437</v>
      </c>
      <c r="BA42" s="317"/>
    </row>
    <row r="43" spans="1:53" ht="14.15" customHeight="1" x14ac:dyDescent="0.25">
      <c r="A43" s="256" t="s">
        <v>448</v>
      </c>
      <c r="B43" s="67" t="s">
        <v>98</v>
      </c>
      <c r="C43" s="109" t="s">
        <v>99</v>
      </c>
      <c r="E43" s="118" t="s">
        <v>100</v>
      </c>
      <c r="F43" s="80"/>
      <c r="G43" s="81"/>
      <c r="H43" s="87" t="s">
        <v>100</v>
      </c>
      <c r="I43" s="86" t="s">
        <v>0</v>
      </c>
      <c r="J43" s="96" t="s">
        <v>0</v>
      </c>
      <c r="K43" s="100"/>
      <c r="L43" s="328"/>
      <c r="M43" s="104">
        <v>43551</v>
      </c>
      <c r="N43" s="128" t="s">
        <v>449</v>
      </c>
      <c r="O43" s="128" t="s">
        <v>450</v>
      </c>
      <c r="P43" s="59" t="s">
        <v>451</v>
      </c>
      <c r="Q43" s="132">
        <v>8.2500000000000004E-2</v>
      </c>
      <c r="R43" s="132">
        <v>0.08</v>
      </c>
      <c r="S43" s="63" t="s">
        <v>452</v>
      </c>
      <c r="T43" s="67" t="s">
        <v>453</v>
      </c>
      <c r="U43" s="67" t="s">
        <v>452</v>
      </c>
      <c r="V43" s="79" t="s">
        <v>106</v>
      </c>
      <c r="W43" s="76">
        <v>95240</v>
      </c>
      <c r="X43" s="141" t="s">
        <v>454</v>
      </c>
      <c r="AA43" s="79" t="s">
        <v>455</v>
      </c>
      <c r="AB43" s="135" t="s">
        <v>456</v>
      </c>
      <c r="AI43" s="135" t="s">
        <v>457</v>
      </c>
      <c r="AL43" s="290"/>
      <c r="AM43" s="290"/>
      <c r="AN43" s="290"/>
      <c r="AO43" s="290"/>
      <c r="AP43" s="290"/>
      <c r="AQ43" s="290"/>
      <c r="AR43" s="290"/>
      <c r="AS43" s="207" t="s">
        <v>132</v>
      </c>
      <c r="AT43" s="116" t="s">
        <v>447</v>
      </c>
      <c r="AU43" s="67" t="s">
        <v>453</v>
      </c>
      <c r="AW43" s="67" t="s">
        <v>458</v>
      </c>
      <c r="AX43" s="79" t="s">
        <v>106</v>
      </c>
      <c r="AY43" s="76">
        <v>95240</v>
      </c>
      <c r="AZ43" s="77" t="s">
        <v>450</v>
      </c>
      <c r="BA43" s="317"/>
    </row>
    <row r="44" spans="1:53" s="251" customFormat="1" ht="14.15" customHeight="1" x14ac:dyDescent="0.4">
      <c r="A44" s="256" t="s">
        <v>459</v>
      </c>
      <c r="B44" s="67" t="s">
        <v>98</v>
      </c>
      <c r="C44" s="109" t="s">
        <v>99</v>
      </c>
      <c r="D44" s="79"/>
      <c r="E44" s="120" t="s">
        <v>100</v>
      </c>
      <c r="F44" s="82"/>
      <c r="G44" s="81" t="s">
        <v>0</v>
      </c>
      <c r="H44" s="87" t="s">
        <v>100</v>
      </c>
      <c r="I44" s="86"/>
      <c r="J44" s="96"/>
      <c r="K44" s="100">
        <v>44769</v>
      </c>
      <c r="L44" s="328"/>
      <c r="M44" s="104">
        <v>44250</v>
      </c>
      <c r="N44" s="128" t="s">
        <v>460</v>
      </c>
      <c r="O44" s="128" t="s">
        <v>461</v>
      </c>
      <c r="P44" s="59" t="s">
        <v>462</v>
      </c>
      <c r="Q44" s="132">
        <v>0.1075</v>
      </c>
      <c r="R44" s="132">
        <v>9.5000000000000001E-2</v>
      </c>
      <c r="S44" s="63" t="s">
        <v>463</v>
      </c>
      <c r="T44" s="67" t="s">
        <v>464</v>
      </c>
      <c r="U44" s="67" t="s">
        <v>463</v>
      </c>
      <c r="V44" s="79" t="s">
        <v>106</v>
      </c>
      <c r="W44" s="76">
        <v>94560</v>
      </c>
      <c r="X44" s="141" t="s">
        <v>465</v>
      </c>
      <c r="Y44" s="139" t="s">
        <v>466</v>
      </c>
      <c r="Z44" s="234"/>
      <c r="AA44" s="79" t="s">
        <v>467</v>
      </c>
      <c r="AB44" s="135"/>
      <c r="AC44" s="136" t="s">
        <v>468</v>
      </c>
      <c r="AD44" s="79"/>
      <c r="AE44" s="128"/>
      <c r="AF44" s="128"/>
      <c r="AG44" s="128"/>
      <c r="AH44" s="128"/>
      <c r="AI44" s="135" t="s">
        <v>469</v>
      </c>
      <c r="AJ44" s="135" t="s">
        <v>470</v>
      </c>
      <c r="AK44" s="58"/>
      <c r="AL44" s="290"/>
      <c r="AM44" s="290">
        <v>13305</v>
      </c>
      <c r="AN44" s="290"/>
      <c r="AO44" s="290">
        <v>62245</v>
      </c>
      <c r="AP44" s="290"/>
      <c r="AQ44" s="290"/>
      <c r="AR44" s="290"/>
      <c r="AS44" s="207" t="s">
        <v>132</v>
      </c>
      <c r="AT44" s="116" t="s">
        <v>447</v>
      </c>
      <c r="AU44" s="67" t="s">
        <v>464</v>
      </c>
      <c r="AV44" s="66"/>
      <c r="AW44" s="67" t="s">
        <v>463</v>
      </c>
      <c r="AX44" s="79" t="s">
        <v>106</v>
      </c>
      <c r="AY44" s="222">
        <v>94560</v>
      </c>
      <c r="AZ44" s="77" t="s">
        <v>461</v>
      </c>
      <c r="BA44" s="317"/>
    </row>
    <row r="45" spans="1:53" s="251" customFormat="1" ht="14.15" customHeight="1" x14ac:dyDescent="0.4">
      <c r="A45" s="256" t="s">
        <v>471</v>
      </c>
      <c r="B45" s="67" t="s">
        <v>244</v>
      </c>
      <c r="C45" s="111" t="s">
        <v>472</v>
      </c>
      <c r="D45" s="115"/>
      <c r="E45" s="120" t="s">
        <v>173</v>
      </c>
      <c r="F45" s="82" t="s">
        <v>174</v>
      </c>
      <c r="G45" s="84"/>
      <c r="H45" s="90"/>
      <c r="I45" s="91"/>
      <c r="J45" s="97"/>
      <c r="K45" s="102"/>
      <c r="L45" s="327"/>
      <c r="M45" s="106">
        <v>44782</v>
      </c>
      <c r="N45" s="113" t="s">
        <v>473</v>
      </c>
      <c r="O45" s="113" t="s">
        <v>474</v>
      </c>
      <c r="P45" s="57"/>
      <c r="Q45" s="132">
        <v>9.1249999999999998E-2</v>
      </c>
      <c r="R45" s="132"/>
      <c r="S45" s="63" t="s">
        <v>177</v>
      </c>
      <c r="T45" s="67" t="s">
        <v>475</v>
      </c>
      <c r="U45" s="67" t="s">
        <v>476</v>
      </c>
      <c r="V45" s="113" t="s">
        <v>106</v>
      </c>
      <c r="W45" s="222">
        <v>94301</v>
      </c>
      <c r="X45" s="141" t="s">
        <v>477</v>
      </c>
      <c r="Y45" s="236"/>
      <c r="Z45" s="236"/>
      <c r="AA45" s="200"/>
      <c r="AB45" s="130"/>
      <c r="AC45" s="202"/>
      <c r="AD45" s="200"/>
      <c r="AE45" s="113"/>
      <c r="AF45" s="113"/>
      <c r="AG45" s="113"/>
      <c r="AH45" s="113"/>
      <c r="AI45" s="130"/>
      <c r="AJ45" s="135"/>
      <c r="AK45" s="57"/>
      <c r="AL45" s="287" t="s">
        <v>251</v>
      </c>
      <c r="AM45" s="288"/>
      <c r="AN45" s="288"/>
      <c r="AO45" s="288"/>
      <c r="AP45" s="288"/>
      <c r="AQ45" s="288"/>
      <c r="AR45" s="288"/>
      <c r="AS45" s="207"/>
      <c r="AT45" s="116" t="s">
        <v>116</v>
      </c>
      <c r="AU45" s="67" t="s">
        <v>475</v>
      </c>
      <c r="AW45" s="67" t="s">
        <v>476</v>
      </c>
      <c r="AX45" s="113" t="s">
        <v>106</v>
      </c>
      <c r="AY45" s="222">
        <v>94301</v>
      </c>
      <c r="AZ45" s="199" t="s">
        <v>474</v>
      </c>
      <c r="BA45" s="317"/>
    </row>
    <row r="46" spans="1:53" s="251" customFormat="1" ht="14.15" customHeight="1" x14ac:dyDescent="0.4">
      <c r="A46" s="256" t="s">
        <v>478</v>
      </c>
      <c r="B46" s="67" t="s">
        <v>244</v>
      </c>
      <c r="C46" s="111" t="s">
        <v>479</v>
      </c>
      <c r="D46" s="115"/>
      <c r="E46" s="120" t="s">
        <v>173</v>
      </c>
      <c r="F46" s="82" t="s">
        <v>174</v>
      </c>
      <c r="G46" s="84"/>
      <c r="H46" s="90"/>
      <c r="I46" s="91"/>
      <c r="J46" s="97"/>
      <c r="K46" s="102">
        <v>44705</v>
      </c>
      <c r="L46" s="327"/>
      <c r="M46" s="106"/>
      <c r="N46" s="113" t="s">
        <v>480</v>
      </c>
      <c r="O46" s="113" t="s">
        <v>481</v>
      </c>
      <c r="P46" s="57"/>
      <c r="Q46" s="132">
        <v>9.1249999999999998E-2</v>
      </c>
      <c r="R46" s="132"/>
      <c r="S46" s="63" t="s">
        <v>177</v>
      </c>
      <c r="T46" s="67" t="s">
        <v>482</v>
      </c>
      <c r="U46" s="67" t="s">
        <v>476</v>
      </c>
      <c r="V46" s="113" t="s">
        <v>106</v>
      </c>
      <c r="W46" s="222">
        <v>94301</v>
      </c>
      <c r="X46" s="141" t="s">
        <v>483</v>
      </c>
      <c r="Y46" s="139" t="s">
        <v>483</v>
      </c>
      <c r="Z46" s="139" t="s">
        <v>483</v>
      </c>
      <c r="AA46" s="200"/>
      <c r="AB46" s="130"/>
      <c r="AC46" s="202"/>
      <c r="AD46" s="200"/>
      <c r="AE46" s="113"/>
      <c r="AF46" s="113"/>
      <c r="AG46" s="113"/>
      <c r="AH46" s="113"/>
      <c r="AI46" s="130"/>
      <c r="AJ46" s="135"/>
      <c r="AK46" s="57"/>
      <c r="AL46" s="287">
        <v>15741</v>
      </c>
      <c r="AM46" s="288"/>
      <c r="AN46" s="288"/>
      <c r="AO46" s="288"/>
      <c r="AP46" s="288"/>
      <c r="AQ46" s="288"/>
      <c r="AR46" s="288"/>
      <c r="AS46" s="207"/>
      <c r="AT46" s="116"/>
      <c r="AU46" s="67" t="s">
        <v>482</v>
      </c>
      <c r="AW46" s="67" t="s">
        <v>476</v>
      </c>
      <c r="AX46" s="113" t="s">
        <v>106</v>
      </c>
      <c r="AY46" s="222">
        <v>94301</v>
      </c>
      <c r="AZ46" s="199" t="s">
        <v>481</v>
      </c>
      <c r="BA46" s="317"/>
    </row>
    <row r="47" spans="1:53" s="251" customFormat="1" ht="14.15" customHeight="1" x14ac:dyDescent="0.4">
      <c r="A47" s="256" t="s">
        <v>484</v>
      </c>
      <c r="B47" s="67" t="s">
        <v>98</v>
      </c>
      <c r="C47" s="109" t="s">
        <v>99</v>
      </c>
      <c r="D47" s="79"/>
      <c r="E47" s="120" t="s">
        <v>100</v>
      </c>
      <c r="F47" s="82"/>
      <c r="G47" s="84"/>
      <c r="H47" s="87" t="s">
        <v>100</v>
      </c>
      <c r="I47" s="86"/>
      <c r="J47" s="96"/>
      <c r="K47" s="100">
        <v>43333</v>
      </c>
      <c r="L47" s="328"/>
      <c r="M47" s="104">
        <v>43178</v>
      </c>
      <c r="N47" s="128" t="s">
        <v>485</v>
      </c>
      <c r="O47" s="128" t="s">
        <v>486</v>
      </c>
      <c r="P47" s="59" t="s">
        <v>487</v>
      </c>
      <c r="Q47" s="132">
        <v>8.6249999999999993E-2</v>
      </c>
      <c r="R47" s="132">
        <v>8.7499999999999994E-2</v>
      </c>
      <c r="S47" s="63" t="s">
        <v>103</v>
      </c>
      <c r="T47" s="67" t="s">
        <v>488</v>
      </c>
      <c r="U47" s="67" t="s">
        <v>105</v>
      </c>
      <c r="V47" s="79" t="s">
        <v>106</v>
      </c>
      <c r="W47" s="76">
        <v>94110</v>
      </c>
      <c r="X47" s="147"/>
      <c r="Y47" s="236"/>
      <c r="Z47" s="234"/>
      <c r="AA47" s="79"/>
      <c r="AB47" s="135"/>
      <c r="AC47" s="136"/>
      <c r="AD47" s="79"/>
      <c r="AE47" s="128"/>
      <c r="AF47" s="128"/>
      <c r="AG47" s="128"/>
      <c r="AH47" s="128"/>
      <c r="AI47" s="135" t="s">
        <v>0</v>
      </c>
      <c r="AJ47" s="135" t="s">
        <v>116</v>
      </c>
      <c r="AK47" s="58"/>
      <c r="AL47" s="287" t="s">
        <v>289</v>
      </c>
      <c r="AM47" s="288">
        <v>13305</v>
      </c>
      <c r="AN47" s="288">
        <v>54170</v>
      </c>
      <c r="AO47" s="288">
        <v>62245</v>
      </c>
      <c r="AP47" s="288"/>
      <c r="AQ47" s="288"/>
      <c r="AR47" s="288"/>
      <c r="AS47" s="207" t="s">
        <v>132</v>
      </c>
      <c r="AT47" s="116" t="s">
        <v>447</v>
      </c>
      <c r="AU47" s="67" t="str">
        <f>PROPER(AV47)</f>
        <v>3049 20Th Street</v>
      </c>
      <c r="AV47" s="66" t="s">
        <v>489</v>
      </c>
      <c r="AW47" s="67" t="s">
        <v>105</v>
      </c>
      <c r="AX47" s="79" t="s">
        <v>106</v>
      </c>
      <c r="AY47" s="76">
        <v>94110</v>
      </c>
      <c r="AZ47" s="77" t="s">
        <v>486</v>
      </c>
      <c r="BA47" s="75"/>
    </row>
    <row r="48" spans="1:53" s="251" customFormat="1" ht="14.15" customHeight="1" x14ac:dyDescent="0.4">
      <c r="A48" s="256" t="s">
        <v>490</v>
      </c>
      <c r="B48" s="67" t="s">
        <v>98</v>
      </c>
      <c r="C48" s="109" t="s">
        <v>99</v>
      </c>
      <c r="D48" s="79"/>
      <c r="E48" s="120" t="s">
        <v>100</v>
      </c>
      <c r="F48" s="82"/>
      <c r="G48" s="84"/>
      <c r="H48" s="87" t="s">
        <v>100</v>
      </c>
      <c r="I48" s="86"/>
      <c r="J48" s="96"/>
      <c r="K48" s="100">
        <v>45932</v>
      </c>
      <c r="L48" s="328"/>
      <c r="M48" s="104"/>
      <c r="N48" s="128" t="s">
        <v>491</v>
      </c>
      <c r="O48" s="128" t="s">
        <v>492</v>
      </c>
      <c r="P48" s="59"/>
      <c r="Q48" s="132">
        <v>8.6249999999999993E-2</v>
      </c>
      <c r="R48" s="132">
        <v>8.7499999999999994E-2</v>
      </c>
      <c r="S48" s="63" t="s">
        <v>103</v>
      </c>
      <c r="T48" s="67" t="s">
        <v>493</v>
      </c>
      <c r="U48" s="67" t="s">
        <v>105</v>
      </c>
      <c r="V48" s="79" t="s">
        <v>106</v>
      </c>
      <c r="W48" s="76">
        <v>94158</v>
      </c>
      <c r="X48" s="141" t="s">
        <v>494</v>
      </c>
      <c r="Y48" s="139" t="s">
        <v>6323</v>
      </c>
      <c r="Z48" s="226" t="s">
        <v>495</v>
      </c>
      <c r="AA48" s="79" t="s">
        <v>496</v>
      </c>
      <c r="AB48" s="135"/>
      <c r="AC48" s="136"/>
      <c r="AD48" s="79"/>
      <c r="AE48" s="128"/>
      <c r="AF48" s="128"/>
      <c r="AG48" s="128"/>
      <c r="AH48" s="128"/>
      <c r="AI48" s="135"/>
      <c r="AJ48" s="135" t="s">
        <v>497</v>
      </c>
      <c r="AK48" s="58"/>
      <c r="AL48" s="287">
        <v>54230</v>
      </c>
      <c r="AM48" s="288">
        <v>13305</v>
      </c>
      <c r="AN48" s="288" t="s">
        <v>257</v>
      </c>
      <c r="AO48" s="288">
        <v>62245</v>
      </c>
      <c r="AP48" s="288"/>
      <c r="AQ48" s="288"/>
      <c r="AR48" s="288"/>
      <c r="AS48" s="207" t="s">
        <v>132</v>
      </c>
      <c r="AT48" s="116" t="s">
        <v>447</v>
      </c>
      <c r="AU48" s="67" t="s">
        <v>498</v>
      </c>
      <c r="AV48" s="66"/>
      <c r="AW48" s="67" t="s">
        <v>105</v>
      </c>
      <c r="AX48" s="79" t="s">
        <v>106</v>
      </c>
      <c r="AY48" s="76">
        <v>94158</v>
      </c>
      <c r="AZ48" s="77" t="s">
        <v>492</v>
      </c>
      <c r="BA48" s="75"/>
    </row>
    <row r="49" spans="1:53" ht="14.15" customHeight="1" x14ac:dyDescent="0.4">
      <c r="A49" s="256" t="s">
        <v>499</v>
      </c>
      <c r="B49" s="67" t="s">
        <v>244</v>
      </c>
      <c r="C49" s="109" t="s">
        <v>99</v>
      </c>
      <c r="E49" s="120" t="s">
        <v>100</v>
      </c>
      <c r="F49" s="82"/>
      <c r="G49" s="84"/>
      <c r="H49" s="90" t="s">
        <v>100</v>
      </c>
      <c r="I49" s="91"/>
      <c r="J49" s="97"/>
      <c r="K49" s="102">
        <v>45881</v>
      </c>
      <c r="L49" s="327"/>
      <c r="M49" s="106"/>
      <c r="N49" s="365" t="s">
        <v>500</v>
      </c>
      <c r="O49" s="128" t="s">
        <v>501</v>
      </c>
      <c r="Q49" s="131">
        <v>0.1</v>
      </c>
      <c r="S49" s="63" t="s">
        <v>186</v>
      </c>
      <c r="T49" s="67" t="s">
        <v>502</v>
      </c>
      <c r="U49" s="67" t="s">
        <v>188</v>
      </c>
      <c r="V49" s="79" t="s">
        <v>106</v>
      </c>
      <c r="W49" s="76">
        <v>94501</v>
      </c>
      <c r="AL49" s="287" t="s">
        <v>251</v>
      </c>
      <c r="AN49" s="288" t="s">
        <v>198</v>
      </c>
      <c r="AO49" s="288">
        <v>62245</v>
      </c>
      <c r="AS49" s="207"/>
      <c r="AU49" s="67" t="s">
        <v>503</v>
      </c>
      <c r="AW49" s="67" t="s">
        <v>188</v>
      </c>
      <c r="AX49" s="79" t="s">
        <v>106</v>
      </c>
      <c r="AY49" s="76">
        <v>94501</v>
      </c>
    </row>
    <row r="50" spans="1:53" s="210" customFormat="1" ht="14.15" customHeight="1" x14ac:dyDescent="0.4">
      <c r="A50" s="256" t="s">
        <v>504</v>
      </c>
      <c r="B50" s="67" t="s">
        <v>244</v>
      </c>
      <c r="C50" s="111" t="s">
        <v>99</v>
      </c>
      <c r="D50" s="115"/>
      <c r="E50" s="120" t="s">
        <v>173</v>
      </c>
      <c r="F50" s="82" t="s">
        <v>174</v>
      </c>
      <c r="G50" s="84"/>
      <c r="H50" s="90"/>
      <c r="I50" s="91"/>
      <c r="J50" s="97"/>
      <c r="K50" s="102">
        <v>44727</v>
      </c>
      <c r="L50" s="327"/>
      <c r="M50" s="106"/>
      <c r="N50" s="113" t="s">
        <v>505</v>
      </c>
      <c r="O50" s="130" t="s">
        <v>506</v>
      </c>
      <c r="P50" s="57"/>
      <c r="Q50" s="132">
        <v>9.2499999999999999E-2</v>
      </c>
      <c r="R50" s="132"/>
      <c r="S50" s="63" t="s">
        <v>507</v>
      </c>
      <c r="T50" s="57" t="s">
        <v>508</v>
      </c>
      <c r="U50" s="67" t="s">
        <v>509</v>
      </c>
      <c r="V50" s="113" t="s">
        <v>106</v>
      </c>
      <c r="W50" s="222">
        <v>94965</v>
      </c>
      <c r="X50" s="141" t="s">
        <v>510</v>
      </c>
      <c r="Y50" s="141" t="s">
        <v>510</v>
      </c>
      <c r="Z50" s="141" t="s">
        <v>510</v>
      </c>
      <c r="AA50" s="200"/>
      <c r="AB50" s="130"/>
      <c r="AC50" s="202"/>
      <c r="AD50" s="200"/>
      <c r="AE50" s="113"/>
      <c r="AF50" s="113"/>
      <c r="AG50" s="113"/>
      <c r="AH50" s="113"/>
      <c r="AI50" s="130"/>
      <c r="AJ50" s="135"/>
      <c r="AK50" s="57"/>
      <c r="AL50" s="287"/>
      <c r="AM50" s="288"/>
      <c r="AN50" s="288"/>
      <c r="AO50" s="288"/>
      <c r="AP50" s="288"/>
      <c r="AQ50" s="288"/>
      <c r="AR50" s="288"/>
      <c r="AS50" s="207"/>
      <c r="AT50" s="116"/>
      <c r="AU50" s="57" t="s">
        <v>508</v>
      </c>
      <c r="AV50" s="251"/>
      <c r="AW50" s="67" t="s">
        <v>509</v>
      </c>
      <c r="AX50" s="113" t="s">
        <v>106</v>
      </c>
      <c r="AY50" s="222">
        <v>94965</v>
      </c>
      <c r="AZ50" s="57" t="s">
        <v>506</v>
      </c>
      <c r="BA50" s="317"/>
    </row>
    <row r="51" spans="1:53" s="210" customFormat="1" ht="14.15" customHeight="1" x14ac:dyDescent="0.4">
      <c r="A51" s="256" t="s">
        <v>511</v>
      </c>
      <c r="B51" s="67" t="s">
        <v>98</v>
      </c>
      <c r="C51" s="110" t="s">
        <v>99</v>
      </c>
      <c r="D51" s="79"/>
      <c r="E51" s="118" t="s">
        <v>100</v>
      </c>
      <c r="F51" s="80"/>
      <c r="G51" s="81"/>
      <c r="H51" s="87" t="s">
        <v>100</v>
      </c>
      <c r="I51" s="86"/>
      <c r="J51" s="96"/>
      <c r="K51" s="100">
        <v>44572</v>
      </c>
      <c r="L51" s="328"/>
      <c r="M51" s="104">
        <v>43844</v>
      </c>
      <c r="N51" s="128" t="s">
        <v>512</v>
      </c>
      <c r="O51" s="128" t="s">
        <v>513</v>
      </c>
      <c r="P51" s="59"/>
      <c r="Q51" s="132">
        <v>8.6249999999999993E-2</v>
      </c>
      <c r="R51" s="132"/>
      <c r="S51" s="63" t="s">
        <v>103</v>
      </c>
      <c r="T51" s="67" t="s">
        <v>514</v>
      </c>
      <c r="U51" s="67" t="s">
        <v>105</v>
      </c>
      <c r="V51" s="79" t="s">
        <v>106</v>
      </c>
      <c r="W51" s="76">
        <v>94110</v>
      </c>
      <c r="X51" s="147"/>
      <c r="Y51" s="236"/>
      <c r="Z51" s="234"/>
      <c r="AA51" s="79"/>
      <c r="AB51" s="135"/>
      <c r="AC51" s="136"/>
      <c r="AD51" s="79"/>
      <c r="AE51" s="128"/>
      <c r="AF51" s="128"/>
      <c r="AG51" s="128"/>
      <c r="AH51" s="128"/>
      <c r="AI51" s="135"/>
      <c r="AJ51" s="135"/>
      <c r="AK51" s="58"/>
      <c r="AL51" s="287">
        <v>63544</v>
      </c>
      <c r="AM51" s="288">
        <v>15157</v>
      </c>
      <c r="AN51" s="288"/>
      <c r="AO51" s="288" t="s">
        <v>515</v>
      </c>
      <c r="AP51" s="288"/>
      <c r="AQ51" s="288"/>
      <c r="AR51" s="288"/>
      <c r="AS51" s="207" t="s">
        <v>132</v>
      </c>
      <c r="AT51" s="116" t="s">
        <v>447</v>
      </c>
      <c r="AU51" s="67" t="s">
        <v>514</v>
      </c>
      <c r="AV51" s="66"/>
      <c r="AW51" s="67" t="s">
        <v>105</v>
      </c>
      <c r="AX51" s="79" t="s">
        <v>106</v>
      </c>
      <c r="AY51" s="76">
        <v>94110</v>
      </c>
      <c r="AZ51" s="77" t="s">
        <v>513</v>
      </c>
      <c r="BA51" s="317"/>
    </row>
    <row r="52" spans="1:53" ht="14.15" customHeight="1" x14ac:dyDescent="0.4">
      <c r="A52" s="256" t="s">
        <v>516</v>
      </c>
      <c r="B52" s="67" t="s">
        <v>517</v>
      </c>
      <c r="C52" s="111" t="s">
        <v>99</v>
      </c>
      <c r="D52" s="302" t="s">
        <v>518</v>
      </c>
      <c r="E52" s="120" t="s">
        <v>100</v>
      </c>
      <c r="F52" s="82"/>
      <c r="G52" s="84"/>
      <c r="H52" s="90" t="s">
        <v>100</v>
      </c>
      <c r="I52" s="91"/>
      <c r="J52" s="97"/>
      <c r="K52" s="102"/>
      <c r="L52" s="327"/>
      <c r="M52" s="106">
        <v>44995</v>
      </c>
      <c r="N52" s="113" t="s">
        <v>519</v>
      </c>
      <c r="O52" s="113" t="s">
        <v>520</v>
      </c>
      <c r="P52" s="57" t="s">
        <v>521</v>
      </c>
      <c r="Q52" s="132">
        <v>9.8750000000000004E-2</v>
      </c>
      <c r="R52" s="132"/>
      <c r="S52" s="63" t="s">
        <v>522</v>
      </c>
      <c r="T52" s="67" t="s">
        <v>523</v>
      </c>
      <c r="U52" s="67" t="s">
        <v>524</v>
      </c>
      <c r="V52" s="113" t="s">
        <v>106</v>
      </c>
      <c r="W52" s="222">
        <v>94061</v>
      </c>
      <c r="X52" s="141"/>
      <c r="Z52" s="236"/>
      <c r="AA52" s="200"/>
      <c r="AB52" s="130"/>
      <c r="AC52" s="202"/>
      <c r="AD52" s="200"/>
      <c r="AE52" s="113"/>
      <c r="AF52" s="113"/>
      <c r="AG52" s="113"/>
      <c r="AH52" s="113"/>
      <c r="AI52" s="130"/>
      <c r="AK52" s="57"/>
      <c r="AS52" s="207"/>
      <c r="AT52" s="116" t="s">
        <v>258</v>
      </c>
      <c r="AU52" s="67" t="s">
        <v>523</v>
      </c>
      <c r="AV52" s="251"/>
      <c r="AW52" s="67" t="s">
        <v>524</v>
      </c>
      <c r="AX52" s="113" t="s">
        <v>106</v>
      </c>
      <c r="AY52" s="222">
        <v>94061</v>
      </c>
      <c r="AZ52" s="199" t="s">
        <v>520</v>
      </c>
      <c r="BA52" s="317"/>
    </row>
    <row r="53" spans="1:53" ht="14.15" customHeight="1" x14ac:dyDescent="0.4">
      <c r="A53" s="256" t="s">
        <v>525</v>
      </c>
      <c r="B53" s="67" t="s">
        <v>98</v>
      </c>
      <c r="C53" s="109" t="s">
        <v>99</v>
      </c>
      <c r="E53" s="120" t="s">
        <v>100</v>
      </c>
      <c r="F53" s="82"/>
      <c r="G53" s="84"/>
      <c r="H53" s="90" t="s">
        <v>100</v>
      </c>
      <c r="I53" s="91"/>
      <c r="J53" s="97"/>
      <c r="K53" s="102">
        <v>45189</v>
      </c>
      <c r="L53" s="327"/>
      <c r="M53" s="106"/>
      <c r="N53" s="128" t="s">
        <v>526</v>
      </c>
      <c r="O53" s="128" t="s">
        <v>527</v>
      </c>
      <c r="P53" s="59" t="s">
        <v>528</v>
      </c>
      <c r="Q53" s="131">
        <v>9.2499999999999999E-2</v>
      </c>
      <c r="S53" s="63" t="s">
        <v>529</v>
      </c>
      <c r="T53" s="67" t="s">
        <v>530</v>
      </c>
      <c r="U53" s="67" t="s">
        <v>531</v>
      </c>
      <c r="V53" s="79" t="s">
        <v>106</v>
      </c>
      <c r="W53" s="76">
        <v>93955</v>
      </c>
      <c r="AL53" s="287" t="s">
        <v>251</v>
      </c>
      <c r="AM53" s="288">
        <v>13305</v>
      </c>
      <c r="AO53" s="288">
        <v>62245</v>
      </c>
      <c r="AS53" s="207" t="s">
        <v>132</v>
      </c>
      <c r="AT53" s="116" t="s">
        <v>532</v>
      </c>
      <c r="AU53" s="67" t="s">
        <v>530</v>
      </c>
      <c r="AW53" s="67" t="s">
        <v>531</v>
      </c>
      <c r="AX53" s="79" t="s">
        <v>106</v>
      </c>
      <c r="AY53" s="76">
        <v>93955</v>
      </c>
      <c r="AZ53" s="77" t="s">
        <v>528</v>
      </c>
    </row>
    <row r="54" spans="1:53" ht="14.15" customHeight="1" x14ac:dyDescent="0.4">
      <c r="A54" s="256" t="s">
        <v>533</v>
      </c>
      <c r="B54" s="67" t="s">
        <v>98</v>
      </c>
      <c r="C54" s="111" t="s">
        <v>99</v>
      </c>
      <c r="D54" s="115"/>
      <c r="E54" s="120" t="s">
        <v>100</v>
      </c>
      <c r="F54" s="82"/>
      <c r="G54" s="84"/>
      <c r="H54" s="90" t="s">
        <v>100</v>
      </c>
      <c r="I54" s="91"/>
      <c r="J54" s="97"/>
      <c r="K54" s="102">
        <v>45131</v>
      </c>
      <c r="L54" s="327"/>
      <c r="M54" s="106"/>
      <c r="N54" s="113" t="s">
        <v>534</v>
      </c>
      <c r="O54" s="113" t="s">
        <v>535</v>
      </c>
      <c r="P54" s="57"/>
      <c r="Q54" s="132">
        <v>9.2499999999999999E-2</v>
      </c>
      <c r="R54" s="132"/>
      <c r="S54" s="63" t="s">
        <v>536</v>
      </c>
      <c r="T54" s="67" t="s">
        <v>537</v>
      </c>
      <c r="U54" s="67" t="s">
        <v>538</v>
      </c>
      <c r="V54" s="113" t="s">
        <v>106</v>
      </c>
      <c r="W54" s="222">
        <v>94960</v>
      </c>
      <c r="X54" s="141"/>
      <c r="Z54" s="236"/>
      <c r="AA54" s="200"/>
      <c r="AB54" s="130"/>
      <c r="AC54" s="202"/>
      <c r="AD54" s="200"/>
      <c r="AE54" s="113"/>
      <c r="AF54" s="113"/>
      <c r="AG54" s="113"/>
      <c r="AH54" s="113"/>
      <c r="AI54" s="130"/>
      <c r="AK54" s="57"/>
      <c r="AM54" s="288">
        <v>13305</v>
      </c>
      <c r="AO54" s="288">
        <v>62245</v>
      </c>
      <c r="AS54" s="207"/>
      <c r="AT54" s="116" t="s">
        <v>539</v>
      </c>
      <c r="AU54" s="67" t="s">
        <v>537</v>
      </c>
      <c r="AV54" s="251"/>
      <c r="AW54" s="67" t="s">
        <v>538</v>
      </c>
      <c r="AX54" s="113" t="s">
        <v>106</v>
      </c>
      <c r="AY54" s="222">
        <v>94960</v>
      </c>
      <c r="AZ54" s="199" t="s">
        <v>535</v>
      </c>
      <c r="BA54" s="317"/>
    </row>
    <row r="55" spans="1:53" ht="14.15" customHeight="1" x14ac:dyDescent="0.4">
      <c r="A55" s="256" t="s">
        <v>540</v>
      </c>
      <c r="B55" s="67" t="s">
        <v>244</v>
      </c>
      <c r="C55" s="111" t="s">
        <v>119</v>
      </c>
      <c r="D55" s="115"/>
      <c r="E55" s="120" t="s">
        <v>173</v>
      </c>
      <c r="F55" s="82" t="s">
        <v>174</v>
      </c>
      <c r="G55" s="84"/>
      <c r="H55" s="90"/>
      <c r="I55" s="91"/>
      <c r="J55" s="97"/>
      <c r="K55" s="102">
        <v>44790</v>
      </c>
      <c r="L55" s="327"/>
      <c r="M55" s="106"/>
      <c r="N55" s="113" t="s">
        <v>541</v>
      </c>
      <c r="O55" s="113" t="s">
        <v>542</v>
      </c>
      <c r="P55" s="57"/>
      <c r="Q55" s="132">
        <v>8.6249999999999993E-2</v>
      </c>
      <c r="R55" s="132"/>
      <c r="S55" s="63" t="s">
        <v>103</v>
      </c>
      <c r="T55" s="67" t="s">
        <v>543</v>
      </c>
      <c r="U55" s="67" t="s">
        <v>105</v>
      </c>
      <c r="V55" s="113" t="s">
        <v>106</v>
      </c>
      <c r="W55" s="222">
        <v>94114</v>
      </c>
      <c r="X55" s="141" t="s">
        <v>544</v>
      </c>
      <c r="Y55" s="56" t="s">
        <v>544</v>
      </c>
      <c r="Z55" s="139" t="s">
        <v>544</v>
      </c>
      <c r="AA55" s="200"/>
      <c r="AB55" s="130"/>
      <c r="AC55" s="202"/>
      <c r="AD55" s="200"/>
      <c r="AE55" s="113"/>
      <c r="AF55" s="113"/>
      <c r="AG55" s="113"/>
      <c r="AH55" s="113"/>
      <c r="AI55" s="130"/>
      <c r="AK55" s="57"/>
      <c r="AL55" s="287" t="s">
        <v>251</v>
      </c>
      <c r="AM55" s="288" t="s">
        <v>545</v>
      </c>
      <c r="AO55" s="288">
        <v>62245</v>
      </c>
      <c r="AS55" s="207"/>
      <c r="AU55" s="67" t="s">
        <v>543</v>
      </c>
      <c r="AV55" s="251"/>
      <c r="AW55" s="67" t="s">
        <v>105</v>
      </c>
      <c r="AX55" s="113" t="s">
        <v>106</v>
      </c>
      <c r="AY55" s="222">
        <v>94114</v>
      </c>
      <c r="AZ55" s="199" t="s">
        <v>542</v>
      </c>
      <c r="BA55" s="317"/>
    </row>
    <row r="56" spans="1:53" ht="14.15" customHeight="1" x14ac:dyDescent="0.4">
      <c r="A56" s="256" t="s">
        <v>546</v>
      </c>
      <c r="B56" s="67" t="s">
        <v>98</v>
      </c>
      <c r="C56" s="111" t="s">
        <v>99</v>
      </c>
      <c r="D56" s="115"/>
      <c r="E56" s="120" t="s">
        <v>100</v>
      </c>
      <c r="F56" s="82"/>
      <c r="G56" s="84"/>
      <c r="H56" s="90" t="s">
        <v>100</v>
      </c>
      <c r="I56" s="91"/>
      <c r="J56" s="97"/>
      <c r="K56" s="102">
        <v>44348</v>
      </c>
      <c r="L56" s="327"/>
      <c r="M56" s="106">
        <v>44348</v>
      </c>
      <c r="N56" s="113" t="s">
        <v>547</v>
      </c>
      <c r="O56" s="113" t="s">
        <v>548</v>
      </c>
      <c r="P56" s="57"/>
      <c r="Q56" s="132">
        <v>9.8750000000000004E-2</v>
      </c>
      <c r="R56" s="132"/>
      <c r="S56" s="63" t="s">
        <v>522</v>
      </c>
      <c r="T56" s="67" t="s">
        <v>549</v>
      </c>
      <c r="U56" s="67" t="s">
        <v>524</v>
      </c>
      <c r="V56" s="113" t="s">
        <v>106</v>
      </c>
      <c r="W56" s="222">
        <v>94065</v>
      </c>
      <c r="X56" s="141"/>
      <c r="Z56" s="236"/>
      <c r="AA56" s="200"/>
      <c r="AB56" s="130"/>
      <c r="AC56" s="202"/>
      <c r="AD56" s="200"/>
      <c r="AE56" s="113"/>
      <c r="AF56" s="113"/>
      <c r="AG56" s="113"/>
      <c r="AH56" s="113"/>
      <c r="AI56" s="130"/>
      <c r="AK56" s="57"/>
      <c r="AS56" s="207"/>
      <c r="AU56" s="67" t="s">
        <v>549</v>
      </c>
      <c r="AV56" s="251"/>
      <c r="AW56" s="67" t="s">
        <v>524</v>
      </c>
      <c r="AX56" s="113" t="s">
        <v>106</v>
      </c>
      <c r="AY56" s="222">
        <v>94065</v>
      </c>
      <c r="AZ56" s="199" t="s">
        <v>548</v>
      </c>
      <c r="BA56" s="317"/>
    </row>
    <row r="57" spans="1:53" ht="14.15" customHeight="1" x14ac:dyDescent="0.4">
      <c r="A57" s="256" t="s">
        <v>550</v>
      </c>
      <c r="B57" s="67" t="s">
        <v>98</v>
      </c>
      <c r="C57" s="111" t="s">
        <v>99</v>
      </c>
      <c r="D57" s="115"/>
      <c r="E57" s="120" t="s">
        <v>100</v>
      </c>
      <c r="F57" s="82"/>
      <c r="G57" s="84"/>
      <c r="H57" s="90" t="s">
        <v>100</v>
      </c>
      <c r="I57" s="91"/>
      <c r="J57" s="97"/>
      <c r="K57" s="102">
        <v>44503</v>
      </c>
      <c r="L57" s="327"/>
      <c r="M57" s="106">
        <v>44470</v>
      </c>
      <c r="N57" s="113" t="s">
        <v>551</v>
      </c>
      <c r="O57" s="113" t="s">
        <v>552</v>
      </c>
      <c r="P57" s="57"/>
      <c r="Q57" s="132">
        <v>9.7500000000000003E-2</v>
      </c>
      <c r="R57" s="132"/>
      <c r="S57" s="63" t="s">
        <v>553</v>
      </c>
      <c r="T57" s="67" t="s">
        <v>554</v>
      </c>
      <c r="U57" s="67" t="s">
        <v>553</v>
      </c>
      <c r="V57" s="113" t="s">
        <v>106</v>
      </c>
      <c r="W57" s="222">
        <v>94801</v>
      </c>
      <c r="X57" s="141" t="s">
        <v>555</v>
      </c>
      <c r="Y57" s="141" t="s">
        <v>555</v>
      </c>
      <c r="Z57" s="141" t="s">
        <v>555</v>
      </c>
      <c r="AA57" s="200"/>
      <c r="AB57" s="130"/>
      <c r="AC57" s="202"/>
      <c r="AD57" s="200"/>
      <c r="AE57" s="113"/>
      <c r="AF57" s="113"/>
      <c r="AG57" s="113"/>
      <c r="AH57" s="113"/>
      <c r="AI57" s="130"/>
      <c r="AK57" s="57"/>
      <c r="AS57" s="207"/>
      <c r="AU57" s="67" t="s">
        <v>554</v>
      </c>
      <c r="AV57" s="251"/>
      <c r="AW57" s="67" t="s">
        <v>553</v>
      </c>
      <c r="AX57" s="113" t="s">
        <v>106</v>
      </c>
      <c r="AY57" s="222">
        <v>94801</v>
      </c>
      <c r="AZ57" s="199" t="s">
        <v>552</v>
      </c>
      <c r="BA57" s="317"/>
    </row>
    <row r="58" spans="1:53" ht="14.15" customHeight="1" x14ac:dyDescent="0.4">
      <c r="A58" s="256" t="s">
        <v>556</v>
      </c>
      <c r="B58" s="67" t="s">
        <v>98</v>
      </c>
      <c r="C58" s="111" t="s">
        <v>99</v>
      </c>
      <c r="D58" s="115"/>
      <c r="E58" s="120" t="s">
        <v>100</v>
      </c>
      <c r="F58" s="82"/>
      <c r="G58" s="84"/>
      <c r="H58" s="90" t="s">
        <v>100</v>
      </c>
      <c r="I58" s="91"/>
      <c r="J58" s="97"/>
      <c r="K58" s="102">
        <v>44271</v>
      </c>
      <c r="L58" s="327"/>
      <c r="M58" s="106"/>
      <c r="N58" s="113" t="s">
        <v>557</v>
      </c>
      <c r="O58" s="113"/>
      <c r="P58" s="57"/>
      <c r="Q58" s="132">
        <v>8.3500000000000005E-2</v>
      </c>
      <c r="R58" s="132"/>
      <c r="S58" s="63" t="s">
        <v>558</v>
      </c>
      <c r="T58" s="67" t="s">
        <v>559</v>
      </c>
      <c r="U58" s="67" t="s">
        <v>560</v>
      </c>
      <c r="V58" s="113" t="s">
        <v>106</v>
      </c>
      <c r="W58" s="222">
        <v>94110</v>
      </c>
      <c r="X58" s="141"/>
      <c r="Y58" s="139" t="s">
        <v>561</v>
      </c>
      <c r="Z58" s="236"/>
      <c r="AA58" s="200"/>
      <c r="AB58" s="130"/>
      <c r="AC58" s="202"/>
      <c r="AD58" s="200"/>
      <c r="AE58" s="113"/>
      <c r="AF58" s="113"/>
      <c r="AG58" s="113"/>
      <c r="AH58" s="113"/>
      <c r="AI58" s="130"/>
      <c r="AK58" s="57"/>
      <c r="AL58" s="287">
        <v>15185</v>
      </c>
      <c r="AM58" s="288" t="s">
        <v>198</v>
      </c>
      <c r="AO58" s="288">
        <v>62245</v>
      </c>
      <c r="AS58" s="207"/>
      <c r="AU58" s="67" t="s">
        <v>559</v>
      </c>
      <c r="AV58" s="251"/>
      <c r="AW58" s="67" t="s">
        <v>560</v>
      </c>
      <c r="AX58" s="113" t="s">
        <v>106</v>
      </c>
      <c r="AY58" s="222">
        <v>94110</v>
      </c>
      <c r="AZ58" s="199"/>
      <c r="BA58" s="317"/>
    </row>
    <row r="59" spans="1:53" ht="14.15" customHeight="1" x14ac:dyDescent="0.4">
      <c r="A59" s="256" t="s">
        <v>562</v>
      </c>
      <c r="B59" s="67" t="s">
        <v>98</v>
      </c>
      <c r="C59" s="110" t="s">
        <v>563</v>
      </c>
      <c r="D59" s="113"/>
      <c r="E59" s="120" t="s">
        <v>100</v>
      </c>
      <c r="F59" s="82"/>
      <c r="G59" s="84"/>
      <c r="H59" s="90" t="s">
        <v>100</v>
      </c>
      <c r="I59" s="91"/>
      <c r="J59" s="97"/>
      <c r="K59" s="102">
        <v>44816</v>
      </c>
      <c r="L59" s="327"/>
      <c r="M59" s="106">
        <v>44830</v>
      </c>
      <c r="N59" s="113" t="s">
        <v>564</v>
      </c>
      <c r="O59" s="113" t="s">
        <v>565</v>
      </c>
      <c r="P59" s="57"/>
      <c r="Q59" s="132">
        <v>9.2499999999999999E-2</v>
      </c>
      <c r="R59" s="132">
        <v>0.09</v>
      </c>
      <c r="S59" s="63" t="s">
        <v>507</v>
      </c>
      <c r="T59" s="67" t="s">
        <v>566</v>
      </c>
      <c r="U59" s="67" t="s">
        <v>509</v>
      </c>
      <c r="V59" s="113" t="s">
        <v>106</v>
      </c>
      <c r="W59" s="222">
        <v>94965</v>
      </c>
      <c r="X59" s="141" t="s">
        <v>567</v>
      </c>
      <c r="Y59" s="141" t="s">
        <v>567</v>
      </c>
      <c r="Z59" s="139" t="s">
        <v>568</v>
      </c>
      <c r="AA59" s="200" t="s">
        <v>569</v>
      </c>
      <c r="AB59" s="130" t="s">
        <v>570</v>
      </c>
      <c r="AI59" s="130" t="s">
        <v>131</v>
      </c>
      <c r="AJ59" s="135" t="s">
        <v>131</v>
      </c>
      <c r="AK59" s="53" t="s">
        <v>571</v>
      </c>
      <c r="AL59" s="289" t="s">
        <v>149</v>
      </c>
      <c r="AM59" s="289">
        <v>13305</v>
      </c>
      <c r="AN59" s="289"/>
      <c r="AO59" s="289">
        <v>62245</v>
      </c>
      <c r="AP59" s="289">
        <v>62235</v>
      </c>
      <c r="AQ59" s="289"/>
      <c r="AR59" s="289"/>
      <c r="AS59" s="207" t="s">
        <v>132</v>
      </c>
      <c r="AT59" s="116" t="s">
        <v>572</v>
      </c>
      <c r="AU59" s="67" t="s">
        <v>566</v>
      </c>
      <c r="AV59" s="251"/>
      <c r="AW59" s="67" t="s">
        <v>509</v>
      </c>
      <c r="AX59" s="113" t="s">
        <v>106</v>
      </c>
      <c r="AY59" s="222">
        <v>94965</v>
      </c>
      <c r="AZ59" s="199" t="s">
        <v>565</v>
      </c>
      <c r="BA59" s="317"/>
    </row>
    <row r="60" spans="1:53" ht="14.15" customHeight="1" x14ac:dyDescent="0.4">
      <c r="A60" s="256" t="s">
        <v>573</v>
      </c>
      <c r="B60" s="67" t="s">
        <v>98</v>
      </c>
      <c r="C60" s="111" t="s">
        <v>99</v>
      </c>
      <c r="D60" s="115"/>
      <c r="E60" s="120" t="s">
        <v>100</v>
      </c>
      <c r="F60" s="82"/>
      <c r="G60" s="84"/>
      <c r="H60" s="90" t="s">
        <v>100</v>
      </c>
      <c r="I60" s="91"/>
      <c r="J60" s="97"/>
      <c r="K60" s="102">
        <v>44420</v>
      </c>
      <c r="L60" s="327"/>
      <c r="M60" s="106"/>
      <c r="N60" s="113" t="s">
        <v>574</v>
      </c>
      <c r="O60" s="113" t="s">
        <v>575</v>
      </c>
      <c r="P60" s="57"/>
      <c r="Q60" s="132">
        <v>9.7500000000000003E-2</v>
      </c>
      <c r="R60" s="132"/>
      <c r="S60" s="63" t="s">
        <v>576</v>
      </c>
      <c r="T60" s="67" t="s">
        <v>577</v>
      </c>
      <c r="U60" s="67" t="s">
        <v>576</v>
      </c>
      <c r="V60" s="113" t="s">
        <v>106</v>
      </c>
      <c r="W60" s="222">
        <v>94553</v>
      </c>
      <c r="X60" s="141"/>
      <c r="Z60" s="236"/>
      <c r="AA60" s="200"/>
      <c r="AB60" s="130"/>
      <c r="AC60" s="202"/>
      <c r="AD60" s="200"/>
      <c r="AE60" s="113"/>
      <c r="AF60" s="113"/>
      <c r="AG60" s="113"/>
      <c r="AH60" s="113"/>
      <c r="AI60" s="130"/>
      <c r="AK60" s="57"/>
      <c r="AS60" s="207"/>
      <c r="AU60" s="67" t="s">
        <v>577</v>
      </c>
      <c r="AV60" s="251"/>
      <c r="AW60" s="67" t="s">
        <v>576</v>
      </c>
      <c r="AX60" s="113" t="s">
        <v>106</v>
      </c>
      <c r="AY60" s="222">
        <v>94553</v>
      </c>
      <c r="AZ60" s="199" t="s">
        <v>575</v>
      </c>
      <c r="BA60" s="317"/>
    </row>
    <row r="61" spans="1:53" s="251" customFormat="1" ht="14.15" customHeight="1" x14ac:dyDescent="0.4">
      <c r="A61" s="256" t="s">
        <v>578</v>
      </c>
      <c r="B61" s="67" t="s">
        <v>244</v>
      </c>
      <c r="C61" s="111" t="s">
        <v>579</v>
      </c>
      <c r="D61" s="115"/>
      <c r="E61" s="120" t="s">
        <v>173</v>
      </c>
      <c r="F61" s="82" t="s">
        <v>174</v>
      </c>
      <c r="G61" s="84"/>
      <c r="H61" s="90"/>
      <c r="I61" s="91"/>
      <c r="J61" s="97"/>
      <c r="K61" s="102"/>
      <c r="L61" s="327"/>
      <c r="M61" s="106"/>
      <c r="N61" s="113" t="s">
        <v>580</v>
      </c>
      <c r="O61" s="113" t="s">
        <v>581</v>
      </c>
      <c r="P61" s="57"/>
      <c r="Q61" s="132">
        <v>8.6249999999999993E-2</v>
      </c>
      <c r="R61" s="132"/>
      <c r="S61" s="63" t="s">
        <v>103</v>
      </c>
      <c r="T61" s="67" t="s">
        <v>582</v>
      </c>
      <c r="U61" s="67" t="s">
        <v>105</v>
      </c>
      <c r="V61" s="113" t="s">
        <v>106</v>
      </c>
      <c r="W61" s="222">
        <v>94111</v>
      </c>
      <c r="X61" s="141" t="s">
        <v>583</v>
      </c>
      <c r="Y61" s="141" t="s">
        <v>583</v>
      </c>
      <c r="Z61" s="141" t="s">
        <v>583</v>
      </c>
      <c r="AA61" s="200"/>
      <c r="AB61" s="130"/>
      <c r="AC61" s="202"/>
      <c r="AD61" s="200"/>
      <c r="AE61" s="113"/>
      <c r="AF61" s="113"/>
      <c r="AG61" s="113"/>
      <c r="AH61" s="113"/>
      <c r="AI61" s="130"/>
      <c r="AJ61" s="135"/>
      <c r="AK61" s="57"/>
      <c r="AL61" s="287"/>
      <c r="AM61" s="288"/>
      <c r="AN61" s="288"/>
      <c r="AO61" s="288"/>
      <c r="AP61" s="288"/>
      <c r="AQ61" s="288"/>
      <c r="AR61" s="288"/>
      <c r="AS61" s="207"/>
      <c r="AT61" s="116"/>
      <c r="AU61" s="67" t="s">
        <v>582</v>
      </c>
      <c r="AW61" s="67" t="s">
        <v>105</v>
      </c>
      <c r="AX61" s="113" t="s">
        <v>106</v>
      </c>
      <c r="AY61" s="222">
        <v>94111</v>
      </c>
      <c r="AZ61" s="199" t="s">
        <v>581</v>
      </c>
      <c r="BA61" s="317"/>
    </row>
    <row r="62" spans="1:53" s="251" customFormat="1" ht="14.15" customHeight="1" x14ac:dyDescent="0.4">
      <c r="A62" s="256" t="s">
        <v>584</v>
      </c>
      <c r="B62" s="67" t="s">
        <v>98</v>
      </c>
      <c r="C62" s="110" t="s">
        <v>99</v>
      </c>
      <c r="D62" s="113"/>
      <c r="E62" s="120" t="s">
        <v>100</v>
      </c>
      <c r="F62" s="82"/>
      <c r="G62" s="84"/>
      <c r="H62" s="90" t="s">
        <v>100</v>
      </c>
      <c r="I62" s="91"/>
      <c r="J62" s="97"/>
      <c r="K62" s="102">
        <v>45320</v>
      </c>
      <c r="L62" s="327"/>
      <c r="M62" s="106"/>
      <c r="N62" s="113" t="s">
        <v>585</v>
      </c>
      <c r="O62" s="113" t="s">
        <v>586</v>
      </c>
      <c r="P62" s="57"/>
      <c r="Q62" s="132">
        <v>8.6249999999999993E-2</v>
      </c>
      <c r="R62" s="132">
        <v>8.7499999999999994E-2</v>
      </c>
      <c r="S62" s="63" t="s">
        <v>103</v>
      </c>
      <c r="T62" s="67" t="s">
        <v>587</v>
      </c>
      <c r="U62" s="67" t="s">
        <v>105</v>
      </c>
      <c r="V62" s="113" t="s">
        <v>106</v>
      </c>
      <c r="W62" s="222">
        <v>94117</v>
      </c>
      <c r="X62" s="240" t="s">
        <v>588</v>
      </c>
      <c r="Y62" s="143"/>
      <c r="Z62" s="143"/>
      <c r="AA62" s="200"/>
      <c r="AB62" s="130"/>
      <c r="AC62" s="136"/>
      <c r="AD62" s="79"/>
      <c r="AE62" s="128"/>
      <c r="AF62" s="128"/>
      <c r="AG62" s="128"/>
      <c r="AH62" s="128"/>
      <c r="AI62" s="130"/>
      <c r="AJ62" s="135"/>
      <c r="AK62" s="57"/>
      <c r="AL62" s="289" t="s">
        <v>289</v>
      </c>
      <c r="AM62" s="289">
        <v>13305</v>
      </c>
      <c r="AN62" s="289" t="s">
        <v>290</v>
      </c>
      <c r="AO62" s="289">
        <v>62245</v>
      </c>
      <c r="AP62" s="289"/>
      <c r="AQ62" s="289"/>
      <c r="AR62" s="289"/>
      <c r="AS62" s="207" t="s">
        <v>132</v>
      </c>
      <c r="AT62" s="116" t="s">
        <v>589</v>
      </c>
      <c r="AU62" s="67" t="s">
        <v>587</v>
      </c>
      <c r="AW62" s="67" t="s">
        <v>105</v>
      </c>
      <c r="AX62" s="113" t="s">
        <v>106</v>
      </c>
      <c r="AY62" s="222">
        <v>94117</v>
      </c>
      <c r="AZ62" s="199" t="s">
        <v>586</v>
      </c>
      <c r="BA62" s="207"/>
    </row>
    <row r="63" spans="1:53" s="251" customFormat="1" ht="14.15" customHeight="1" x14ac:dyDescent="0.4">
      <c r="A63" s="256" t="s">
        <v>590</v>
      </c>
      <c r="B63" s="67" t="s">
        <v>244</v>
      </c>
      <c r="C63" s="110" t="s">
        <v>579</v>
      </c>
      <c r="D63" s="113"/>
      <c r="E63" s="120" t="s">
        <v>173</v>
      </c>
      <c r="F63" s="82" t="s">
        <v>174</v>
      </c>
      <c r="G63" s="84"/>
      <c r="H63" s="90"/>
      <c r="I63" s="91"/>
      <c r="J63" s="97"/>
      <c r="K63" s="102">
        <v>45982</v>
      </c>
      <c r="L63" s="327"/>
      <c r="M63" s="106">
        <v>45593</v>
      </c>
      <c r="N63" s="130" t="s">
        <v>591</v>
      </c>
      <c r="O63" s="113" t="s">
        <v>592</v>
      </c>
      <c r="P63" s="252" t="s">
        <v>593</v>
      </c>
      <c r="Q63" s="132">
        <v>9.2499999999999999E-2</v>
      </c>
      <c r="R63" s="132">
        <v>0.09</v>
      </c>
      <c r="S63" s="63" t="s">
        <v>507</v>
      </c>
      <c r="T63" s="67" t="s">
        <v>594</v>
      </c>
      <c r="U63" s="67" t="s">
        <v>509</v>
      </c>
      <c r="V63" s="113" t="s">
        <v>106</v>
      </c>
      <c r="W63" s="222">
        <v>94965</v>
      </c>
      <c r="X63" s="139" t="s">
        <v>595</v>
      </c>
      <c r="Y63" s="139" t="s">
        <v>6395</v>
      </c>
      <c r="Z63" s="139" t="s">
        <v>596</v>
      </c>
      <c r="AA63" s="200"/>
      <c r="AB63" s="130"/>
      <c r="AC63" s="136"/>
      <c r="AD63" s="79"/>
      <c r="AE63" s="128"/>
      <c r="AF63" s="128"/>
      <c r="AG63" s="128"/>
      <c r="AH63" s="128"/>
      <c r="AI63" s="130"/>
      <c r="AJ63" s="135"/>
      <c r="AK63" s="57"/>
      <c r="AL63" s="289" t="s">
        <v>289</v>
      </c>
      <c r="AM63" s="289">
        <v>13305</v>
      </c>
      <c r="AN63" s="289"/>
      <c r="AO63" s="289">
        <v>62245</v>
      </c>
      <c r="AP63" s="289"/>
      <c r="AQ63" s="289"/>
      <c r="AR63" s="289"/>
      <c r="AS63" s="207" t="s">
        <v>132</v>
      </c>
      <c r="AT63" s="116" t="s">
        <v>539</v>
      </c>
      <c r="AU63" s="67" t="s">
        <v>594</v>
      </c>
      <c r="AW63" s="67" t="s">
        <v>509</v>
      </c>
      <c r="AX63" s="113" t="s">
        <v>106</v>
      </c>
      <c r="AY63" s="222">
        <v>94965</v>
      </c>
      <c r="AZ63" s="199" t="s">
        <v>592</v>
      </c>
      <c r="BA63" s="317"/>
    </row>
    <row r="64" spans="1:53" ht="14.15" customHeight="1" x14ac:dyDescent="0.4">
      <c r="A64" s="256" t="s">
        <v>597</v>
      </c>
      <c r="B64" s="67" t="s">
        <v>98</v>
      </c>
      <c r="C64" s="109" t="s">
        <v>99</v>
      </c>
      <c r="E64" s="120" t="s">
        <v>598</v>
      </c>
      <c r="F64" s="82" t="s">
        <v>174</v>
      </c>
      <c r="G64" s="84"/>
      <c r="H64" s="90"/>
      <c r="I64" s="91"/>
      <c r="J64" s="97"/>
      <c r="K64" s="102">
        <v>45629</v>
      </c>
      <c r="L64" s="327"/>
      <c r="M64" s="106"/>
      <c r="N64" s="128" t="s">
        <v>599</v>
      </c>
      <c r="O64" s="128" t="s">
        <v>600</v>
      </c>
      <c r="Q64" s="131">
        <v>8.5000000000000006E-2</v>
      </c>
      <c r="S64" s="63" t="s">
        <v>601</v>
      </c>
      <c r="T64" s="67" t="s">
        <v>602</v>
      </c>
      <c r="U64" s="67" t="s">
        <v>420</v>
      </c>
      <c r="V64" s="79" t="s">
        <v>106</v>
      </c>
      <c r="W64" s="76">
        <v>94945</v>
      </c>
      <c r="AL64" s="287" t="s">
        <v>251</v>
      </c>
      <c r="AN64" s="288" t="s">
        <v>198</v>
      </c>
      <c r="AS64" s="207"/>
      <c r="AT64" s="116" t="s">
        <v>539</v>
      </c>
      <c r="AU64" s="67" t="s">
        <v>603</v>
      </c>
      <c r="AW64" s="67" t="s">
        <v>420</v>
      </c>
      <c r="AX64" s="79" t="s">
        <v>106</v>
      </c>
      <c r="AY64" s="76">
        <v>94945</v>
      </c>
      <c r="AZ64" s="77" t="s">
        <v>600</v>
      </c>
    </row>
    <row r="65" spans="1:53" s="251" customFormat="1" ht="14.15" customHeight="1" x14ac:dyDescent="0.4">
      <c r="A65" s="256" t="s">
        <v>604</v>
      </c>
      <c r="B65" s="67" t="s">
        <v>108</v>
      </c>
      <c r="C65" s="110" t="s">
        <v>109</v>
      </c>
      <c r="D65" s="113" t="s">
        <v>135</v>
      </c>
      <c r="E65" s="120" t="s">
        <v>100</v>
      </c>
      <c r="F65" s="82"/>
      <c r="G65" s="84"/>
      <c r="H65" s="90" t="s">
        <v>100</v>
      </c>
      <c r="I65" s="91"/>
      <c r="J65" s="97"/>
      <c r="K65" s="102">
        <v>45558</v>
      </c>
      <c r="L65" s="327"/>
      <c r="M65" s="106">
        <v>45688</v>
      </c>
      <c r="N65" s="113" t="s">
        <v>605</v>
      </c>
      <c r="O65" s="113" t="s">
        <v>606</v>
      </c>
      <c r="P65" s="57"/>
      <c r="Q65" s="132">
        <v>0.10249999999999999</v>
      </c>
      <c r="R65" s="132">
        <v>9.5000000000000001E-2</v>
      </c>
      <c r="S65" s="63" t="s">
        <v>113</v>
      </c>
      <c r="T65" s="67" t="s">
        <v>607</v>
      </c>
      <c r="U65" s="67" t="s">
        <v>115</v>
      </c>
      <c r="V65" s="113" t="s">
        <v>106</v>
      </c>
      <c r="W65" s="222">
        <v>94608</v>
      </c>
      <c r="X65" s="142"/>
      <c r="Y65" s="139" t="s">
        <v>6356</v>
      </c>
      <c r="Z65" s="143"/>
      <c r="AA65" s="200" t="s">
        <v>6354</v>
      </c>
      <c r="AB65" s="130" t="s">
        <v>6355</v>
      </c>
      <c r="AC65" s="136"/>
      <c r="AD65" s="79"/>
      <c r="AE65" s="128"/>
      <c r="AF65" s="128"/>
      <c r="AG65" s="128"/>
      <c r="AH65" s="128"/>
      <c r="AI65" s="130"/>
      <c r="AJ65" s="135"/>
      <c r="AK65" s="57"/>
      <c r="AL65" s="289">
        <v>15157</v>
      </c>
      <c r="AM65" s="289"/>
      <c r="AN65" s="289"/>
      <c r="AO65" s="289"/>
      <c r="AP65" s="289"/>
      <c r="AQ65" s="289"/>
      <c r="AR65" s="289"/>
      <c r="AS65" s="207" t="s">
        <v>132</v>
      </c>
      <c r="AT65" s="116" t="s">
        <v>608</v>
      </c>
      <c r="AU65" s="67" t="s">
        <v>607</v>
      </c>
      <c r="AW65" s="67" t="s">
        <v>115</v>
      </c>
      <c r="AX65" s="113" t="s">
        <v>106</v>
      </c>
      <c r="AY65" s="222">
        <v>94608</v>
      </c>
      <c r="AZ65" s="199" t="s">
        <v>606</v>
      </c>
      <c r="BA65" s="207"/>
    </row>
    <row r="66" spans="1:53" s="251" customFormat="1" ht="14.15" customHeight="1" x14ac:dyDescent="0.4">
      <c r="A66" s="256" t="s">
        <v>609</v>
      </c>
      <c r="B66" s="67" t="s">
        <v>125</v>
      </c>
      <c r="C66" s="111" t="s">
        <v>99</v>
      </c>
      <c r="D66" s="79" t="s">
        <v>610</v>
      </c>
      <c r="E66" s="118" t="s">
        <v>100</v>
      </c>
      <c r="F66" s="80"/>
      <c r="G66" s="81"/>
      <c r="H66" s="87" t="s">
        <v>100</v>
      </c>
      <c r="I66" s="86"/>
      <c r="J66" s="96"/>
      <c r="K66" s="100">
        <v>45932</v>
      </c>
      <c r="L66" s="328"/>
      <c r="M66" s="104">
        <v>45499</v>
      </c>
      <c r="N66" s="128" t="s">
        <v>611</v>
      </c>
      <c r="O66" s="128" t="s">
        <v>612</v>
      </c>
      <c r="P66" s="59" t="s">
        <v>613</v>
      </c>
      <c r="Q66" s="132">
        <v>9.2499999999999999E-2</v>
      </c>
      <c r="R66" s="132">
        <v>9.2499999999999999E-2</v>
      </c>
      <c r="S66" s="63" t="s">
        <v>226</v>
      </c>
      <c r="T66" s="67" t="s">
        <v>614</v>
      </c>
      <c r="U66" s="67" t="s">
        <v>228</v>
      </c>
      <c r="V66" s="79" t="s">
        <v>106</v>
      </c>
      <c r="W66" s="76">
        <v>94901</v>
      </c>
      <c r="X66" s="142"/>
      <c r="Y66" s="143"/>
      <c r="Z66" s="235"/>
      <c r="AA66" s="79" t="s">
        <v>615</v>
      </c>
      <c r="AB66" s="135" t="s">
        <v>613</v>
      </c>
      <c r="AC66" s="136"/>
      <c r="AD66" s="79"/>
      <c r="AE66" s="128"/>
      <c r="AF66" s="128"/>
      <c r="AG66" s="128"/>
      <c r="AH66" s="128"/>
      <c r="AI66" s="135" t="s">
        <v>0</v>
      </c>
      <c r="AJ66" s="135" t="s">
        <v>116</v>
      </c>
      <c r="AK66" s="58"/>
      <c r="AL66" s="287">
        <v>15157</v>
      </c>
      <c r="AM66" s="288">
        <v>44150</v>
      </c>
      <c r="AN66" s="288">
        <v>15741</v>
      </c>
      <c r="AO66" s="288">
        <v>67655</v>
      </c>
      <c r="AP66" s="288"/>
      <c r="AQ66" s="288"/>
      <c r="AR66" s="288"/>
      <c r="AS66" s="207" t="s">
        <v>132</v>
      </c>
      <c r="AT66" s="116" t="s">
        <v>608</v>
      </c>
      <c r="AU66" s="67" t="str">
        <f>PROPER(AV66)</f>
        <v>151 Bellam Blvd</v>
      </c>
      <c r="AV66" s="66" t="s">
        <v>616</v>
      </c>
      <c r="AW66" s="67" t="s">
        <v>228</v>
      </c>
      <c r="AX66" s="79" t="s">
        <v>106</v>
      </c>
      <c r="AY66" s="76">
        <v>94901</v>
      </c>
      <c r="AZ66" s="77" t="s">
        <v>617</v>
      </c>
      <c r="BA66" s="317"/>
    </row>
    <row r="67" spans="1:53" s="210" customFormat="1" ht="14.15" customHeight="1" x14ac:dyDescent="0.4">
      <c r="A67" s="256" t="s">
        <v>618</v>
      </c>
      <c r="B67" s="67" t="s">
        <v>98</v>
      </c>
      <c r="C67" s="110" t="s">
        <v>99</v>
      </c>
      <c r="D67" s="79"/>
      <c r="E67" s="118" t="s">
        <v>100</v>
      </c>
      <c r="F67" s="80"/>
      <c r="G67" s="81"/>
      <c r="H67" s="87" t="s">
        <v>100</v>
      </c>
      <c r="I67" s="86"/>
      <c r="J67" s="96"/>
      <c r="K67" s="100">
        <v>45663</v>
      </c>
      <c r="L67" s="328"/>
      <c r="M67" s="104"/>
      <c r="N67" s="128" t="s">
        <v>619</v>
      </c>
      <c r="O67" s="128" t="s">
        <v>620</v>
      </c>
      <c r="P67" s="59"/>
      <c r="Q67" s="132">
        <v>9.2499999999999999E-2</v>
      </c>
      <c r="R67" s="132">
        <v>9.2499999999999999E-2</v>
      </c>
      <c r="S67" s="63" t="s">
        <v>226</v>
      </c>
      <c r="T67" s="67" t="s">
        <v>621</v>
      </c>
      <c r="U67" s="67" t="s">
        <v>228</v>
      </c>
      <c r="V67" s="79" t="s">
        <v>106</v>
      </c>
      <c r="W67" s="76">
        <v>94901</v>
      </c>
      <c r="X67" s="142"/>
      <c r="Y67" s="143"/>
      <c r="Z67" s="235"/>
      <c r="AA67" s="79"/>
      <c r="AB67" s="135"/>
      <c r="AC67" s="136"/>
      <c r="AD67" s="79"/>
      <c r="AE67" s="128"/>
      <c r="AF67" s="128"/>
      <c r="AG67" s="128"/>
      <c r="AH67" s="128"/>
      <c r="AI67" s="135" t="s">
        <v>0</v>
      </c>
      <c r="AJ67" s="135" t="s">
        <v>116</v>
      </c>
      <c r="AK67" s="58"/>
      <c r="AL67" s="290">
        <v>13305</v>
      </c>
      <c r="AM67" s="290"/>
      <c r="AN67" s="290" t="s">
        <v>290</v>
      </c>
      <c r="AO67" s="290"/>
      <c r="AP67" s="290"/>
      <c r="AQ67" s="290"/>
      <c r="AR67" s="290"/>
      <c r="AS67" s="207" t="s">
        <v>132</v>
      </c>
      <c r="AT67" s="116" t="s">
        <v>608</v>
      </c>
      <c r="AU67" s="67" t="s">
        <v>622</v>
      </c>
      <c r="AV67" s="66"/>
      <c r="AW67" s="67" t="s">
        <v>228</v>
      </c>
      <c r="AX67" s="79" t="s">
        <v>106</v>
      </c>
      <c r="AY67" s="76">
        <v>94912</v>
      </c>
      <c r="AZ67" s="77" t="s">
        <v>620</v>
      </c>
      <c r="BA67" s="75"/>
    </row>
    <row r="68" spans="1:53" s="251" customFormat="1" ht="14.15" customHeight="1" x14ac:dyDescent="0.4">
      <c r="A68" s="256" t="s">
        <v>623</v>
      </c>
      <c r="B68" s="67" t="s">
        <v>98</v>
      </c>
      <c r="C68" s="110" t="s">
        <v>99</v>
      </c>
      <c r="D68" s="113"/>
      <c r="E68" s="120" t="s">
        <v>100</v>
      </c>
      <c r="F68" s="82"/>
      <c r="G68" s="84"/>
      <c r="H68" s="90" t="s">
        <v>100</v>
      </c>
      <c r="I68" s="91"/>
      <c r="J68" s="97"/>
      <c r="K68" s="102">
        <v>45042</v>
      </c>
      <c r="L68" s="327"/>
      <c r="M68" s="106"/>
      <c r="N68" s="113" t="s">
        <v>624</v>
      </c>
      <c r="O68" s="113" t="s">
        <v>625</v>
      </c>
      <c r="P68" s="57"/>
      <c r="Q68" s="132">
        <v>8.8749999999999996E-2</v>
      </c>
      <c r="R68" s="132">
        <v>7.6200000000000004E-2</v>
      </c>
      <c r="S68" s="63" t="s">
        <v>626</v>
      </c>
      <c r="T68" s="67" t="s">
        <v>627</v>
      </c>
      <c r="U68" s="67" t="s">
        <v>628</v>
      </c>
      <c r="V68" s="113" t="s">
        <v>106</v>
      </c>
      <c r="W68" s="222">
        <v>95945</v>
      </c>
      <c r="X68" s="141"/>
      <c r="Y68" s="236"/>
      <c r="Z68" s="236"/>
      <c r="AA68" s="200" t="s">
        <v>629</v>
      </c>
      <c r="AB68" s="130"/>
      <c r="AC68" s="202"/>
      <c r="AD68" s="200"/>
      <c r="AE68" s="113"/>
      <c r="AF68" s="113"/>
      <c r="AG68" s="113"/>
      <c r="AH68" s="113"/>
      <c r="AI68" s="130" t="s">
        <v>630</v>
      </c>
      <c r="AJ68" s="135" t="s">
        <v>116</v>
      </c>
      <c r="AK68" s="57"/>
      <c r="AL68" s="290" t="s">
        <v>289</v>
      </c>
      <c r="AM68" s="290"/>
      <c r="AN68" s="290"/>
      <c r="AO68" s="290"/>
      <c r="AP68" s="290"/>
      <c r="AQ68" s="290"/>
      <c r="AR68" s="290"/>
      <c r="AS68" s="207" t="s">
        <v>132</v>
      </c>
      <c r="AT68" s="116" t="s">
        <v>608</v>
      </c>
      <c r="AU68" s="67" t="s">
        <v>627</v>
      </c>
      <c r="AW68" s="67" t="s">
        <v>628</v>
      </c>
      <c r="AX68" s="113" t="s">
        <v>106</v>
      </c>
      <c r="AY68" s="222">
        <v>95945</v>
      </c>
      <c r="AZ68" s="199" t="s">
        <v>625</v>
      </c>
      <c r="BA68" s="317"/>
    </row>
    <row r="69" spans="1:53" s="251" customFormat="1" ht="14.15" customHeight="1" x14ac:dyDescent="0.4">
      <c r="A69" s="256" t="s">
        <v>631</v>
      </c>
      <c r="B69" s="67" t="s">
        <v>98</v>
      </c>
      <c r="C69" s="111" t="s">
        <v>99</v>
      </c>
      <c r="D69" s="112"/>
      <c r="E69" s="120" t="s">
        <v>100</v>
      </c>
      <c r="F69" s="82"/>
      <c r="G69" s="81"/>
      <c r="H69" s="88" t="s">
        <v>100</v>
      </c>
      <c r="I69" s="89"/>
      <c r="J69" s="98"/>
      <c r="K69" s="101">
        <v>44215</v>
      </c>
      <c r="L69" s="329"/>
      <c r="M69" s="105">
        <v>44551</v>
      </c>
      <c r="N69" s="112" t="s">
        <v>632</v>
      </c>
      <c r="O69" s="112" t="s">
        <v>633</v>
      </c>
      <c r="P69" s="198"/>
      <c r="Q69" s="132">
        <v>8.6249999999999993E-2</v>
      </c>
      <c r="R69" s="132">
        <v>8.7499999999999994E-2</v>
      </c>
      <c r="S69" s="63" t="s">
        <v>103</v>
      </c>
      <c r="T69" s="198" t="s">
        <v>634</v>
      </c>
      <c r="U69" s="198" t="s">
        <v>105</v>
      </c>
      <c r="V69" s="112" t="s">
        <v>106</v>
      </c>
      <c r="W69" s="205">
        <v>94110</v>
      </c>
      <c r="X69" s="141" t="s">
        <v>197</v>
      </c>
      <c r="Y69" s="139" t="s">
        <v>635</v>
      </c>
      <c r="Z69" s="205"/>
      <c r="AA69" s="203"/>
      <c r="AB69" s="205"/>
      <c r="AC69" s="206"/>
      <c r="AD69" s="203"/>
      <c r="AE69" s="205"/>
      <c r="AF69" s="205"/>
      <c r="AG69" s="205"/>
      <c r="AH69" s="205"/>
      <c r="AI69" s="205"/>
      <c r="AJ69" s="135"/>
      <c r="AK69" s="318"/>
      <c r="AL69" s="287" t="s">
        <v>149</v>
      </c>
      <c r="AM69" s="288">
        <v>13305</v>
      </c>
      <c r="AN69" s="288" t="s">
        <v>198</v>
      </c>
      <c r="AO69" s="288">
        <v>62245</v>
      </c>
      <c r="AP69" s="288"/>
      <c r="AQ69" s="288"/>
      <c r="AR69" s="288"/>
      <c r="AS69" s="207" t="s">
        <v>132</v>
      </c>
      <c r="AT69" s="116" t="s">
        <v>608</v>
      </c>
      <c r="AU69" s="198" t="s">
        <v>634</v>
      </c>
      <c r="AV69" s="39"/>
      <c r="AW69" s="198" t="s">
        <v>105</v>
      </c>
      <c r="AX69" s="112" t="s">
        <v>106</v>
      </c>
      <c r="AY69" s="205">
        <v>94110</v>
      </c>
      <c r="AZ69" s="198" t="s">
        <v>200</v>
      </c>
      <c r="BA69" s="317"/>
    </row>
    <row r="70" spans="1:53" s="251" customFormat="1" ht="14.15" customHeight="1" x14ac:dyDescent="0.4">
      <c r="A70" s="256" t="s">
        <v>636</v>
      </c>
      <c r="B70" s="67" t="s">
        <v>125</v>
      </c>
      <c r="C70" s="111" t="s">
        <v>99</v>
      </c>
      <c r="D70" s="79"/>
      <c r="E70" s="118" t="s">
        <v>100</v>
      </c>
      <c r="F70" s="80"/>
      <c r="G70" s="81"/>
      <c r="H70" s="92" t="s">
        <v>100</v>
      </c>
      <c r="I70" s="86"/>
      <c r="J70" s="96"/>
      <c r="K70" s="101">
        <v>43468</v>
      </c>
      <c r="L70" s="329"/>
      <c r="M70" s="105">
        <v>44594</v>
      </c>
      <c r="N70" s="128" t="s">
        <v>637</v>
      </c>
      <c r="O70" s="128" t="s">
        <v>638</v>
      </c>
      <c r="P70" s="198" t="s">
        <v>639</v>
      </c>
      <c r="Q70" s="132">
        <v>0.10249999999999999</v>
      </c>
      <c r="R70" s="131">
        <v>9.5000000000000001E-2</v>
      </c>
      <c r="S70" s="63" t="s">
        <v>113</v>
      </c>
      <c r="T70" s="67" t="s">
        <v>640</v>
      </c>
      <c r="U70" s="67" t="s">
        <v>641</v>
      </c>
      <c r="V70" s="79" t="s">
        <v>106</v>
      </c>
      <c r="W70" s="76">
        <v>94706</v>
      </c>
      <c r="X70" s="147"/>
      <c r="Y70" s="236"/>
      <c r="Z70" s="234"/>
      <c r="AA70" s="79"/>
      <c r="AB70" s="135"/>
      <c r="AC70" s="136"/>
      <c r="AD70" s="79"/>
      <c r="AE70" s="128"/>
      <c r="AF70" s="128"/>
      <c r="AG70" s="128"/>
      <c r="AH70" s="128"/>
      <c r="AI70" s="135"/>
      <c r="AJ70" s="135"/>
      <c r="AK70" s="58"/>
      <c r="AL70" s="290">
        <v>15741</v>
      </c>
      <c r="AM70" s="290"/>
      <c r="AN70" s="290"/>
      <c r="AO70" s="290"/>
      <c r="AP70" s="290"/>
      <c r="AQ70" s="290"/>
      <c r="AR70" s="290"/>
      <c r="AS70" s="207" t="s">
        <v>132</v>
      </c>
      <c r="AT70" s="116" t="s">
        <v>608</v>
      </c>
      <c r="AU70" s="67" t="s">
        <v>640</v>
      </c>
      <c r="AV70" s="66"/>
      <c r="AW70" s="67" t="s">
        <v>641</v>
      </c>
      <c r="AX70" s="79" t="s">
        <v>106</v>
      </c>
      <c r="AY70" s="76">
        <v>94706</v>
      </c>
      <c r="AZ70" s="77" t="s">
        <v>638</v>
      </c>
      <c r="BA70" s="75"/>
    </row>
    <row r="71" spans="1:53" ht="14.15" customHeight="1" x14ac:dyDescent="0.4">
      <c r="A71" s="256" t="s">
        <v>642</v>
      </c>
      <c r="B71" s="67" t="s">
        <v>174</v>
      </c>
      <c r="C71" s="111" t="s">
        <v>119</v>
      </c>
      <c r="D71" s="113"/>
      <c r="E71" s="120" t="s">
        <v>598</v>
      </c>
      <c r="F71" s="82" t="s">
        <v>174</v>
      </c>
      <c r="G71" s="84"/>
      <c r="H71" s="90" t="s">
        <v>100</v>
      </c>
      <c r="I71" s="91"/>
      <c r="J71" s="97"/>
      <c r="K71" s="102">
        <v>44817</v>
      </c>
      <c r="L71" s="327"/>
      <c r="M71" s="106">
        <v>44039</v>
      </c>
      <c r="N71" s="113" t="s">
        <v>643</v>
      </c>
      <c r="O71" s="113" t="s">
        <v>644</v>
      </c>
      <c r="P71" s="57" t="s">
        <v>645</v>
      </c>
      <c r="Q71" s="132">
        <v>9.2499999999999999E-2</v>
      </c>
      <c r="R71" s="132">
        <v>0.09</v>
      </c>
      <c r="S71" s="63" t="s">
        <v>420</v>
      </c>
      <c r="T71" s="67" t="s">
        <v>646</v>
      </c>
      <c r="U71" s="67" t="s">
        <v>420</v>
      </c>
      <c r="V71" s="113" t="s">
        <v>106</v>
      </c>
      <c r="W71" s="222">
        <v>94949</v>
      </c>
      <c r="X71" s="141" t="s">
        <v>647</v>
      </c>
      <c r="Y71" s="141" t="s">
        <v>647</v>
      </c>
      <c r="Z71" s="141" t="s">
        <v>647</v>
      </c>
      <c r="AA71" s="200"/>
      <c r="AB71" s="130"/>
      <c r="AC71" s="202"/>
      <c r="AD71" s="200"/>
      <c r="AE71" s="113"/>
      <c r="AF71" s="113"/>
      <c r="AG71" s="113"/>
      <c r="AH71" s="113"/>
      <c r="AI71" s="130"/>
      <c r="AK71" s="57"/>
      <c r="AL71" s="289" t="s">
        <v>149</v>
      </c>
      <c r="AM71" s="289"/>
      <c r="AN71" s="289"/>
      <c r="AO71" s="289">
        <v>62245</v>
      </c>
      <c r="AP71" s="289"/>
      <c r="AQ71" s="289"/>
      <c r="AR71" s="289"/>
      <c r="AS71" s="207" t="s">
        <v>132</v>
      </c>
      <c r="AT71" s="116" t="s">
        <v>643</v>
      </c>
      <c r="AU71" s="67" t="s">
        <v>646</v>
      </c>
      <c r="AV71" s="251"/>
      <c r="AW71" s="67" t="s">
        <v>420</v>
      </c>
      <c r="AX71" s="113" t="s">
        <v>106</v>
      </c>
      <c r="AY71" s="222">
        <v>94949</v>
      </c>
      <c r="AZ71" s="199" t="s">
        <v>644</v>
      </c>
      <c r="BA71" s="207"/>
    </row>
    <row r="72" spans="1:53" ht="14.15" customHeight="1" x14ac:dyDescent="0.4">
      <c r="A72" s="256" t="s">
        <v>648</v>
      </c>
      <c r="B72" s="67" t="s">
        <v>98</v>
      </c>
      <c r="C72" s="111" t="s">
        <v>99</v>
      </c>
      <c r="D72" s="115"/>
      <c r="E72" s="120" t="s">
        <v>100</v>
      </c>
      <c r="F72" s="82"/>
      <c r="G72" s="84"/>
      <c r="H72" s="90" t="s">
        <v>100</v>
      </c>
      <c r="I72" s="91"/>
      <c r="J72" s="97"/>
      <c r="K72" s="102">
        <v>44433</v>
      </c>
      <c r="L72" s="327"/>
      <c r="M72" s="106"/>
      <c r="N72" s="113" t="s">
        <v>649</v>
      </c>
      <c r="O72" s="113" t="s">
        <v>650</v>
      </c>
      <c r="P72" s="57" t="s">
        <v>651</v>
      </c>
      <c r="Q72" s="132">
        <v>0.10249999999999999</v>
      </c>
      <c r="R72" s="132"/>
      <c r="S72" s="63" t="s">
        <v>653</v>
      </c>
      <c r="T72" s="67" t="s">
        <v>652</v>
      </c>
      <c r="U72" s="67" t="s">
        <v>653</v>
      </c>
      <c r="V72" s="113" t="s">
        <v>106</v>
      </c>
      <c r="W72" s="222">
        <v>94954</v>
      </c>
      <c r="X72" s="141"/>
      <c r="Z72" s="236"/>
      <c r="AA72" s="130" t="s">
        <v>654</v>
      </c>
      <c r="AB72" s="130" t="s">
        <v>655</v>
      </c>
      <c r="AC72" s="202"/>
      <c r="AD72" s="200"/>
      <c r="AE72" s="113"/>
      <c r="AF72" s="113"/>
      <c r="AG72" s="113"/>
      <c r="AH72" s="113"/>
      <c r="AI72" s="130"/>
      <c r="AK72" s="57"/>
      <c r="AS72" s="207"/>
      <c r="AU72" s="67" t="s">
        <v>652</v>
      </c>
      <c r="AV72" s="251"/>
      <c r="AW72" s="67" t="s">
        <v>653</v>
      </c>
      <c r="AX72" s="113" t="s">
        <v>106</v>
      </c>
      <c r="AY72" s="222">
        <v>94954</v>
      </c>
      <c r="AZ72" s="199" t="s">
        <v>650</v>
      </c>
      <c r="BA72" s="317"/>
    </row>
    <row r="73" spans="1:53" ht="14.15" customHeight="1" x14ac:dyDescent="0.4">
      <c r="A73" s="256" t="s">
        <v>656</v>
      </c>
      <c r="B73" s="67" t="s">
        <v>98</v>
      </c>
      <c r="C73" s="111" t="s">
        <v>99</v>
      </c>
      <c r="D73" s="115"/>
      <c r="E73" s="120" t="s">
        <v>100</v>
      </c>
      <c r="F73" s="82"/>
      <c r="G73" s="84"/>
      <c r="H73" s="90" t="s">
        <v>100</v>
      </c>
      <c r="I73" s="91"/>
      <c r="J73" s="97"/>
      <c r="K73" s="102">
        <v>45418</v>
      </c>
      <c r="L73" s="327"/>
      <c r="M73" s="106"/>
      <c r="N73" s="113" t="s">
        <v>657</v>
      </c>
      <c r="O73" s="113" t="s">
        <v>658</v>
      </c>
      <c r="P73" s="57"/>
      <c r="Q73" s="132">
        <v>0.1</v>
      </c>
      <c r="R73" s="132"/>
      <c r="S73" s="63" t="s">
        <v>186</v>
      </c>
      <c r="T73" s="67" t="s">
        <v>659</v>
      </c>
      <c r="U73" s="67" t="s">
        <v>188</v>
      </c>
      <c r="V73" s="113" t="s">
        <v>106</v>
      </c>
      <c r="W73" s="222">
        <v>95404</v>
      </c>
      <c r="X73" s="139" t="s">
        <v>660</v>
      </c>
      <c r="Y73" s="139" t="s">
        <v>660</v>
      </c>
      <c r="Z73" s="139" t="s">
        <v>660</v>
      </c>
      <c r="AA73" s="200"/>
      <c r="AB73" s="130"/>
      <c r="AC73" s="202"/>
      <c r="AD73" s="200"/>
      <c r="AE73" s="113"/>
      <c r="AF73" s="113"/>
      <c r="AG73" s="113"/>
      <c r="AH73" s="113"/>
      <c r="AI73" s="130"/>
      <c r="AK73" s="57"/>
      <c r="AL73" s="287" t="s">
        <v>251</v>
      </c>
      <c r="AM73" s="288">
        <v>13305</v>
      </c>
      <c r="AO73" s="288">
        <v>62245</v>
      </c>
      <c r="AS73" s="207"/>
      <c r="AU73" s="67" t="s">
        <v>659</v>
      </c>
      <c r="AV73" s="251"/>
      <c r="AW73" s="67" t="s">
        <v>188</v>
      </c>
      <c r="AX73" s="113" t="s">
        <v>106</v>
      </c>
      <c r="AY73" s="222">
        <v>95404</v>
      </c>
      <c r="AZ73" s="199" t="s">
        <v>658</v>
      </c>
      <c r="BA73" s="317"/>
    </row>
    <row r="74" spans="1:53" s="210" customFormat="1" ht="14.15" customHeight="1" x14ac:dyDescent="0.4">
      <c r="A74" s="256" t="s">
        <v>661</v>
      </c>
      <c r="B74" s="67" t="s">
        <v>98</v>
      </c>
      <c r="C74" s="110" t="s">
        <v>99</v>
      </c>
      <c r="D74" s="79" t="s">
        <v>662</v>
      </c>
      <c r="E74" s="118" t="s">
        <v>100</v>
      </c>
      <c r="F74" s="80"/>
      <c r="G74" s="81"/>
      <c r="H74" s="87" t="s">
        <v>100</v>
      </c>
      <c r="I74" s="86"/>
      <c r="J74" s="96"/>
      <c r="K74" s="100">
        <v>45951</v>
      </c>
      <c r="L74" s="328"/>
      <c r="M74" s="104"/>
      <c r="N74" s="128" t="s">
        <v>663</v>
      </c>
      <c r="O74" s="128" t="s">
        <v>664</v>
      </c>
      <c r="P74" s="59" t="s">
        <v>665</v>
      </c>
      <c r="Q74" s="132">
        <v>0.105</v>
      </c>
      <c r="R74" s="132">
        <v>0.09</v>
      </c>
      <c r="S74" s="63" t="s">
        <v>666</v>
      </c>
      <c r="T74" s="67" t="s">
        <v>667</v>
      </c>
      <c r="U74" s="67" t="s">
        <v>668</v>
      </c>
      <c r="V74" s="79" t="s">
        <v>106</v>
      </c>
      <c r="W74" s="76">
        <v>91106</v>
      </c>
      <c r="X74" s="141" t="s">
        <v>669</v>
      </c>
      <c r="Y74" s="143"/>
      <c r="Z74" s="235"/>
      <c r="AA74" s="79"/>
      <c r="AB74" s="135"/>
      <c r="AC74" s="136"/>
      <c r="AD74" s="79"/>
      <c r="AE74" s="128"/>
      <c r="AF74" s="128"/>
      <c r="AG74" s="128"/>
      <c r="AH74" s="128"/>
      <c r="AI74" s="135"/>
      <c r="AJ74" s="135"/>
      <c r="AK74" s="58"/>
      <c r="AL74" s="287" t="s">
        <v>289</v>
      </c>
      <c r="AM74" s="288">
        <v>13305</v>
      </c>
      <c r="AN74" s="288" t="s">
        <v>198</v>
      </c>
      <c r="AO74" s="288">
        <v>62245</v>
      </c>
      <c r="AP74" s="288"/>
      <c r="AQ74" s="288"/>
      <c r="AR74" s="288"/>
      <c r="AS74" s="207" t="s">
        <v>132</v>
      </c>
      <c r="AT74" s="116" t="s">
        <v>670</v>
      </c>
      <c r="AU74" s="67" t="s">
        <v>667</v>
      </c>
      <c r="AV74" s="66"/>
      <c r="AW74" s="67" t="s">
        <v>668</v>
      </c>
      <c r="AX74" s="79" t="s">
        <v>106</v>
      </c>
      <c r="AY74" s="76">
        <v>91106</v>
      </c>
      <c r="AZ74" s="77" t="s">
        <v>664</v>
      </c>
      <c r="BA74" s="317"/>
    </row>
    <row r="75" spans="1:53" s="251" customFormat="1" ht="14.15" customHeight="1" x14ac:dyDescent="0.4">
      <c r="A75" s="256" t="s">
        <v>671</v>
      </c>
      <c r="B75" s="67" t="s">
        <v>125</v>
      </c>
      <c r="C75" s="111" t="s">
        <v>109</v>
      </c>
      <c r="D75" s="115" t="s">
        <v>672</v>
      </c>
      <c r="E75" s="120" t="s">
        <v>100</v>
      </c>
      <c r="F75" s="82"/>
      <c r="G75" s="84"/>
      <c r="H75" s="90" t="s">
        <v>100</v>
      </c>
      <c r="I75" s="91"/>
      <c r="J75" s="97"/>
      <c r="K75" s="102"/>
      <c r="L75" s="327"/>
      <c r="M75" s="106">
        <v>44398</v>
      </c>
      <c r="N75" s="113" t="s">
        <v>673</v>
      </c>
      <c r="O75" s="113" t="s">
        <v>674</v>
      </c>
      <c r="P75" s="57"/>
      <c r="Q75" s="132">
        <v>0.10249999999999999</v>
      </c>
      <c r="R75" s="132"/>
      <c r="S75" s="63" t="s">
        <v>113</v>
      </c>
      <c r="T75" s="67" t="s">
        <v>675</v>
      </c>
      <c r="U75" s="67" t="s">
        <v>115</v>
      </c>
      <c r="V75" s="113" t="s">
        <v>106</v>
      </c>
      <c r="W75" s="222">
        <v>94601</v>
      </c>
      <c r="X75" s="141"/>
      <c r="Y75" s="236"/>
      <c r="Z75" s="236"/>
      <c r="AA75" s="200"/>
      <c r="AB75" s="130"/>
      <c r="AC75" s="202"/>
      <c r="AD75" s="200"/>
      <c r="AE75" s="113"/>
      <c r="AF75" s="113"/>
      <c r="AG75" s="113"/>
      <c r="AH75" s="113"/>
      <c r="AI75" s="130"/>
      <c r="AJ75" s="135"/>
      <c r="AK75" s="57"/>
      <c r="AL75" s="287"/>
      <c r="AM75" s="288"/>
      <c r="AN75" s="288"/>
      <c r="AO75" s="288"/>
      <c r="AP75" s="288"/>
      <c r="AQ75" s="288"/>
      <c r="AR75" s="288"/>
      <c r="AS75" s="207"/>
      <c r="AT75" s="116"/>
      <c r="AU75" s="67" t="s">
        <v>675</v>
      </c>
      <c r="AW75" s="67" t="s">
        <v>115</v>
      </c>
      <c r="AX75" s="113" t="s">
        <v>106</v>
      </c>
      <c r="AY75" s="222">
        <v>94601</v>
      </c>
      <c r="AZ75" s="199" t="s">
        <v>674</v>
      </c>
      <c r="BA75" s="317"/>
    </row>
    <row r="76" spans="1:53" s="210" customFormat="1" ht="14.15" customHeight="1" x14ac:dyDescent="0.4">
      <c r="A76" s="256" t="s">
        <v>676</v>
      </c>
      <c r="B76" s="67" t="s">
        <v>98</v>
      </c>
      <c r="C76" s="111" t="s">
        <v>99</v>
      </c>
      <c r="D76" s="79"/>
      <c r="E76" s="118" t="s">
        <v>100</v>
      </c>
      <c r="F76" s="80"/>
      <c r="G76" s="81"/>
      <c r="H76" s="87" t="s">
        <v>100</v>
      </c>
      <c r="I76" s="86"/>
      <c r="J76" s="96"/>
      <c r="K76" s="100">
        <v>45076</v>
      </c>
      <c r="L76" s="328"/>
      <c r="M76" s="104">
        <v>43042</v>
      </c>
      <c r="N76" s="128" t="s">
        <v>677</v>
      </c>
      <c r="O76" s="128" t="s">
        <v>678</v>
      </c>
      <c r="P76" s="59" t="s">
        <v>679</v>
      </c>
      <c r="Q76" s="132">
        <v>8.6249999999999993E-2</v>
      </c>
      <c r="R76" s="132">
        <v>8.7499999999999994E-2</v>
      </c>
      <c r="S76" s="63" t="s">
        <v>103</v>
      </c>
      <c r="T76" s="67" t="s">
        <v>680</v>
      </c>
      <c r="U76" s="67" t="s">
        <v>105</v>
      </c>
      <c r="V76" s="79" t="s">
        <v>106</v>
      </c>
      <c r="W76" s="76">
        <v>94133</v>
      </c>
      <c r="X76" s="147"/>
      <c r="Y76" s="236"/>
      <c r="Z76" s="234"/>
      <c r="AA76" s="79" t="s">
        <v>681</v>
      </c>
      <c r="AB76" s="135" t="s">
        <v>678</v>
      </c>
      <c r="AC76" s="136" t="s">
        <v>682</v>
      </c>
      <c r="AD76" s="79" t="s">
        <v>683</v>
      </c>
      <c r="AE76" s="128"/>
      <c r="AF76" s="128"/>
      <c r="AG76" s="128"/>
      <c r="AH76" s="128"/>
      <c r="AI76" s="135" t="s">
        <v>684</v>
      </c>
      <c r="AJ76" s="135" t="s">
        <v>116</v>
      </c>
      <c r="AK76" s="53" t="s">
        <v>685</v>
      </c>
      <c r="AL76" s="287" t="s">
        <v>289</v>
      </c>
      <c r="AM76" s="288">
        <v>12100</v>
      </c>
      <c r="AN76" s="288"/>
      <c r="AO76" s="288"/>
      <c r="AP76" s="288"/>
      <c r="AQ76" s="288"/>
      <c r="AR76" s="288"/>
      <c r="AS76" s="207" t="s">
        <v>132</v>
      </c>
      <c r="AT76" s="116" t="s">
        <v>670</v>
      </c>
      <c r="AU76" s="67" t="s">
        <v>680</v>
      </c>
      <c r="AV76" s="66" t="s">
        <v>686</v>
      </c>
      <c r="AW76" s="67" t="s">
        <v>105</v>
      </c>
      <c r="AX76" s="79" t="s">
        <v>106</v>
      </c>
      <c r="AY76" s="76">
        <v>94133</v>
      </c>
      <c r="AZ76" s="77" t="s">
        <v>687</v>
      </c>
      <c r="BA76" s="75"/>
    </row>
    <row r="77" spans="1:53" s="210" customFormat="1" ht="14.15" customHeight="1" x14ac:dyDescent="0.4">
      <c r="A77" s="256" t="s">
        <v>688</v>
      </c>
      <c r="B77" s="67" t="s">
        <v>689</v>
      </c>
      <c r="C77" s="109" t="s">
        <v>99</v>
      </c>
      <c r="D77" s="79"/>
      <c r="E77" s="120" t="s">
        <v>173</v>
      </c>
      <c r="F77" s="82" t="s">
        <v>174</v>
      </c>
      <c r="G77" s="84"/>
      <c r="H77" s="90"/>
      <c r="I77" s="91"/>
      <c r="J77" s="97"/>
      <c r="K77" s="102">
        <v>45735</v>
      </c>
      <c r="L77" s="327"/>
      <c r="M77" s="106"/>
      <c r="N77" s="128" t="s">
        <v>690</v>
      </c>
      <c r="O77" s="128" t="s">
        <v>691</v>
      </c>
      <c r="P77" s="59"/>
      <c r="Q77" s="131">
        <v>9.2499999999999999E-2</v>
      </c>
      <c r="R77" s="131"/>
      <c r="S77" s="63" t="s">
        <v>420</v>
      </c>
      <c r="T77" s="67" t="s">
        <v>692</v>
      </c>
      <c r="U77" s="67" t="s">
        <v>420</v>
      </c>
      <c r="V77" s="79" t="s">
        <v>106</v>
      </c>
      <c r="W77" s="76">
        <v>94945</v>
      </c>
      <c r="X77" s="147"/>
      <c r="Y77" s="236"/>
      <c r="Z77" s="234"/>
      <c r="AA77" s="79"/>
      <c r="AB77" s="135"/>
      <c r="AC77" s="136"/>
      <c r="AD77" s="79"/>
      <c r="AE77" s="128"/>
      <c r="AF77" s="128"/>
      <c r="AG77" s="128"/>
      <c r="AH77" s="128"/>
      <c r="AI77" s="135"/>
      <c r="AJ77" s="135"/>
      <c r="AK77" s="58"/>
      <c r="AL77" s="287" t="s">
        <v>251</v>
      </c>
      <c r="AM77" s="288" t="s">
        <v>545</v>
      </c>
      <c r="AN77" s="288"/>
      <c r="AO77" s="288">
        <v>62245</v>
      </c>
      <c r="AP77" s="288"/>
      <c r="AQ77" s="288"/>
      <c r="AR77" s="288"/>
      <c r="AS77" s="207"/>
      <c r="AT77" s="116"/>
      <c r="AU77" s="67" t="s">
        <v>692</v>
      </c>
      <c r="AV77" s="66"/>
      <c r="AW77" s="67" t="s">
        <v>420</v>
      </c>
      <c r="AX77" s="79" t="s">
        <v>106</v>
      </c>
      <c r="AY77" s="76">
        <v>94945</v>
      </c>
      <c r="AZ77" s="77" t="s">
        <v>691</v>
      </c>
      <c r="BA77" s="75"/>
    </row>
    <row r="78" spans="1:53" s="210" customFormat="1" ht="14.15" customHeight="1" x14ac:dyDescent="0.4">
      <c r="A78" s="256" t="s">
        <v>693</v>
      </c>
      <c r="B78" s="67" t="s">
        <v>253</v>
      </c>
      <c r="C78" s="109" t="s">
        <v>99</v>
      </c>
      <c r="D78" s="79"/>
      <c r="E78" s="120" t="s">
        <v>598</v>
      </c>
      <c r="F78" s="82" t="s">
        <v>174</v>
      </c>
      <c r="G78" s="84"/>
      <c r="H78" s="90" t="s">
        <v>100</v>
      </c>
      <c r="I78" s="91"/>
      <c r="J78" s="97"/>
      <c r="K78" s="102">
        <v>45727</v>
      </c>
      <c r="L78" s="327"/>
      <c r="M78" s="106"/>
      <c r="N78" s="128" t="s">
        <v>694</v>
      </c>
      <c r="O78" s="128"/>
      <c r="P78" s="59"/>
      <c r="Q78" s="131">
        <v>8.6249999999999993E-2</v>
      </c>
      <c r="R78" s="131"/>
      <c r="S78" s="63" t="s">
        <v>103</v>
      </c>
      <c r="T78" s="67" t="s">
        <v>695</v>
      </c>
      <c r="U78" s="67" t="s">
        <v>105</v>
      </c>
      <c r="V78" s="79" t="s">
        <v>106</v>
      </c>
      <c r="W78" s="76">
        <v>94117</v>
      </c>
      <c r="X78" s="147"/>
      <c r="Y78" s="236"/>
      <c r="Z78" s="234"/>
      <c r="AA78" s="79"/>
      <c r="AB78" s="135"/>
      <c r="AC78" s="136"/>
      <c r="AD78" s="79"/>
      <c r="AE78" s="128"/>
      <c r="AF78" s="128"/>
      <c r="AG78" s="128"/>
      <c r="AH78" s="128"/>
      <c r="AI78" s="135"/>
      <c r="AJ78" s="135"/>
      <c r="AK78" s="58"/>
      <c r="AL78" s="287" t="s">
        <v>251</v>
      </c>
      <c r="AM78" s="288"/>
      <c r="AN78" s="288" t="s">
        <v>198</v>
      </c>
      <c r="AO78" s="288">
        <v>62245</v>
      </c>
      <c r="AP78" s="288"/>
      <c r="AQ78" s="288"/>
      <c r="AR78" s="288"/>
      <c r="AS78" s="207"/>
      <c r="AT78" s="116" t="s">
        <v>539</v>
      </c>
      <c r="AU78" s="67" t="s">
        <v>695</v>
      </c>
      <c r="AV78" s="66"/>
      <c r="AW78" s="67" t="s">
        <v>105</v>
      </c>
      <c r="AX78" s="79" t="s">
        <v>106</v>
      </c>
      <c r="AY78" s="76">
        <v>94117</v>
      </c>
      <c r="AZ78" s="77"/>
      <c r="BA78" s="75"/>
    </row>
    <row r="79" spans="1:53" s="251" customFormat="1" ht="14.15" customHeight="1" x14ac:dyDescent="0.4">
      <c r="A79" s="256" t="s">
        <v>696</v>
      </c>
      <c r="B79" s="67" t="s">
        <v>244</v>
      </c>
      <c r="C79" s="111" t="s">
        <v>99</v>
      </c>
      <c r="D79" s="115"/>
      <c r="E79" s="120" t="s">
        <v>173</v>
      </c>
      <c r="F79" s="82" t="s">
        <v>174</v>
      </c>
      <c r="G79" s="84"/>
      <c r="H79" s="90" t="s">
        <v>253</v>
      </c>
      <c r="I79" s="91"/>
      <c r="J79" s="97"/>
      <c r="K79" s="102">
        <v>45748</v>
      </c>
      <c r="L79" s="327"/>
      <c r="M79" s="106"/>
      <c r="N79" s="113" t="s">
        <v>697</v>
      </c>
      <c r="O79" s="113" t="s">
        <v>698</v>
      </c>
      <c r="P79" s="57"/>
      <c r="Q79" s="132">
        <v>0.09</v>
      </c>
      <c r="R79" s="132"/>
      <c r="S79" s="63" t="s">
        <v>699</v>
      </c>
      <c r="T79" s="67" t="s">
        <v>700</v>
      </c>
      <c r="U79" s="67" t="s">
        <v>701</v>
      </c>
      <c r="V79" s="113" t="s">
        <v>106</v>
      </c>
      <c r="W79" s="222">
        <v>94925</v>
      </c>
      <c r="X79" s="141"/>
      <c r="Y79" s="236"/>
      <c r="Z79" s="236"/>
      <c r="AA79" s="200"/>
      <c r="AB79" s="130"/>
      <c r="AC79" s="202"/>
      <c r="AD79" s="200"/>
      <c r="AE79" s="113"/>
      <c r="AF79" s="113"/>
      <c r="AG79" s="113"/>
      <c r="AH79" s="113"/>
      <c r="AI79" s="130"/>
      <c r="AJ79" s="135"/>
      <c r="AK79" s="57"/>
      <c r="AL79" s="287" t="s">
        <v>251</v>
      </c>
      <c r="AM79" s="288" t="s">
        <v>325</v>
      </c>
      <c r="AN79" s="288"/>
      <c r="AO79" s="288"/>
      <c r="AP79" s="288"/>
      <c r="AQ79" s="288"/>
      <c r="AR79" s="288"/>
      <c r="AS79" s="207"/>
      <c r="AT79" s="116" t="s">
        <v>116</v>
      </c>
      <c r="AU79" s="67" t="s">
        <v>700</v>
      </c>
      <c r="AW79" s="67" t="s">
        <v>701</v>
      </c>
      <c r="AX79" s="113" t="s">
        <v>106</v>
      </c>
      <c r="AY79" s="222">
        <v>94925</v>
      </c>
      <c r="AZ79" s="199" t="s">
        <v>698</v>
      </c>
      <c r="BA79" s="317"/>
    </row>
    <row r="80" spans="1:53" ht="14.15" customHeight="1" x14ac:dyDescent="0.4">
      <c r="A80" s="256" t="s">
        <v>702</v>
      </c>
      <c r="B80" s="67" t="s">
        <v>253</v>
      </c>
      <c r="C80" s="111" t="s">
        <v>99</v>
      </c>
      <c r="D80" s="115"/>
      <c r="E80" s="120" t="s">
        <v>173</v>
      </c>
      <c r="F80" s="82" t="s">
        <v>174</v>
      </c>
      <c r="G80" s="84"/>
      <c r="H80" s="90" t="s">
        <v>253</v>
      </c>
      <c r="I80" s="91"/>
      <c r="J80" s="97"/>
      <c r="K80" s="102">
        <v>45723</v>
      </c>
      <c r="L80" s="327"/>
      <c r="M80" s="106"/>
      <c r="N80" s="113" t="s">
        <v>703</v>
      </c>
      <c r="O80" s="113" t="s">
        <v>704</v>
      </c>
      <c r="P80" s="57"/>
      <c r="Q80" s="132">
        <v>8.6249999999999993E-2</v>
      </c>
      <c r="R80" s="132"/>
      <c r="S80" s="63" t="s">
        <v>103</v>
      </c>
      <c r="T80" s="67" t="s">
        <v>705</v>
      </c>
      <c r="U80" s="67" t="s">
        <v>105</v>
      </c>
      <c r="V80" s="113" t="s">
        <v>106</v>
      </c>
      <c r="W80" s="222">
        <v>94109</v>
      </c>
      <c r="X80" s="141"/>
      <c r="Z80" s="236"/>
      <c r="AA80" s="200"/>
      <c r="AB80" s="130"/>
      <c r="AC80" s="202"/>
      <c r="AD80" s="200"/>
      <c r="AE80" s="113"/>
      <c r="AF80" s="113"/>
      <c r="AG80" s="113"/>
      <c r="AH80" s="113"/>
      <c r="AI80" s="130"/>
      <c r="AK80" s="57"/>
      <c r="AL80" s="287" t="s">
        <v>251</v>
      </c>
      <c r="AM80" s="288" t="s">
        <v>257</v>
      </c>
      <c r="AO80" s="288">
        <v>62245</v>
      </c>
      <c r="AS80" s="207"/>
      <c r="AT80" s="116" t="s">
        <v>539</v>
      </c>
      <c r="AU80" s="67" t="s">
        <v>706</v>
      </c>
      <c r="AV80" s="251"/>
      <c r="AW80" s="67" t="s">
        <v>105</v>
      </c>
      <c r="AX80" s="113" t="s">
        <v>106</v>
      </c>
      <c r="AY80" s="222">
        <v>94109</v>
      </c>
      <c r="AZ80" s="199" t="s">
        <v>704</v>
      </c>
      <c r="BA80" s="317"/>
    </row>
    <row r="81" spans="1:53" ht="14.15" customHeight="1" x14ac:dyDescent="0.4">
      <c r="A81" s="256" t="s">
        <v>707</v>
      </c>
      <c r="B81" s="67" t="s">
        <v>253</v>
      </c>
      <c r="C81" s="111" t="s">
        <v>99</v>
      </c>
      <c r="D81" s="115"/>
      <c r="E81" s="120" t="s">
        <v>173</v>
      </c>
      <c r="F81" s="82" t="s">
        <v>174</v>
      </c>
      <c r="G81" s="84"/>
      <c r="H81" s="90" t="s">
        <v>253</v>
      </c>
      <c r="I81" s="91"/>
      <c r="J81" s="97"/>
      <c r="K81" s="102">
        <v>45723</v>
      </c>
      <c r="L81" s="327"/>
      <c r="M81" s="106"/>
      <c r="N81" s="113" t="s">
        <v>708</v>
      </c>
      <c r="O81" s="113" t="s">
        <v>709</v>
      </c>
      <c r="P81" s="57"/>
      <c r="Q81" s="132">
        <v>8.6249999999999993E-2</v>
      </c>
      <c r="R81" s="132"/>
      <c r="S81" s="63" t="s">
        <v>103</v>
      </c>
      <c r="T81" s="67" t="s">
        <v>710</v>
      </c>
      <c r="U81" s="67" t="s">
        <v>105</v>
      </c>
      <c r="V81" s="113" t="s">
        <v>106</v>
      </c>
      <c r="W81" s="222">
        <v>94123</v>
      </c>
      <c r="X81" s="141"/>
      <c r="Z81" s="236"/>
      <c r="AA81" s="200"/>
      <c r="AB81" s="130"/>
      <c r="AC81" s="202"/>
      <c r="AD81" s="200"/>
      <c r="AE81" s="113"/>
      <c r="AF81" s="113"/>
      <c r="AG81" s="113"/>
      <c r="AH81" s="113"/>
      <c r="AI81" s="130"/>
      <c r="AK81" s="57"/>
      <c r="AL81" s="287" t="s">
        <v>251</v>
      </c>
      <c r="AM81" s="288" t="s">
        <v>325</v>
      </c>
      <c r="AO81" s="288">
        <v>62245</v>
      </c>
      <c r="AS81" s="207"/>
      <c r="AU81" s="67" t="s">
        <v>710</v>
      </c>
      <c r="AV81" s="251"/>
      <c r="AW81" s="67" t="s">
        <v>105</v>
      </c>
      <c r="AX81" s="113" t="s">
        <v>106</v>
      </c>
      <c r="AY81" s="222">
        <v>94123</v>
      </c>
      <c r="AZ81" s="199" t="s">
        <v>709</v>
      </c>
      <c r="BA81" s="317"/>
    </row>
    <row r="82" spans="1:53" s="210" customFormat="1" ht="14.15" customHeight="1" x14ac:dyDescent="0.4">
      <c r="A82" s="256" t="s">
        <v>711</v>
      </c>
      <c r="B82" s="67" t="s">
        <v>269</v>
      </c>
      <c r="C82" s="111" t="s">
        <v>254</v>
      </c>
      <c r="D82" s="113"/>
      <c r="E82" s="120" t="s">
        <v>100</v>
      </c>
      <c r="F82" s="82"/>
      <c r="G82" s="84"/>
      <c r="H82" s="90" t="s">
        <v>100</v>
      </c>
      <c r="I82" s="91"/>
      <c r="J82" s="97"/>
      <c r="K82" s="102">
        <v>45527</v>
      </c>
      <c r="L82" s="327"/>
      <c r="M82" s="106">
        <v>43542</v>
      </c>
      <c r="N82" s="113" t="s">
        <v>615</v>
      </c>
      <c r="O82" s="113" t="s">
        <v>712</v>
      </c>
      <c r="P82" s="57" t="s">
        <v>713</v>
      </c>
      <c r="Q82" s="132">
        <v>9.2499999999999999E-2</v>
      </c>
      <c r="R82" s="132">
        <v>8.2500000000000004E-2</v>
      </c>
      <c r="S82" s="63" t="s">
        <v>262</v>
      </c>
      <c r="T82" s="57" t="s">
        <v>714</v>
      </c>
      <c r="U82" s="67" t="s">
        <v>715</v>
      </c>
      <c r="V82" s="113" t="s">
        <v>106</v>
      </c>
      <c r="W82" s="222">
        <v>95450</v>
      </c>
      <c r="X82" s="141" t="s">
        <v>716</v>
      </c>
      <c r="Y82" s="236"/>
      <c r="Z82" s="236"/>
      <c r="AA82" s="200"/>
      <c r="AB82" s="130"/>
      <c r="AC82" s="202"/>
      <c r="AD82" s="200"/>
      <c r="AE82" s="113"/>
      <c r="AF82" s="113"/>
      <c r="AG82" s="113"/>
      <c r="AH82" s="113"/>
      <c r="AI82" s="130" t="s">
        <v>0</v>
      </c>
      <c r="AJ82" s="135" t="s">
        <v>116</v>
      </c>
      <c r="AK82" s="57"/>
      <c r="AL82" s="287" t="s">
        <v>289</v>
      </c>
      <c r="AM82" s="288" t="s">
        <v>198</v>
      </c>
      <c r="AN82" s="288">
        <v>15185</v>
      </c>
      <c r="AO82" s="288">
        <v>62245</v>
      </c>
      <c r="AP82" s="288"/>
      <c r="AQ82" s="288"/>
      <c r="AR82" s="288"/>
      <c r="AS82" s="207" t="s">
        <v>132</v>
      </c>
      <c r="AT82" s="116" t="s">
        <v>670</v>
      </c>
      <c r="AU82" s="67" t="s">
        <v>717</v>
      </c>
      <c r="AV82" s="251" t="s">
        <v>718</v>
      </c>
      <c r="AW82" s="67" t="s">
        <v>719</v>
      </c>
      <c r="AX82" s="113" t="s">
        <v>106</v>
      </c>
      <c r="AY82" s="222">
        <v>95430</v>
      </c>
      <c r="AZ82" s="199" t="s">
        <v>720</v>
      </c>
      <c r="BA82" s="75"/>
    </row>
    <row r="83" spans="1:53" s="210" customFormat="1" ht="14.15" customHeight="1" x14ac:dyDescent="0.4">
      <c r="A83" s="256" t="s">
        <v>721</v>
      </c>
      <c r="B83" s="67" t="s">
        <v>434</v>
      </c>
      <c r="C83" s="109" t="s">
        <v>99</v>
      </c>
      <c r="D83" s="79"/>
      <c r="E83" s="120" t="s">
        <v>173</v>
      </c>
      <c r="F83" s="82" t="s">
        <v>174</v>
      </c>
      <c r="G83" s="84"/>
      <c r="H83" s="90" t="s">
        <v>100</v>
      </c>
      <c r="I83" s="91"/>
      <c r="J83" s="97"/>
      <c r="K83" s="102">
        <v>45211</v>
      </c>
      <c r="L83" s="327"/>
      <c r="M83" s="106"/>
      <c r="N83" s="128" t="s">
        <v>223</v>
      </c>
      <c r="O83" s="128" t="s">
        <v>722</v>
      </c>
      <c r="P83" s="59"/>
      <c r="Q83" s="131">
        <v>8.6249999999999993E-2</v>
      </c>
      <c r="R83" s="131"/>
      <c r="S83" s="63" t="s">
        <v>103</v>
      </c>
      <c r="T83" s="67" t="s">
        <v>723</v>
      </c>
      <c r="U83" s="67" t="s">
        <v>105</v>
      </c>
      <c r="V83" s="79" t="s">
        <v>106</v>
      </c>
      <c r="W83" s="76">
        <v>94123</v>
      </c>
      <c r="X83" s="147"/>
      <c r="Y83" s="236"/>
      <c r="Z83" s="234"/>
      <c r="AA83" s="79"/>
      <c r="AB83" s="135"/>
      <c r="AC83" s="136"/>
      <c r="AD83" s="79"/>
      <c r="AE83" s="128"/>
      <c r="AF83" s="128"/>
      <c r="AG83" s="128"/>
      <c r="AH83" s="128"/>
      <c r="AI83" s="135"/>
      <c r="AJ83" s="135"/>
      <c r="AK83" s="58"/>
      <c r="AL83" s="287"/>
      <c r="AM83" s="288"/>
      <c r="AN83" s="288"/>
      <c r="AO83" s="288">
        <v>62245</v>
      </c>
      <c r="AP83" s="288"/>
      <c r="AQ83" s="288"/>
      <c r="AR83" s="288"/>
      <c r="AS83" s="207"/>
      <c r="AT83" s="116"/>
      <c r="AU83" s="67" t="s">
        <v>724</v>
      </c>
      <c r="AV83" s="66"/>
      <c r="AW83" s="67" t="s">
        <v>105</v>
      </c>
      <c r="AX83" s="79" t="s">
        <v>106</v>
      </c>
      <c r="AY83" s="76">
        <v>94123</v>
      </c>
      <c r="AZ83" s="77"/>
      <c r="BA83" s="75"/>
    </row>
    <row r="84" spans="1:53" s="251" customFormat="1" ht="14.15" customHeight="1" x14ac:dyDescent="0.4">
      <c r="A84" s="256" t="s">
        <v>725</v>
      </c>
      <c r="B84" s="67" t="s">
        <v>98</v>
      </c>
      <c r="C84" s="111" t="s">
        <v>99</v>
      </c>
      <c r="D84" s="115"/>
      <c r="E84" s="120" t="s">
        <v>100</v>
      </c>
      <c r="F84" s="82"/>
      <c r="G84" s="84"/>
      <c r="H84" s="90" t="s">
        <v>100</v>
      </c>
      <c r="I84" s="91"/>
      <c r="J84" s="97"/>
      <c r="K84" s="102">
        <v>45646</v>
      </c>
      <c r="L84" s="327"/>
      <c r="M84" s="106"/>
      <c r="N84" s="113" t="s">
        <v>611</v>
      </c>
      <c r="O84" s="113" t="s">
        <v>726</v>
      </c>
      <c r="P84" s="57"/>
      <c r="Q84" s="132">
        <v>8.6249999999999993E-2</v>
      </c>
      <c r="R84" s="132"/>
      <c r="S84" s="63" t="s">
        <v>103</v>
      </c>
      <c r="T84" s="67" t="s">
        <v>727</v>
      </c>
      <c r="U84" s="67" t="s">
        <v>105</v>
      </c>
      <c r="V84" s="113" t="s">
        <v>106</v>
      </c>
      <c r="W84" s="222">
        <v>94123</v>
      </c>
      <c r="X84" s="141" t="s">
        <v>728</v>
      </c>
      <c r="Y84" s="236"/>
      <c r="Z84" s="236"/>
      <c r="AA84" s="200"/>
      <c r="AB84" s="130"/>
      <c r="AC84" s="202"/>
      <c r="AD84" s="200"/>
      <c r="AE84" s="113"/>
      <c r="AF84" s="113"/>
      <c r="AG84" s="113"/>
      <c r="AH84" s="113"/>
      <c r="AI84" s="130"/>
      <c r="AJ84" s="135"/>
      <c r="AK84" s="57"/>
      <c r="AL84" s="287" t="s">
        <v>149</v>
      </c>
      <c r="AM84" s="288">
        <v>13305</v>
      </c>
      <c r="AN84" s="288"/>
      <c r="AO84" s="288">
        <v>62245</v>
      </c>
      <c r="AP84" s="288"/>
      <c r="AQ84" s="288"/>
      <c r="AR84" s="288"/>
      <c r="AS84" s="207" t="s">
        <v>132</v>
      </c>
      <c r="AT84" s="116" t="s">
        <v>670</v>
      </c>
      <c r="AU84" s="67" t="s">
        <v>729</v>
      </c>
      <c r="AW84" s="67" t="s">
        <v>105</v>
      </c>
      <c r="AX84" s="113" t="s">
        <v>106</v>
      </c>
      <c r="AY84" s="222">
        <v>94123</v>
      </c>
      <c r="AZ84" s="199" t="s">
        <v>726</v>
      </c>
      <c r="BA84" s="317"/>
    </row>
    <row r="85" spans="1:53" s="251" customFormat="1" ht="14.15" customHeight="1" x14ac:dyDescent="0.4">
      <c r="A85" s="256" t="s">
        <v>730</v>
      </c>
      <c r="B85" s="67" t="s">
        <v>98</v>
      </c>
      <c r="C85" s="111" t="s">
        <v>99</v>
      </c>
      <c r="D85" s="113"/>
      <c r="E85" s="120" t="s">
        <v>100</v>
      </c>
      <c r="F85" s="82"/>
      <c r="G85" s="84"/>
      <c r="H85" s="90" t="s">
        <v>100</v>
      </c>
      <c r="I85" s="91"/>
      <c r="J85" s="97"/>
      <c r="K85" s="102">
        <v>45454</v>
      </c>
      <c r="L85" s="327"/>
      <c r="M85" s="106"/>
      <c r="N85" s="113" t="s">
        <v>731</v>
      </c>
      <c r="O85" s="113" t="s">
        <v>732</v>
      </c>
      <c r="P85" s="57" t="s">
        <v>733</v>
      </c>
      <c r="Q85" s="132">
        <v>0.09</v>
      </c>
      <c r="R85" s="132">
        <v>0.09</v>
      </c>
      <c r="S85" s="63" t="s">
        <v>734</v>
      </c>
      <c r="T85" s="67" t="s">
        <v>735</v>
      </c>
      <c r="U85" s="67" t="s">
        <v>701</v>
      </c>
      <c r="V85" s="113" t="s">
        <v>106</v>
      </c>
      <c r="W85" s="222">
        <v>94925</v>
      </c>
      <c r="X85" s="147" t="s">
        <v>736</v>
      </c>
      <c r="Y85" s="117" t="s">
        <v>737</v>
      </c>
      <c r="Z85" s="236"/>
      <c r="AA85" s="200" t="s">
        <v>738</v>
      </c>
      <c r="AB85" s="130"/>
      <c r="AC85" s="202"/>
      <c r="AD85" s="200"/>
      <c r="AE85" s="113"/>
      <c r="AF85" s="113"/>
      <c r="AG85" s="113"/>
      <c r="AH85" s="113"/>
      <c r="AI85" s="130" t="s">
        <v>739</v>
      </c>
      <c r="AJ85" s="135"/>
      <c r="AK85" s="53" t="s">
        <v>740</v>
      </c>
      <c r="AL85" s="290" t="s">
        <v>289</v>
      </c>
      <c r="AM85" s="290">
        <v>13305</v>
      </c>
      <c r="AN85" s="290" t="s">
        <v>290</v>
      </c>
      <c r="AO85" s="290">
        <v>62245</v>
      </c>
      <c r="AP85" s="290"/>
      <c r="AQ85" s="290"/>
      <c r="AR85" s="290"/>
      <c r="AS85" s="207" t="s">
        <v>132</v>
      </c>
      <c r="AT85" s="116" t="s">
        <v>670</v>
      </c>
      <c r="AU85" s="67" t="s">
        <v>735</v>
      </c>
      <c r="AW85" s="67" t="s">
        <v>701</v>
      </c>
      <c r="AX85" s="113" t="s">
        <v>106</v>
      </c>
      <c r="AY85" s="222">
        <v>94925</v>
      </c>
      <c r="AZ85" s="199" t="s">
        <v>732</v>
      </c>
      <c r="BA85" s="75"/>
    </row>
    <row r="86" spans="1:53" s="251" customFormat="1" ht="14.15" customHeight="1" x14ac:dyDescent="0.4">
      <c r="A86" s="256" t="s">
        <v>741</v>
      </c>
      <c r="B86" s="67" t="s">
        <v>98</v>
      </c>
      <c r="C86" s="111" t="s">
        <v>99</v>
      </c>
      <c r="D86" s="113"/>
      <c r="E86" s="120" t="s">
        <v>100</v>
      </c>
      <c r="F86" s="82"/>
      <c r="G86" s="84"/>
      <c r="H86" s="90" t="s">
        <v>100</v>
      </c>
      <c r="I86" s="91"/>
      <c r="J86" s="97"/>
      <c r="K86" s="102">
        <v>45391</v>
      </c>
      <c r="L86" s="327"/>
      <c r="M86" s="106"/>
      <c r="N86" s="113" t="s">
        <v>742</v>
      </c>
      <c r="O86" s="113" t="s">
        <v>743</v>
      </c>
      <c r="P86" s="57"/>
      <c r="Q86" s="132">
        <v>9.2499999999999999E-2</v>
      </c>
      <c r="R86" s="132">
        <v>0.09</v>
      </c>
      <c r="S86" s="63" t="s">
        <v>420</v>
      </c>
      <c r="T86" s="67" t="s">
        <v>744</v>
      </c>
      <c r="U86" s="67" t="s">
        <v>420</v>
      </c>
      <c r="V86" s="113" t="s">
        <v>106</v>
      </c>
      <c r="W86" s="222">
        <v>94949</v>
      </c>
      <c r="X86" s="147" t="s">
        <v>736</v>
      </c>
      <c r="Y86" s="117" t="s">
        <v>737</v>
      </c>
      <c r="Z86" s="236"/>
      <c r="AA86" s="200" t="s">
        <v>745</v>
      </c>
      <c r="AB86" s="130"/>
      <c r="AC86" s="202" t="s">
        <v>746</v>
      </c>
      <c r="AD86" s="200"/>
      <c r="AE86" s="113" t="s">
        <v>747</v>
      </c>
      <c r="AF86" s="113"/>
      <c r="AG86" s="113"/>
      <c r="AH86" s="113"/>
      <c r="AI86" s="130" t="s">
        <v>131</v>
      </c>
      <c r="AJ86" s="135" t="s">
        <v>116</v>
      </c>
      <c r="AK86" s="53" t="s">
        <v>748</v>
      </c>
      <c r="AL86" s="289" t="s">
        <v>289</v>
      </c>
      <c r="AM86" s="289">
        <v>13305</v>
      </c>
      <c r="AN86" s="289" t="s">
        <v>198</v>
      </c>
      <c r="AO86" s="289">
        <v>62245</v>
      </c>
      <c r="AP86" s="289"/>
      <c r="AQ86" s="289"/>
      <c r="AR86" s="289"/>
      <c r="AS86" s="207" t="s">
        <v>132</v>
      </c>
      <c r="AT86" s="116" t="s">
        <v>670</v>
      </c>
      <c r="AU86" s="67" t="s">
        <v>744</v>
      </c>
      <c r="AW86" s="67" t="s">
        <v>420</v>
      </c>
      <c r="AX86" s="113" t="s">
        <v>106</v>
      </c>
      <c r="AY86" s="222">
        <v>94949</v>
      </c>
      <c r="AZ86" s="199" t="s">
        <v>743</v>
      </c>
      <c r="BA86" s="317"/>
    </row>
    <row r="87" spans="1:53" s="251" customFormat="1" ht="14.15" customHeight="1" x14ac:dyDescent="0.4">
      <c r="A87" s="256" t="s">
        <v>749</v>
      </c>
      <c r="B87" s="67" t="s">
        <v>98</v>
      </c>
      <c r="C87" s="111" t="s">
        <v>99</v>
      </c>
      <c r="D87" s="113"/>
      <c r="E87" s="120" t="s">
        <v>100</v>
      </c>
      <c r="F87" s="82"/>
      <c r="G87" s="84"/>
      <c r="H87" s="90" t="s">
        <v>100</v>
      </c>
      <c r="I87" s="91"/>
      <c r="J87" s="97"/>
      <c r="K87" s="102">
        <v>43369</v>
      </c>
      <c r="L87" s="327"/>
      <c r="M87" s="106"/>
      <c r="N87" s="113" t="s">
        <v>750</v>
      </c>
      <c r="O87" s="113" t="s">
        <v>751</v>
      </c>
      <c r="P87" s="57"/>
      <c r="Q87" s="132">
        <v>9.2499999999999999E-2</v>
      </c>
      <c r="R87" s="132">
        <v>0.09</v>
      </c>
      <c r="S87" s="63" t="s">
        <v>420</v>
      </c>
      <c r="T87" s="67" t="s">
        <v>752</v>
      </c>
      <c r="U87" s="67" t="s">
        <v>420</v>
      </c>
      <c r="V87" s="113" t="s">
        <v>106</v>
      </c>
      <c r="W87" s="222">
        <v>94949</v>
      </c>
      <c r="X87" s="141" t="s">
        <v>753</v>
      </c>
      <c r="Y87" s="236"/>
      <c r="Z87" s="236"/>
      <c r="AA87" s="200" t="s">
        <v>754</v>
      </c>
      <c r="AB87" s="130"/>
      <c r="AC87" s="202"/>
      <c r="AD87" s="200"/>
      <c r="AE87" s="113"/>
      <c r="AF87" s="113"/>
      <c r="AG87" s="113"/>
      <c r="AH87" s="113"/>
      <c r="AI87" s="130" t="s">
        <v>755</v>
      </c>
      <c r="AJ87" s="135" t="s">
        <v>116</v>
      </c>
      <c r="AK87" s="57"/>
      <c r="AL87" s="290" t="s">
        <v>289</v>
      </c>
      <c r="AM87" s="290">
        <v>13305</v>
      </c>
      <c r="AN87" s="290" t="s">
        <v>290</v>
      </c>
      <c r="AO87" s="290">
        <v>62245</v>
      </c>
      <c r="AP87" s="290"/>
      <c r="AQ87" s="290"/>
      <c r="AR87" s="290"/>
      <c r="AS87" s="207" t="s">
        <v>132</v>
      </c>
      <c r="AT87" s="116" t="s">
        <v>670</v>
      </c>
      <c r="AU87" s="67" t="s">
        <v>752</v>
      </c>
      <c r="AW87" s="67" t="s">
        <v>420</v>
      </c>
      <c r="AX87" s="113" t="s">
        <v>106</v>
      </c>
      <c r="AY87" s="222">
        <v>94949</v>
      </c>
      <c r="AZ87" s="199" t="s">
        <v>751</v>
      </c>
      <c r="BA87" s="207"/>
    </row>
    <row r="88" spans="1:53" s="251" customFormat="1" ht="14.15" customHeight="1" x14ac:dyDescent="0.4">
      <c r="A88" s="256" t="s">
        <v>756</v>
      </c>
      <c r="B88" s="67" t="s">
        <v>269</v>
      </c>
      <c r="C88" s="111" t="s">
        <v>109</v>
      </c>
      <c r="D88" s="115"/>
      <c r="E88" s="120" t="s">
        <v>173</v>
      </c>
      <c r="F88" s="82" t="s">
        <v>174</v>
      </c>
      <c r="G88" s="84"/>
      <c r="H88" s="90" t="s">
        <v>100</v>
      </c>
      <c r="I88" s="91"/>
      <c r="J88" s="97"/>
      <c r="K88" s="102">
        <v>45999</v>
      </c>
      <c r="L88" s="327"/>
      <c r="M88" s="106">
        <v>44519</v>
      </c>
      <c r="N88" s="113" t="s">
        <v>757</v>
      </c>
      <c r="O88" s="113" t="s">
        <v>758</v>
      </c>
      <c r="P88" s="57"/>
      <c r="Q88" s="132">
        <v>8.2500000000000004E-2</v>
      </c>
      <c r="R88" s="132"/>
      <c r="S88" s="63" t="s">
        <v>759</v>
      </c>
      <c r="T88" s="67" t="s">
        <v>760</v>
      </c>
      <c r="U88" s="67" t="s">
        <v>761</v>
      </c>
      <c r="V88" s="113" t="s">
        <v>106</v>
      </c>
      <c r="W88" s="222">
        <v>94924</v>
      </c>
      <c r="X88" s="141"/>
      <c r="Y88" s="236"/>
      <c r="Z88" s="236"/>
      <c r="AA88" s="200"/>
      <c r="AB88" s="130"/>
      <c r="AC88" s="202"/>
      <c r="AD88" s="200"/>
      <c r="AE88" s="113"/>
      <c r="AF88" s="113"/>
      <c r="AG88" s="113"/>
      <c r="AH88" s="113"/>
      <c r="AI88" s="130"/>
      <c r="AJ88" s="135"/>
      <c r="AK88" s="57"/>
      <c r="AL88" s="287" t="s">
        <v>149</v>
      </c>
      <c r="AM88" s="288"/>
      <c r="AN88" s="288"/>
      <c r="AO88" s="288"/>
      <c r="AP88" s="288"/>
      <c r="AQ88" s="288"/>
      <c r="AR88" s="288"/>
      <c r="AS88" s="207"/>
      <c r="AT88" s="116"/>
      <c r="AU88" s="67" t="s">
        <v>760</v>
      </c>
      <c r="AW88" s="67" t="s">
        <v>761</v>
      </c>
      <c r="AX88" s="113" t="s">
        <v>106</v>
      </c>
      <c r="AY88" s="222">
        <v>94924</v>
      </c>
      <c r="AZ88" s="199" t="s">
        <v>758</v>
      </c>
      <c r="BA88" s="317"/>
    </row>
    <row r="89" spans="1:53" s="210" customFormat="1" ht="14.15" customHeight="1" x14ac:dyDescent="0.4">
      <c r="A89" s="256" t="s">
        <v>762</v>
      </c>
      <c r="B89" s="67" t="s">
        <v>244</v>
      </c>
      <c r="C89" s="111" t="s">
        <v>763</v>
      </c>
      <c r="D89" s="115"/>
      <c r="E89" s="120" t="s">
        <v>173</v>
      </c>
      <c r="F89" s="82" t="s">
        <v>174</v>
      </c>
      <c r="G89" s="84"/>
      <c r="H89" s="90"/>
      <c r="I89" s="91"/>
      <c r="J89" s="97"/>
      <c r="K89" s="102"/>
      <c r="L89" s="327"/>
      <c r="M89" s="106"/>
      <c r="N89" s="130" t="s">
        <v>764</v>
      </c>
      <c r="O89" s="130" t="s">
        <v>765</v>
      </c>
      <c r="P89" s="252" t="s">
        <v>766</v>
      </c>
      <c r="Q89" s="132">
        <v>8.6249999999999993E-2</v>
      </c>
      <c r="R89" s="132"/>
      <c r="S89" s="63" t="s">
        <v>103</v>
      </c>
      <c r="T89" s="67" t="s">
        <v>767</v>
      </c>
      <c r="U89" s="67" t="s">
        <v>105</v>
      </c>
      <c r="V89" s="113" t="s">
        <v>106</v>
      </c>
      <c r="W89" s="222">
        <v>94114</v>
      </c>
      <c r="X89" s="141" t="s">
        <v>768</v>
      </c>
      <c r="Y89" s="141" t="s">
        <v>768</v>
      </c>
      <c r="Z89" s="141" t="s">
        <v>768</v>
      </c>
      <c r="AA89" s="200"/>
      <c r="AB89" s="130"/>
      <c r="AC89" s="202"/>
      <c r="AD89" s="200"/>
      <c r="AE89" s="113"/>
      <c r="AF89" s="113"/>
      <c r="AG89" s="113"/>
      <c r="AH89" s="113"/>
      <c r="AI89" s="130"/>
      <c r="AJ89" s="135"/>
      <c r="AK89" s="57"/>
      <c r="AL89" s="287"/>
      <c r="AM89" s="288"/>
      <c r="AN89" s="288"/>
      <c r="AO89" s="288"/>
      <c r="AP89" s="288"/>
      <c r="AQ89" s="288"/>
      <c r="AR89" s="288"/>
      <c r="AS89" s="207"/>
      <c r="AT89" s="116"/>
      <c r="AU89" s="67" t="s">
        <v>767</v>
      </c>
      <c r="AV89" s="251"/>
      <c r="AW89" s="67" t="s">
        <v>105</v>
      </c>
      <c r="AX89" s="113" t="s">
        <v>106</v>
      </c>
      <c r="AY89" s="222">
        <v>94114</v>
      </c>
      <c r="AZ89" s="57" t="s">
        <v>765</v>
      </c>
      <c r="BA89" s="317"/>
    </row>
    <row r="90" spans="1:53" s="210" customFormat="1" ht="14.15" customHeight="1" x14ac:dyDescent="0.4">
      <c r="A90" s="256" t="s">
        <v>769</v>
      </c>
      <c r="B90" s="67" t="s">
        <v>244</v>
      </c>
      <c r="C90" s="111" t="s">
        <v>763</v>
      </c>
      <c r="D90" s="115"/>
      <c r="E90" s="120" t="s">
        <v>173</v>
      </c>
      <c r="F90" s="82" t="s">
        <v>174</v>
      </c>
      <c r="G90" s="84"/>
      <c r="H90" s="90"/>
      <c r="I90" s="91"/>
      <c r="J90" s="97"/>
      <c r="K90" s="102"/>
      <c r="L90" s="327"/>
      <c r="M90" s="106"/>
      <c r="N90" s="130" t="s">
        <v>770</v>
      </c>
      <c r="O90" s="130" t="s">
        <v>771</v>
      </c>
      <c r="P90" s="57" t="s">
        <v>772</v>
      </c>
      <c r="Q90" s="132">
        <v>8.6300000000000002E-2</v>
      </c>
      <c r="R90" s="132"/>
      <c r="S90" s="63" t="s">
        <v>103</v>
      </c>
      <c r="T90" s="57" t="s">
        <v>773</v>
      </c>
      <c r="U90" s="67" t="s">
        <v>105</v>
      </c>
      <c r="V90" s="113" t="s">
        <v>106</v>
      </c>
      <c r="W90" s="222">
        <v>94123</v>
      </c>
      <c r="X90" s="141" t="s">
        <v>774</v>
      </c>
      <c r="Y90" s="141" t="s">
        <v>774</v>
      </c>
      <c r="Z90" s="141" t="s">
        <v>774</v>
      </c>
      <c r="AA90" s="200"/>
      <c r="AB90" s="130"/>
      <c r="AC90" s="202"/>
      <c r="AD90" s="200"/>
      <c r="AE90" s="113"/>
      <c r="AF90" s="113"/>
      <c r="AG90" s="113"/>
      <c r="AH90" s="113"/>
      <c r="AI90" s="130"/>
      <c r="AJ90" s="135"/>
      <c r="AK90" s="57"/>
      <c r="AL90" s="287"/>
      <c r="AM90" s="288"/>
      <c r="AN90" s="288"/>
      <c r="AO90" s="288"/>
      <c r="AP90" s="288"/>
      <c r="AQ90" s="288"/>
      <c r="AR90" s="288"/>
      <c r="AS90" s="207"/>
      <c r="AT90" s="116"/>
      <c r="AU90" s="67" t="s">
        <v>773</v>
      </c>
      <c r="AV90" s="251"/>
      <c r="AW90" s="67" t="s">
        <v>105</v>
      </c>
      <c r="AX90" s="113" t="s">
        <v>106</v>
      </c>
      <c r="AY90" s="222">
        <v>91423</v>
      </c>
      <c r="AZ90" s="57" t="s">
        <v>771</v>
      </c>
      <c r="BA90" s="317"/>
    </row>
    <row r="91" spans="1:53" s="210" customFormat="1" ht="14.15" customHeight="1" x14ac:dyDescent="0.4">
      <c r="A91" s="256" t="s">
        <v>775</v>
      </c>
      <c r="B91" s="67" t="s">
        <v>125</v>
      </c>
      <c r="C91" s="111" t="s">
        <v>109</v>
      </c>
      <c r="D91" s="115" t="s">
        <v>776</v>
      </c>
      <c r="E91" s="120" t="s">
        <v>100</v>
      </c>
      <c r="F91" s="82"/>
      <c r="G91" s="84"/>
      <c r="H91" s="90" t="s">
        <v>100</v>
      </c>
      <c r="I91" s="91"/>
      <c r="J91" s="97"/>
      <c r="K91" s="102"/>
      <c r="L91" s="327"/>
      <c r="M91" s="106">
        <v>44223</v>
      </c>
      <c r="N91" s="113" t="s">
        <v>777</v>
      </c>
      <c r="O91" s="113" t="s">
        <v>778</v>
      </c>
      <c r="P91" s="57"/>
      <c r="Q91" s="132">
        <v>0.10249999999999999</v>
      </c>
      <c r="R91" s="132"/>
      <c r="S91" s="63" t="s">
        <v>113</v>
      </c>
      <c r="T91" s="67" t="s">
        <v>779</v>
      </c>
      <c r="U91" s="67" t="s">
        <v>115</v>
      </c>
      <c r="V91" s="113" t="s">
        <v>106</v>
      </c>
      <c r="W91" s="222">
        <v>94605</v>
      </c>
      <c r="X91" s="141"/>
      <c r="Y91" s="236"/>
      <c r="Z91" s="236"/>
      <c r="AA91" s="200"/>
      <c r="AB91" s="130"/>
      <c r="AC91" s="202"/>
      <c r="AD91" s="200"/>
      <c r="AE91" s="113"/>
      <c r="AF91" s="113"/>
      <c r="AG91" s="113"/>
      <c r="AH91" s="113"/>
      <c r="AI91" s="130"/>
      <c r="AJ91" s="135"/>
      <c r="AK91" s="57"/>
      <c r="AL91" s="287"/>
      <c r="AM91" s="288"/>
      <c r="AN91" s="288"/>
      <c r="AO91" s="288"/>
      <c r="AP91" s="288"/>
      <c r="AQ91" s="288"/>
      <c r="AR91" s="288"/>
      <c r="AS91" s="207"/>
      <c r="AT91" s="116"/>
      <c r="AU91" s="67" t="s">
        <v>779</v>
      </c>
      <c r="AV91" s="251"/>
      <c r="AW91" s="67" t="s">
        <v>115</v>
      </c>
      <c r="AX91" s="113" t="s">
        <v>106</v>
      </c>
      <c r="AY91" s="222">
        <v>94605</v>
      </c>
      <c r="AZ91" s="199" t="s">
        <v>778</v>
      </c>
      <c r="BA91" s="317"/>
    </row>
    <row r="92" spans="1:53" s="210" customFormat="1" ht="14.15" customHeight="1" x14ac:dyDescent="0.4">
      <c r="A92" s="256" t="s">
        <v>780</v>
      </c>
      <c r="B92" s="67" t="s">
        <v>98</v>
      </c>
      <c r="C92" s="111" t="s">
        <v>781</v>
      </c>
      <c r="D92" s="115"/>
      <c r="E92" s="120" t="s">
        <v>100</v>
      </c>
      <c r="F92" s="82"/>
      <c r="G92" s="84"/>
      <c r="H92" s="90" t="s">
        <v>100</v>
      </c>
      <c r="I92" s="91"/>
      <c r="J92" s="97"/>
      <c r="K92" s="102">
        <v>46000</v>
      </c>
      <c r="L92" s="327"/>
      <c r="M92" s="106"/>
      <c r="N92" s="113" t="s">
        <v>782</v>
      </c>
      <c r="O92" s="113" t="s">
        <v>783</v>
      </c>
      <c r="P92" s="57" t="s">
        <v>784</v>
      </c>
      <c r="Q92" s="132">
        <v>9.7500000000000003E-2</v>
      </c>
      <c r="R92" s="132"/>
      <c r="S92" s="63" t="s">
        <v>3270</v>
      </c>
      <c r="T92" s="67" t="s">
        <v>785</v>
      </c>
      <c r="U92" s="67" t="s">
        <v>264</v>
      </c>
      <c r="V92" s="113" t="s">
        <v>106</v>
      </c>
      <c r="W92" s="222">
        <v>95448</v>
      </c>
      <c r="X92" s="139" t="s">
        <v>786</v>
      </c>
      <c r="Y92" s="139" t="s">
        <v>786</v>
      </c>
      <c r="Z92" s="139" t="s">
        <v>786</v>
      </c>
      <c r="AA92" s="200"/>
      <c r="AB92" s="130"/>
      <c r="AC92" s="202"/>
      <c r="AD92" s="200"/>
      <c r="AE92" s="113"/>
      <c r="AF92" s="113"/>
      <c r="AG92" s="113"/>
      <c r="AH92" s="113"/>
      <c r="AI92" s="130"/>
      <c r="AJ92" s="135"/>
      <c r="AK92" s="57"/>
      <c r="AL92" s="287" t="s">
        <v>251</v>
      </c>
      <c r="AM92" s="288">
        <v>13305</v>
      </c>
      <c r="AN92" s="288">
        <v>62245</v>
      </c>
      <c r="AO92" s="288"/>
      <c r="AP92" s="288"/>
      <c r="AQ92" s="288"/>
      <c r="AR92" s="288"/>
      <c r="AS92" s="207"/>
      <c r="AT92" s="116"/>
      <c r="AU92" s="67" t="s">
        <v>785</v>
      </c>
      <c r="AV92" s="251"/>
      <c r="AW92" s="67" t="s">
        <v>264</v>
      </c>
      <c r="AX92" s="113" t="s">
        <v>106</v>
      </c>
      <c r="AY92" s="222">
        <v>95448</v>
      </c>
      <c r="AZ92" s="199" t="s">
        <v>783</v>
      </c>
      <c r="BA92" s="317"/>
    </row>
    <row r="93" spans="1:53" s="210" customFormat="1" ht="14.15" customHeight="1" x14ac:dyDescent="0.4">
      <c r="A93" s="256" t="s">
        <v>787</v>
      </c>
      <c r="B93" s="67" t="s">
        <v>125</v>
      </c>
      <c r="C93" s="111" t="s">
        <v>99</v>
      </c>
      <c r="D93" s="79" t="s">
        <v>788</v>
      </c>
      <c r="E93" s="118" t="s">
        <v>100</v>
      </c>
      <c r="F93" s="80"/>
      <c r="G93" s="81"/>
      <c r="H93" s="92" t="s">
        <v>100</v>
      </c>
      <c r="I93" s="86"/>
      <c r="J93" s="96"/>
      <c r="K93" s="100">
        <v>45503</v>
      </c>
      <c r="L93" s="328"/>
      <c r="M93" s="104">
        <v>44743</v>
      </c>
      <c r="N93" s="128" t="s">
        <v>789</v>
      </c>
      <c r="O93" s="128" t="s">
        <v>790</v>
      </c>
      <c r="P93" s="59" t="s">
        <v>791</v>
      </c>
      <c r="Q93" s="132">
        <v>9.2499999999999999E-2</v>
      </c>
      <c r="R93" s="132">
        <v>9.2499999999999999E-2</v>
      </c>
      <c r="S93" s="63" t="s">
        <v>226</v>
      </c>
      <c r="T93" s="67" t="s">
        <v>792</v>
      </c>
      <c r="U93" s="67" t="s">
        <v>228</v>
      </c>
      <c r="V93" s="79" t="s">
        <v>106</v>
      </c>
      <c r="W93" s="76">
        <v>94901</v>
      </c>
      <c r="X93" s="141" t="s">
        <v>793</v>
      </c>
      <c r="Y93" s="236"/>
      <c r="Z93" s="234"/>
      <c r="AA93" s="79" t="s">
        <v>794</v>
      </c>
      <c r="AB93" s="135"/>
      <c r="AC93" s="136" t="s">
        <v>795</v>
      </c>
      <c r="AD93" s="79"/>
      <c r="AE93" s="128"/>
      <c r="AF93" s="128"/>
      <c r="AG93" s="128"/>
      <c r="AH93" s="128"/>
      <c r="AI93" s="135" t="s">
        <v>0</v>
      </c>
      <c r="AJ93" s="135" t="s">
        <v>116</v>
      </c>
      <c r="AK93" s="58"/>
      <c r="AL93" s="289" t="s">
        <v>251</v>
      </c>
      <c r="AM93" s="289"/>
      <c r="AN93" s="289">
        <v>15741</v>
      </c>
      <c r="AO93" s="289"/>
      <c r="AP93" s="289"/>
      <c r="AQ93" s="289" t="s">
        <v>796</v>
      </c>
      <c r="AR93" s="289"/>
      <c r="AS93" s="207" t="s">
        <v>132</v>
      </c>
      <c r="AT93" s="116" t="s">
        <v>670</v>
      </c>
      <c r="AU93" s="67" t="str">
        <f>PROPER(AV93)</f>
        <v>93 Woodland Avenue</v>
      </c>
      <c r="AV93" s="66" t="s">
        <v>797</v>
      </c>
      <c r="AW93" s="67" t="s">
        <v>228</v>
      </c>
      <c r="AX93" s="79" t="s">
        <v>106</v>
      </c>
      <c r="AY93" s="76">
        <v>94901</v>
      </c>
      <c r="AZ93" s="77" t="s">
        <v>790</v>
      </c>
      <c r="BA93" s="317"/>
    </row>
    <row r="94" spans="1:53" s="210" customFormat="1" ht="14.15" customHeight="1" x14ac:dyDescent="0.4">
      <c r="A94" s="256" t="s">
        <v>798</v>
      </c>
      <c r="B94" s="67" t="s">
        <v>98</v>
      </c>
      <c r="C94" s="111" t="s">
        <v>99</v>
      </c>
      <c r="D94" s="113"/>
      <c r="E94" s="120" t="s">
        <v>100</v>
      </c>
      <c r="F94" s="82"/>
      <c r="G94" s="84"/>
      <c r="H94" s="90" t="s">
        <v>100</v>
      </c>
      <c r="I94" s="91"/>
      <c r="J94" s="97"/>
      <c r="K94" s="102">
        <v>44662</v>
      </c>
      <c r="L94" s="327"/>
      <c r="M94" s="106"/>
      <c r="N94" s="113" t="s">
        <v>799</v>
      </c>
      <c r="O94" s="113" t="s">
        <v>800</v>
      </c>
      <c r="P94" s="57"/>
      <c r="Q94" s="132">
        <v>9.375E-2</v>
      </c>
      <c r="R94" s="132">
        <v>0.09</v>
      </c>
      <c r="S94" s="63" t="s">
        <v>146</v>
      </c>
      <c r="T94" s="67" t="s">
        <v>801</v>
      </c>
      <c r="U94" s="67" t="s">
        <v>148</v>
      </c>
      <c r="V94" s="113" t="s">
        <v>106</v>
      </c>
      <c r="W94" s="222">
        <v>95118</v>
      </c>
      <c r="X94" s="147"/>
      <c r="Y94" s="236"/>
      <c r="Z94" s="236"/>
      <c r="AA94" s="200" t="s">
        <v>802</v>
      </c>
      <c r="AB94" s="130"/>
      <c r="AC94" s="202"/>
      <c r="AD94" s="200"/>
      <c r="AE94" s="113"/>
      <c r="AF94" s="113"/>
      <c r="AG94" s="113"/>
      <c r="AH94" s="113"/>
      <c r="AI94" s="130" t="s">
        <v>0</v>
      </c>
      <c r="AJ94" s="135" t="s">
        <v>116</v>
      </c>
      <c r="AK94" s="57"/>
      <c r="AL94" s="287" t="s">
        <v>289</v>
      </c>
      <c r="AM94" s="288">
        <v>13305</v>
      </c>
      <c r="AN94" s="288"/>
      <c r="AO94" s="288">
        <v>62245</v>
      </c>
      <c r="AP94" s="288"/>
      <c r="AQ94" s="288"/>
      <c r="AR94" s="288"/>
      <c r="AS94" s="207" t="s">
        <v>132</v>
      </c>
      <c r="AT94" s="116" t="s">
        <v>670</v>
      </c>
      <c r="AU94" s="67" t="s">
        <v>801</v>
      </c>
      <c r="AV94" s="251"/>
      <c r="AW94" s="67" t="s">
        <v>148</v>
      </c>
      <c r="AX94" s="113" t="s">
        <v>106</v>
      </c>
      <c r="AY94" s="222">
        <v>95118</v>
      </c>
      <c r="AZ94" s="199" t="s">
        <v>800</v>
      </c>
      <c r="BA94" s="75"/>
    </row>
    <row r="95" spans="1:53" s="251" customFormat="1" ht="14.15" customHeight="1" x14ac:dyDescent="0.4">
      <c r="A95" s="256" t="s">
        <v>803</v>
      </c>
      <c r="B95" s="67" t="s">
        <v>98</v>
      </c>
      <c r="C95" s="111" t="s">
        <v>99</v>
      </c>
      <c r="D95" s="113"/>
      <c r="E95" s="120" t="s">
        <v>100</v>
      </c>
      <c r="F95" s="82"/>
      <c r="G95" s="84"/>
      <c r="H95" s="90" t="s">
        <v>100</v>
      </c>
      <c r="I95" s="91"/>
      <c r="J95" s="97"/>
      <c r="K95" s="102">
        <v>43840</v>
      </c>
      <c r="L95" s="327"/>
      <c r="M95" s="106">
        <v>43587</v>
      </c>
      <c r="N95" s="113" t="s">
        <v>804</v>
      </c>
      <c r="O95" s="113" t="s">
        <v>805</v>
      </c>
      <c r="P95" s="57" t="s">
        <v>806</v>
      </c>
      <c r="Q95" s="132">
        <v>9.375E-2</v>
      </c>
      <c r="R95" s="132">
        <v>0.09</v>
      </c>
      <c r="S95" s="63" t="s">
        <v>146</v>
      </c>
      <c r="T95" s="67" t="s">
        <v>807</v>
      </c>
      <c r="U95" s="67" t="s">
        <v>148</v>
      </c>
      <c r="V95" s="113" t="s">
        <v>106</v>
      </c>
      <c r="W95" s="222">
        <v>95113</v>
      </c>
      <c r="X95" s="141" t="s">
        <v>808</v>
      </c>
      <c r="Y95" s="236"/>
      <c r="Z95" s="236"/>
      <c r="AA95" s="200" t="s">
        <v>809</v>
      </c>
      <c r="AB95" s="130" t="s">
        <v>810</v>
      </c>
      <c r="AC95" s="202" t="s">
        <v>811</v>
      </c>
      <c r="AD95" s="200" t="s">
        <v>812</v>
      </c>
      <c r="AE95" s="113" t="s">
        <v>813</v>
      </c>
      <c r="AF95" s="113" t="s">
        <v>814</v>
      </c>
      <c r="AG95" s="113" t="s">
        <v>815</v>
      </c>
      <c r="AH95" s="113"/>
      <c r="AI95" s="130" t="s">
        <v>816</v>
      </c>
      <c r="AJ95" s="135" t="s">
        <v>116</v>
      </c>
      <c r="AK95" s="57"/>
      <c r="AL95" s="287" t="s">
        <v>289</v>
      </c>
      <c r="AM95" s="288">
        <v>13305</v>
      </c>
      <c r="AN95" s="288" t="s">
        <v>290</v>
      </c>
      <c r="AO95" s="288">
        <v>62245</v>
      </c>
      <c r="AP95" s="288">
        <v>62235</v>
      </c>
      <c r="AQ95" s="288"/>
      <c r="AR95" s="288"/>
      <c r="AS95" s="207" t="s">
        <v>132</v>
      </c>
      <c r="AT95" s="116" t="s">
        <v>670</v>
      </c>
      <c r="AU95" s="67" t="str">
        <f>PROPER(AV95)</f>
        <v>173 W. Santa Clara Street</v>
      </c>
      <c r="AV95" s="251" t="s">
        <v>817</v>
      </c>
      <c r="AW95" s="67" t="s">
        <v>148</v>
      </c>
      <c r="AX95" s="113" t="s">
        <v>106</v>
      </c>
      <c r="AY95" s="222">
        <v>95113</v>
      </c>
      <c r="AZ95" s="199" t="s">
        <v>805</v>
      </c>
      <c r="BA95" s="75"/>
    </row>
    <row r="96" spans="1:53" s="251" customFormat="1" ht="14.15" customHeight="1" x14ac:dyDescent="0.4">
      <c r="A96" s="256" t="s">
        <v>818</v>
      </c>
      <c r="B96" s="67" t="s">
        <v>98</v>
      </c>
      <c r="C96" s="110" t="s">
        <v>563</v>
      </c>
      <c r="D96" s="113"/>
      <c r="E96" s="120" t="s">
        <v>100</v>
      </c>
      <c r="F96" s="82"/>
      <c r="G96" s="84"/>
      <c r="H96" s="90" t="s">
        <v>100</v>
      </c>
      <c r="I96" s="91"/>
      <c r="J96" s="97"/>
      <c r="K96" s="102">
        <v>45966</v>
      </c>
      <c r="L96" s="327"/>
      <c r="M96" s="106"/>
      <c r="N96" s="113" t="s">
        <v>819</v>
      </c>
      <c r="O96" s="113" t="s">
        <v>820</v>
      </c>
      <c r="P96" s="57" t="s">
        <v>821</v>
      </c>
      <c r="Q96" s="132">
        <v>9.2499999999999999E-2</v>
      </c>
      <c r="R96" s="132">
        <v>8.5000000000000006E-2</v>
      </c>
      <c r="S96" s="63" t="s">
        <v>759</v>
      </c>
      <c r="T96" s="67" t="s">
        <v>822</v>
      </c>
      <c r="U96" s="67" t="s">
        <v>823</v>
      </c>
      <c r="V96" s="113" t="s">
        <v>106</v>
      </c>
      <c r="W96" s="222">
        <v>94941</v>
      </c>
      <c r="X96" s="141" t="s">
        <v>824</v>
      </c>
      <c r="Y96" s="139" t="s">
        <v>825</v>
      </c>
      <c r="Z96" s="236"/>
      <c r="AA96" s="200"/>
      <c r="AB96" s="130"/>
      <c r="AC96" s="202"/>
      <c r="AD96" s="200"/>
      <c r="AE96" s="113"/>
      <c r="AF96" s="113"/>
      <c r="AG96" s="113"/>
      <c r="AH96" s="113"/>
      <c r="AI96" s="130" t="s">
        <v>826</v>
      </c>
      <c r="AJ96" s="135" t="s">
        <v>116</v>
      </c>
      <c r="AK96" s="57"/>
      <c r="AL96" s="290" t="s">
        <v>149</v>
      </c>
      <c r="AM96" s="290">
        <v>13305</v>
      </c>
      <c r="AN96" s="290" t="s">
        <v>198</v>
      </c>
      <c r="AO96" s="290">
        <v>62245</v>
      </c>
      <c r="AP96" s="290"/>
      <c r="AQ96" s="290">
        <v>15741</v>
      </c>
      <c r="AR96" s="290"/>
      <c r="AS96" s="207" t="s">
        <v>132</v>
      </c>
      <c r="AT96" s="116" t="s">
        <v>670</v>
      </c>
      <c r="AU96" s="67" t="s">
        <v>822</v>
      </c>
      <c r="AW96" s="67" t="s">
        <v>823</v>
      </c>
      <c r="AX96" s="113" t="s">
        <v>106</v>
      </c>
      <c r="AY96" s="222">
        <v>94941</v>
      </c>
      <c r="AZ96" s="199" t="s">
        <v>820</v>
      </c>
      <c r="BA96" s="207"/>
    </row>
    <row r="97" spans="1:53" s="251" customFormat="1" ht="14.15" customHeight="1" x14ac:dyDescent="0.4">
      <c r="A97" s="256" t="s">
        <v>827</v>
      </c>
      <c r="B97" s="67" t="s">
        <v>244</v>
      </c>
      <c r="C97" s="111" t="s">
        <v>221</v>
      </c>
      <c r="D97" s="115"/>
      <c r="E97" s="120" t="s">
        <v>173</v>
      </c>
      <c r="F97" s="82" t="s">
        <v>174</v>
      </c>
      <c r="G97" s="84"/>
      <c r="H97" s="90"/>
      <c r="I97" s="91"/>
      <c r="J97" s="97"/>
      <c r="K97" s="102">
        <v>45607</v>
      </c>
      <c r="L97" s="327"/>
      <c r="M97" s="106"/>
      <c r="N97" s="113" t="s">
        <v>828</v>
      </c>
      <c r="O97" s="113" t="s">
        <v>829</v>
      </c>
      <c r="P97" s="57"/>
      <c r="Q97" s="132">
        <v>0.10249999999999999</v>
      </c>
      <c r="R97" s="132"/>
      <c r="S97" s="63" t="s">
        <v>653</v>
      </c>
      <c r="T97" s="67" t="s">
        <v>830</v>
      </c>
      <c r="U97" s="67" t="s">
        <v>653</v>
      </c>
      <c r="V97" s="113" t="s">
        <v>106</v>
      </c>
      <c r="W97" s="222">
        <v>94952</v>
      </c>
      <c r="X97" s="141"/>
      <c r="Y97" s="236"/>
      <c r="Z97" s="236"/>
      <c r="AA97" s="200"/>
      <c r="AB97" s="130"/>
      <c r="AC97" s="202"/>
      <c r="AD97" s="200"/>
      <c r="AE97" s="113"/>
      <c r="AF97" s="113"/>
      <c r="AG97" s="113"/>
      <c r="AH97" s="113"/>
      <c r="AI97" s="130"/>
      <c r="AJ97" s="135"/>
      <c r="AK97" s="57"/>
      <c r="AL97" s="287" t="s">
        <v>251</v>
      </c>
      <c r="AM97" s="288">
        <v>13305</v>
      </c>
      <c r="AN97" s="288"/>
      <c r="AO97" s="288">
        <v>62245</v>
      </c>
      <c r="AP97" s="288"/>
      <c r="AQ97" s="288"/>
      <c r="AR97" s="288"/>
      <c r="AS97" s="207"/>
      <c r="AT97" s="116"/>
      <c r="AU97" s="67" t="s">
        <v>830</v>
      </c>
      <c r="AW97" s="67" t="s">
        <v>653</v>
      </c>
      <c r="AX97" s="113" t="s">
        <v>106</v>
      </c>
      <c r="AY97" s="222">
        <v>94952</v>
      </c>
      <c r="AZ97" s="199" t="s">
        <v>829</v>
      </c>
      <c r="BA97" s="317"/>
    </row>
    <row r="98" spans="1:53" s="251" customFormat="1" ht="14.15" customHeight="1" x14ac:dyDescent="0.4">
      <c r="A98" s="256" t="s">
        <v>831</v>
      </c>
      <c r="B98" s="67" t="s">
        <v>98</v>
      </c>
      <c r="C98" s="110" t="s">
        <v>99</v>
      </c>
      <c r="D98" s="113"/>
      <c r="E98" s="120" t="s">
        <v>100</v>
      </c>
      <c r="F98" s="82"/>
      <c r="G98" s="84"/>
      <c r="H98" s="90" t="s">
        <v>100</v>
      </c>
      <c r="I98" s="91"/>
      <c r="J98" s="97"/>
      <c r="K98" s="102">
        <v>45923</v>
      </c>
      <c r="L98" s="327"/>
      <c r="M98" s="106"/>
      <c r="N98" s="113" t="s">
        <v>832</v>
      </c>
      <c r="O98" s="113" t="s">
        <v>833</v>
      </c>
      <c r="P98" s="57"/>
      <c r="Q98" s="132">
        <v>8.7499999999999994E-2</v>
      </c>
      <c r="R98" s="132"/>
      <c r="S98" s="63" t="s">
        <v>205</v>
      </c>
      <c r="T98" s="67" t="s">
        <v>834</v>
      </c>
      <c r="U98" s="67" t="s">
        <v>835</v>
      </c>
      <c r="V98" s="113" t="s">
        <v>106</v>
      </c>
      <c r="W98" s="222">
        <v>94569</v>
      </c>
      <c r="X98" s="141" t="s">
        <v>836</v>
      </c>
      <c r="Y98" s="139" t="s">
        <v>837</v>
      </c>
      <c r="Z98" s="139" t="s">
        <v>836</v>
      </c>
      <c r="AA98" s="200"/>
      <c r="AB98" s="130"/>
      <c r="AC98" s="202"/>
      <c r="AD98" s="200"/>
      <c r="AE98" s="113"/>
      <c r="AF98" s="113"/>
      <c r="AG98" s="113"/>
      <c r="AH98" s="113"/>
      <c r="AI98" s="130"/>
      <c r="AJ98" s="135"/>
      <c r="AK98" s="57"/>
      <c r="AL98" s="290" t="s">
        <v>251</v>
      </c>
      <c r="AM98" s="288">
        <v>13305</v>
      </c>
      <c r="AN98" s="290"/>
      <c r="AO98" s="290">
        <v>62245</v>
      </c>
      <c r="AP98" s="290"/>
      <c r="AQ98" s="290"/>
      <c r="AR98" s="290"/>
      <c r="AS98" s="207" t="s">
        <v>132</v>
      </c>
      <c r="AT98" s="116" t="s">
        <v>670</v>
      </c>
      <c r="AU98" s="67" t="s">
        <v>838</v>
      </c>
      <c r="AW98" s="67" t="s">
        <v>835</v>
      </c>
      <c r="AX98" s="113" t="s">
        <v>106</v>
      </c>
      <c r="AY98" s="222">
        <v>94569</v>
      </c>
      <c r="AZ98" s="199" t="s">
        <v>833</v>
      </c>
      <c r="BA98" s="317"/>
    </row>
    <row r="99" spans="1:53" ht="14.15" customHeight="1" x14ac:dyDescent="0.4">
      <c r="A99" s="256" t="s">
        <v>839</v>
      </c>
      <c r="B99" s="67" t="s">
        <v>98</v>
      </c>
      <c r="C99" s="110" t="s">
        <v>563</v>
      </c>
      <c r="D99" s="113"/>
      <c r="E99" s="120" t="s">
        <v>100</v>
      </c>
      <c r="F99" s="82"/>
      <c r="G99" s="84"/>
      <c r="H99" s="90" t="s">
        <v>100</v>
      </c>
      <c r="I99" s="91"/>
      <c r="J99" s="97"/>
      <c r="K99" s="102">
        <v>45838</v>
      </c>
      <c r="L99" s="327"/>
      <c r="M99" s="106"/>
      <c r="N99" s="113" t="s">
        <v>819</v>
      </c>
      <c r="O99" s="113" t="s">
        <v>840</v>
      </c>
      <c r="P99" s="57" t="s">
        <v>821</v>
      </c>
      <c r="Q99" s="132">
        <v>9.2499999999999999E-2</v>
      </c>
      <c r="R99" s="132">
        <v>8.5000000000000006E-2</v>
      </c>
      <c r="S99" s="63" t="s">
        <v>759</v>
      </c>
      <c r="T99" s="67" t="s">
        <v>841</v>
      </c>
      <c r="U99" s="67" t="s">
        <v>823</v>
      </c>
      <c r="V99" s="113" t="s">
        <v>106</v>
      </c>
      <c r="W99" s="222">
        <v>94941</v>
      </c>
      <c r="X99" s="139" t="s">
        <v>824</v>
      </c>
      <c r="Y99" s="139" t="s">
        <v>842</v>
      </c>
      <c r="Z99" s="139" t="s">
        <v>842</v>
      </c>
      <c r="AA99" s="200" t="s">
        <v>843</v>
      </c>
      <c r="AB99" s="130" t="s">
        <v>844</v>
      </c>
      <c r="AC99" s="202"/>
      <c r="AD99" s="200"/>
      <c r="AE99" s="113"/>
      <c r="AF99" s="113"/>
      <c r="AG99" s="113"/>
      <c r="AH99" s="113"/>
      <c r="AI99" s="130" t="s">
        <v>845</v>
      </c>
      <c r="AJ99" s="135" t="s">
        <v>116</v>
      </c>
      <c r="AK99" s="57"/>
      <c r="AL99" s="289" t="s">
        <v>149</v>
      </c>
      <c r="AM99" s="289">
        <v>13305</v>
      </c>
      <c r="AN99" s="289" t="s">
        <v>198</v>
      </c>
      <c r="AO99" s="289">
        <v>62245</v>
      </c>
      <c r="AP99" s="289"/>
      <c r="AQ99" s="289"/>
      <c r="AR99" s="289"/>
      <c r="AS99" s="207" t="s">
        <v>132</v>
      </c>
      <c r="AT99" s="116" t="s">
        <v>670</v>
      </c>
      <c r="AU99" s="67" t="s">
        <v>841</v>
      </c>
      <c r="AV99" s="251"/>
      <c r="AW99" s="67" t="s">
        <v>823</v>
      </c>
      <c r="AX99" s="113" t="s">
        <v>106</v>
      </c>
      <c r="AY99" s="222">
        <v>94941</v>
      </c>
      <c r="AZ99" s="199" t="s">
        <v>840</v>
      </c>
      <c r="BA99" s="207"/>
    </row>
    <row r="100" spans="1:53" ht="14.15" customHeight="1" x14ac:dyDescent="0.4">
      <c r="A100" s="256" t="s">
        <v>846</v>
      </c>
      <c r="B100" s="67" t="s">
        <v>125</v>
      </c>
      <c r="C100" s="111" t="s">
        <v>99</v>
      </c>
      <c r="D100" s="115" t="s">
        <v>847</v>
      </c>
      <c r="E100" s="120" t="s">
        <v>100</v>
      </c>
      <c r="F100" s="82"/>
      <c r="G100" s="84"/>
      <c r="H100" s="90" t="s">
        <v>100</v>
      </c>
      <c r="I100" s="91"/>
      <c r="J100" s="97"/>
      <c r="K100" s="102">
        <v>44729</v>
      </c>
      <c r="L100" s="327"/>
      <c r="M100" s="106">
        <v>44729</v>
      </c>
      <c r="N100" s="113" t="s">
        <v>848</v>
      </c>
      <c r="O100" s="113"/>
      <c r="P100" s="57"/>
      <c r="Q100" s="132">
        <v>0.1</v>
      </c>
      <c r="R100" s="132"/>
      <c r="S100" s="63" t="s">
        <v>186</v>
      </c>
      <c r="T100" s="67" t="s">
        <v>849</v>
      </c>
      <c r="U100" s="67" t="s">
        <v>188</v>
      </c>
      <c r="V100" s="113" t="s">
        <v>106</v>
      </c>
      <c r="W100" s="222">
        <v>95322</v>
      </c>
      <c r="X100" s="141"/>
      <c r="Z100" s="236"/>
      <c r="AA100" s="200"/>
      <c r="AB100" s="130"/>
      <c r="AC100" s="202"/>
      <c r="AD100" s="200"/>
      <c r="AE100" s="113"/>
      <c r="AF100" s="113"/>
      <c r="AG100" s="113"/>
      <c r="AH100" s="113"/>
      <c r="AI100" s="130"/>
      <c r="AK100" s="57"/>
      <c r="AL100" s="287">
        <v>15157</v>
      </c>
      <c r="AS100" s="207"/>
      <c r="AV100" s="251"/>
      <c r="AX100" s="113"/>
      <c r="AY100" s="222"/>
      <c r="AZ100" s="199"/>
      <c r="BA100" s="317"/>
    </row>
    <row r="101" spans="1:53" ht="14.15" customHeight="1" x14ac:dyDescent="0.4">
      <c r="A101" s="256" t="s">
        <v>850</v>
      </c>
      <c r="B101" s="67" t="s">
        <v>253</v>
      </c>
      <c r="C101" s="111" t="s">
        <v>119</v>
      </c>
      <c r="D101" s="115"/>
      <c r="E101" s="120" t="s">
        <v>173</v>
      </c>
      <c r="F101" s="82" t="s">
        <v>174</v>
      </c>
      <c r="G101" s="84"/>
      <c r="H101" s="90" t="s">
        <v>253</v>
      </c>
      <c r="I101" s="91"/>
      <c r="J101" s="97"/>
      <c r="K101" s="102"/>
      <c r="L101" s="327"/>
      <c r="M101" s="106">
        <v>44981</v>
      </c>
      <c r="N101" s="113" t="s">
        <v>851</v>
      </c>
      <c r="O101" s="113" t="s">
        <v>852</v>
      </c>
      <c r="P101" s="57"/>
      <c r="Q101" s="132">
        <v>8.6249999999999993E-2</v>
      </c>
      <c r="R101" s="132"/>
      <c r="S101" s="63" t="s">
        <v>103</v>
      </c>
      <c r="T101" s="67" t="s">
        <v>853</v>
      </c>
      <c r="U101" s="67" t="s">
        <v>105</v>
      </c>
      <c r="V101" s="113" t="s">
        <v>106</v>
      </c>
      <c r="W101" s="222">
        <v>94132</v>
      </c>
      <c r="X101" s="141"/>
      <c r="Z101" s="236"/>
      <c r="AA101" s="200"/>
      <c r="AB101" s="130"/>
      <c r="AC101" s="202"/>
      <c r="AD101" s="200"/>
      <c r="AE101" s="113"/>
      <c r="AF101" s="113"/>
      <c r="AG101" s="113"/>
      <c r="AH101" s="113"/>
      <c r="AI101" s="130"/>
      <c r="AK101" s="57"/>
      <c r="AS101" s="207"/>
      <c r="AT101" s="116" t="s">
        <v>406</v>
      </c>
      <c r="AU101" s="67" t="s">
        <v>853</v>
      </c>
      <c r="AV101" s="251"/>
      <c r="AW101" s="67" t="s">
        <v>105</v>
      </c>
      <c r="AX101" s="113" t="s">
        <v>106</v>
      </c>
      <c r="AY101" s="222">
        <v>94132</v>
      </c>
      <c r="AZ101" s="199" t="s">
        <v>852</v>
      </c>
      <c r="BA101" s="317"/>
    </row>
    <row r="102" spans="1:53" ht="14.15" customHeight="1" x14ac:dyDescent="0.4">
      <c r="A102" s="256" t="s">
        <v>854</v>
      </c>
      <c r="B102" s="67" t="s">
        <v>244</v>
      </c>
      <c r="C102" s="111" t="s">
        <v>435</v>
      </c>
      <c r="D102" s="113"/>
      <c r="E102" s="120" t="s">
        <v>173</v>
      </c>
      <c r="F102" s="80" t="s">
        <v>174</v>
      </c>
      <c r="G102" s="84"/>
      <c r="H102" s="90" t="s">
        <v>253</v>
      </c>
      <c r="I102" s="93"/>
      <c r="J102" s="97"/>
      <c r="K102" s="102"/>
      <c r="L102" s="327"/>
      <c r="M102" s="106">
        <v>44649</v>
      </c>
      <c r="N102" s="113" t="s">
        <v>855</v>
      </c>
      <c r="O102" s="113" t="s">
        <v>856</v>
      </c>
      <c r="P102" s="57" t="s">
        <v>856</v>
      </c>
      <c r="Q102" s="132">
        <v>9.2499999999999999E-2</v>
      </c>
      <c r="R102" s="132">
        <v>7.4999999999999997E-2</v>
      </c>
      <c r="S102" s="63" t="s">
        <v>154</v>
      </c>
      <c r="T102" s="67" t="s">
        <v>857</v>
      </c>
      <c r="U102" s="67" t="s">
        <v>156</v>
      </c>
      <c r="V102" s="113" t="s">
        <v>106</v>
      </c>
      <c r="W102" s="222">
        <v>95928</v>
      </c>
      <c r="X102" s="141" t="s">
        <v>858</v>
      </c>
      <c r="Y102" s="312" t="s">
        <v>859</v>
      </c>
      <c r="Z102" s="139" t="s">
        <v>860</v>
      </c>
      <c r="AA102" s="200" t="s">
        <v>861</v>
      </c>
      <c r="AB102" s="130" t="s">
        <v>862</v>
      </c>
      <c r="AC102" s="202"/>
      <c r="AD102" s="200"/>
      <c r="AE102" s="113"/>
      <c r="AF102" s="113"/>
      <c r="AG102" s="113"/>
      <c r="AH102" s="113"/>
      <c r="AI102" s="130" t="s">
        <v>0</v>
      </c>
      <c r="AJ102" s="135" t="s">
        <v>116</v>
      </c>
      <c r="AK102" s="57"/>
      <c r="AL102" s="290"/>
      <c r="AM102" s="290"/>
      <c r="AN102" s="290"/>
      <c r="AO102" s="290"/>
      <c r="AP102" s="290"/>
      <c r="AQ102" s="290"/>
      <c r="AR102" s="290"/>
      <c r="AS102" s="207" t="s">
        <v>132</v>
      </c>
      <c r="AT102" s="116" t="s">
        <v>447</v>
      </c>
      <c r="AU102" s="67" t="str">
        <f>PROPER(AV102)</f>
        <v>265 Humbolt Avenue</v>
      </c>
      <c r="AV102" s="251" t="s">
        <v>863</v>
      </c>
      <c r="AW102" s="67" t="s">
        <v>156</v>
      </c>
      <c r="AX102" s="113" t="s">
        <v>106</v>
      </c>
      <c r="AY102" s="222">
        <v>95928</v>
      </c>
      <c r="AZ102" s="199" t="s">
        <v>856</v>
      </c>
    </row>
    <row r="103" spans="1:53" ht="14.15" customHeight="1" x14ac:dyDescent="0.4">
      <c r="A103" s="256" t="s">
        <v>864</v>
      </c>
      <c r="B103" s="67" t="s">
        <v>98</v>
      </c>
      <c r="C103" s="111" t="s">
        <v>99</v>
      </c>
      <c r="D103" s="113"/>
      <c r="E103" s="120" t="s">
        <v>100</v>
      </c>
      <c r="F103" s="82"/>
      <c r="G103" s="84"/>
      <c r="H103" s="90" t="s">
        <v>100</v>
      </c>
      <c r="I103" s="91"/>
      <c r="J103" s="97"/>
      <c r="K103" s="102">
        <v>44987</v>
      </c>
      <c r="L103" s="327"/>
      <c r="M103" s="106">
        <v>44449</v>
      </c>
      <c r="N103" s="113" t="s">
        <v>865</v>
      </c>
      <c r="O103" s="113" t="s">
        <v>866</v>
      </c>
      <c r="P103" s="57" t="s">
        <v>867</v>
      </c>
      <c r="Q103" s="132">
        <v>9.5000000000000001E-2</v>
      </c>
      <c r="R103" s="132">
        <v>8.7499999999999994E-2</v>
      </c>
      <c r="S103" s="63" t="s">
        <v>6341</v>
      </c>
      <c r="T103" s="67" t="s">
        <v>868</v>
      </c>
      <c r="U103" s="67" t="s">
        <v>869</v>
      </c>
      <c r="V103" s="113" t="s">
        <v>106</v>
      </c>
      <c r="W103" s="222">
        <v>95476</v>
      </c>
      <c r="Z103" s="236"/>
      <c r="AA103" s="200"/>
      <c r="AB103" s="130"/>
      <c r="AC103" s="202"/>
      <c r="AD103" s="200"/>
      <c r="AE103" s="113"/>
      <c r="AF103" s="113"/>
      <c r="AG103" s="113"/>
      <c r="AH103" s="113"/>
      <c r="AI103" s="130" t="s">
        <v>870</v>
      </c>
      <c r="AJ103" s="135" t="s">
        <v>116</v>
      </c>
      <c r="AK103" s="57"/>
      <c r="AL103" s="289" t="s">
        <v>289</v>
      </c>
      <c r="AM103" s="289"/>
      <c r="AN103" s="289"/>
      <c r="AO103" s="289"/>
      <c r="AP103" s="289"/>
      <c r="AQ103" s="289"/>
      <c r="AR103" s="289"/>
      <c r="AS103" s="207" t="s">
        <v>132</v>
      </c>
      <c r="AT103" s="116" t="s">
        <v>447</v>
      </c>
      <c r="AU103" s="67" t="str">
        <f>PROPER(AV103)</f>
        <v>140 East Napa Street</v>
      </c>
      <c r="AV103" s="251" t="s">
        <v>871</v>
      </c>
      <c r="AW103" s="67" t="s">
        <v>869</v>
      </c>
      <c r="AX103" s="113" t="s">
        <v>106</v>
      </c>
      <c r="AY103" s="222">
        <v>95476</v>
      </c>
      <c r="AZ103" s="199" t="s">
        <v>866</v>
      </c>
      <c r="BA103" s="317"/>
    </row>
    <row r="104" spans="1:53" s="210" customFormat="1" ht="14.15" customHeight="1" x14ac:dyDescent="0.4">
      <c r="A104" s="256" t="s">
        <v>872</v>
      </c>
      <c r="B104" s="67" t="s">
        <v>98</v>
      </c>
      <c r="C104" s="111" t="s">
        <v>99</v>
      </c>
      <c r="D104" s="115"/>
      <c r="E104" s="120" t="s">
        <v>100</v>
      </c>
      <c r="F104" s="82"/>
      <c r="G104" s="84"/>
      <c r="H104" s="90" t="s">
        <v>100</v>
      </c>
      <c r="I104" s="91"/>
      <c r="J104" s="97"/>
      <c r="K104" s="102">
        <v>45835</v>
      </c>
      <c r="L104" s="327"/>
      <c r="M104" s="106">
        <v>45023</v>
      </c>
      <c r="N104" s="113" t="s">
        <v>873</v>
      </c>
      <c r="O104" s="113" t="s">
        <v>874</v>
      </c>
      <c r="P104" s="57"/>
      <c r="Q104" s="132">
        <v>0.09</v>
      </c>
      <c r="R104" s="132"/>
      <c r="S104" s="63" t="s">
        <v>875</v>
      </c>
      <c r="T104" s="67" t="s">
        <v>876</v>
      </c>
      <c r="U104" s="67" t="s">
        <v>875</v>
      </c>
      <c r="V104" s="113" t="s">
        <v>106</v>
      </c>
      <c r="W104" s="222">
        <v>94930</v>
      </c>
      <c r="X104" s="141"/>
      <c r="Y104" s="236"/>
      <c r="Z104" s="236"/>
      <c r="AA104" s="200"/>
      <c r="AB104" s="130"/>
      <c r="AC104" s="202"/>
      <c r="AD104" s="200"/>
      <c r="AE104" s="113"/>
      <c r="AF104" s="113"/>
      <c r="AG104" s="113"/>
      <c r="AH104" s="113"/>
      <c r="AI104" s="130"/>
      <c r="AJ104" s="135"/>
      <c r="AK104" s="57"/>
      <c r="AL104" s="287" t="s">
        <v>251</v>
      </c>
      <c r="AM104" s="288">
        <v>13305</v>
      </c>
      <c r="AN104" s="288" t="s">
        <v>198</v>
      </c>
      <c r="AO104" s="288">
        <v>62245</v>
      </c>
      <c r="AP104" s="288"/>
      <c r="AQ104" s="288">
        <v>15741</v>
      </c>
      <c r="AR104" s="288"/>
      <c r="AS104" s="207"/>
      <c r="AT104" s="116"/>
      <c r="AU104" s="67" t="s">
        <v>876</v>
      </c>
      <c r="AV104" s="251"/>
      <c r="AW104" s="67" t="s">
        <v>875</v>
      </c>
      <c r="AX104" s="113" t="s">
        <v>106</v>
      </c>
      <c r="AY104" s="222">
        <v>94930</v>
      </c>
      <c r="AZ104" s="199" t="s">
        <v>874</v>
      </c>
      <c r="BA104" s="317"/>
    </row>
    <row r="105" spans="1:53" s="251" customFormat="1" ht="14.15" customHeight="1" x14ac:dyDescent="0.4">
      <c r="A105" s="256" t="s">
        <v>877</v>
      </c>
      <c r="B105" s="67" t="s">
        <v>244</v>
      </c>
      <c r="C105" s="111" t="s">
        <v>878</v>
      </c>
      <c r="D105" s="115"/>
      <c r="E105" s="120" t="s">
        <v>173</v>
      </c>
      <c r="F105" s="82" t="s">
        <v>174</v>
      </c>
      <c r="G105" s="84"/>
      <c r="H105" s="90"/>
      <c r="I105" s="91"/>
      <c r="J105" s="97"/>
      <c r="K105" s="102">
        <v>44713</v>
      </c>
      <c r="L105" s="327"/>
      <c r="M105" s="106"/>
      <c r="N105" s="113" t="s">
        <v>879</v>
      </c>
      <c r="O105" s="113" t="s">
        <v>880</v>
      </c>
      <c r="P105" s="57"/>
      <c r="Q105" s="132">
        <v>9.5000000000000001E-2</v>
      </c>
      <c r="R105" s="132"/>
      <c r="S105" s="63" t="s">
        <v>6341</v>
      </c>
      <c r="T105" s="67" t="s">
        <v>881</v>
      </c>
      <c r="U105" s="67" t="s">
        <v>869</v>
      </c>
      <c r="V105" s="113" t="s">
        <v>106</v>
      </c>
      <c r="W105" s="222">
        <v>95476</v>
      </c>
      <c r="X105" s="141" t="s">
        <v>882</v>
      </c>
      <c r="Y105" s="139" t="s">
        <v>882</v>
      </c>
      <c r="Z105" s="139" t="s">
        <v>882</v>
      </c>
      <c r="AA105" s="200"/>
      <c r="AB105" s="130"/>
      <c r="AC105" s="202"/>
      <c r="AD105" s="200"/>
      <c r="AE105" s="113"/>
      <c r="AF105" s="113"/>
      <c r="AG105" s="113"/>
      <c r="AH105" s="113"/>
      <c r="AI105" s="130"/>
      <c r="AJ105" s="135"/>
      <c r="AK105" s="57"/>
      <c r="AL105" s="287"/>
      <c r="AM105" s="288"/>
      <c r="AN105" s="288"/>
      <c r="AO105" s="288"/>
      <c r="AP105" s="288"/>
      <c r="AQ105" s="288"/>
      <c r="AR105" s="288"/>
      <c r="AS105" s="207"/>
      <c r="AT105" s="116"/>
      <c r="AU105" s="199" t="s">
        <v>881</v>
      </c>
      <c r="AW105" s="67" t="s">
        <v>869</v>
      </c>
      <c r="AX105" s="113" t="s">
        <v>106</v>
      </c>
      <c r="AY105" s="222">
        <v>95476</v>
      </c>
      <c r="AZ105" s="199" t="s">
        <v>880</v>
      </c>
      <c r="BA105" s="317"/>
    </row>
    <row r="106" spans="1:53" s="251" customFormat="1" ht="14.15" customHeight="1" x14ac:dyDescent="0.4">
      <c r="A106" s="256" t="s">
        <v>883</v>
      </c>
      <c r="B106" s="67" t="s">
        <v>125</v>
      </c>
      <c r="C106" s="111" t="s">
        <v>99</v>
      </c>
      <c r="D106" s="113" t="s">
        <v>884</v>
      </c>
      <c r="E106" s="120" t="s">
        <v>100</v>
      </c>
      <c r="F106" s="82"/>
      <c r="G106" s="84"/>
      <c r="H106" s="90" t="s">
        <v>100</v>
      </c>
      <c r="I106" s="91"/>
      <c r="J106" s="97"/>
      <c r="K106" s="102">
        <v>45999</v>
      </c>
      <c r="L106" s="327"/>
      <c r="M106" s="106">
        <v>44394</v>
      </c>
      <c r="N106" s="113" t="s">
        <v>885</v>
      </c>
      <c r="O106" s="113" t="s">
        <v>886</v>
      </c>
      <c r="P106" s="57" t="s">
        <v>887</v>
      </c>
      <c r="Q106" s="132">
        <v>8.6249999999999993E-2</v>
      </c>
      <c r="R106" s="132">
        <v>8.7499999999999994E-2</v>
      </c>
      <c r="S106" s="63" t="s">
        <v>103</v>
      </c>
      <c r="T106" s="67" t="s">
        <v>888</v>
      </c>
      <c r="U106" s="67" t="s">
        <v>105</v>
      </c>
      <c r="V106" s="113" t="s">
        <v>106</v>
      </c>
      <c r="W106" s="222">
        <v>94133</v>
      </c>
      <c r="X106" s="141" t="s">
        <v>889</v>
      </c>
      <c r="Y106" s="143"/>
      <c r="Z106" s="139" t="s">
        <v>889</v>
      </c>
      <c r="AA106" s="200"/>
      <c r="AB106" s="130"/>
      <c r="AC106" s="202"/>
      <c r="AD106" s="200"/>
      <c r="AE106" s="113"/>
      <c r="AF106" s="113"/>
      <c r="AG106" s="113"/>
      <c r="AH106" s="113"/>
      <c r="AI106" s="130"/>
      <c r="AJ106" s="135"/>
      <c r="AK106" s="57"/>
      <c r="AL106" s="289">
        <v>15157</v>
      </c>
      <c r="AM106" s="289"/>
      <c r="AN106" s="289"/>
      <c r="AO106" s="289"/>
      <c r="AP106" s="289"/>
      <c r="AQ106" s="289"/>
      <c r="AR106" s="289"/>
      <c r="AS106" s="207" t="s">
        <v>132</v>
      </c>
      <c r="AT106" s="116" t="s">
        <v>447</v>
      </c>
      <c r="AU106" s="67" t="s">
        <v>888</v>
      </c>
      <c r="AW106" s="67" t="s">
        <v>105</v>
      </c>
      <c r="AX106" s="113" t="s">
        <v>106</v>
      </c>
      <c r="AY106" s="222">
        <v>94133</v>
      </c>
      <c r="AZ106" s="199" t="s">
        <v>886</v>
      </c>
      <c r="BA106" s="207"/>
    </row>
    <row r="107" spans="1:53" s="251" customFormat="1" ht="14.15" customHeight="1" x14ac:dyDescent="0.4">
      <c r="A107" s="256" t="s">
        <v>890</v>
      </c>
      <c r="B107" s="67" t="s">
        <v>98</v>
      </c>
      <c r="C107" s="111" t="s">
        <v>99</v>
      </c>
      <c r="D107" s="113"/>
      <c r="E107" s="120" t="s">
        <v>100</v>
      </c>
      <c r="F107" s="82"/>
      <c r="G107" s="84"/>
      <c r="H107" s="90" t="s">
        <v>100</v>
      </c>
      <c r="I107" s="91"/>
      <c r="J107" s="97"/>
      <c r="K107" s="102">
        <v>45176</v>
      </c>
      <c r="L107" s="327"/>
      <c r="M107" s="106"/>
      <c r="N107" s="113" t="s">
        <v>742</v>
      </c>
      <c r="O107" s="113" t="s">
        <v>891</v>
      </c>
      <c r="P107" s="57" t="s">
        <v>892</v>
      </c>
      <c r="Q107" s="132">
        <v>8.6249999999999993E-2</v>
      </c>
      <c r="R107" s="132">
        <v>8.7499999999999994E-2</v>
      </c>
      <c r="S107" s="63" t="s">
        <v>103</v>
      </c>
      <c r="T107" s="67" t="s">
        <v>893</v>
      </c>
      <c r="U107" s="67" t="s">
        <v>105</v>
      </c>
      <c r="V107" s="113" t="s">
        <v>106</v>
      </c>
      <c r="W107" s="222">
        <v>94111</v>
      </c>
      <c r="X107" s="139" t="s">
        <v>894</v>
      </c>
      <c r="Y107" s="139" t="s">
        <v>895</v>
      </c>
      <c r="Z107" s="117" t="s">
        <v>896</v>
      </c>
      <c r="AA107" s="200" t="s">
        <v>897</v>
      </c>
      <c r="AB107" s="130"/>
      <c r="AC107" s="202"/>
      <c r="AD107" s="200"/>
      <c r="AE107" s="113"/>
      <c r="AF107" s="113"/>
      <c r="AG107" s="113"/>
      <c r="AH107" s="113"/>
      <c r="AI107" s="130" t="s">
        <v>0</v>
      </c>
      <c r="AJ107" s="135" t="s">
        <v>116</v>
      </c>
      <c r="AK107" s="57"/>
      <c r="AL107" s="289" t="s">
        <v>289</v>
      </c>
      <c r="AM107" s="289"/>
      <c r="AN107" s="289"/>
      <c r="AO107" s="289"/>
      <c r="AP107" s="289"/>
      <c r="AQ107" s="289"/>
      <c r="AR107" s="289"/>
      <c r="AS107" s="207" t="s">
        <v>132</v>
      </c>
      <c r="AT107" s="116" t="s">
        <v>447</v>
      </c>
      <c r="AU107" s="67" t="s">
        <v>893</v>
      </c>
      <c r="AW107" s="67" t="s">
        <v>105</v>
      </c>
      <c r="AX107" s="113" t="s">
        <v>106</v>
      </c>
      <c r="AY107" s="222">
        <v>94111</v>
      </c>
      <c r="AZ107" s="199" t="s">
        <v>891</v>
      </c>
      <c r="BA107" s="207"/>
    </row>
    <row r="108" spans="1:53" s="210" customFormat="1" ht="14.15" customHeight="1" x14ac:dyDescent="0.4">
      <c r="A108" s="256" t="s">
        <v>898</v>
      </c>
      <c r="B108" s="67" t="s">
        <v>174</v>
      </c>
      <c r="C108" s="111" t="s">
        <v>99</v>
      </c>
      <c r="D108" s="115"/>
      <c r="E108" s="120" t="s">
        <v>899</v>
      </c>
      <c r="F108" s="82" t="s">
        <v>174</v>
      </c>
      <c r="G108" s="84"/>
      <c r="H108" s="90" t="s">
        <v>174</v>
      </c>
      <c r="I108" s="91"/>
      <c r="J108" s="97"/>
      <c r="K108" s="102">
        <v>45385</v>
      </c>
      <c r="L108" s="327"/>
      <c r="M108" s="106"/>
      <c r="N108" s="113" t="s">
        <v>900</v>
      </c>
      <c r="O108" s="113" t="s">
        <v>901</v>
      </c>
      <c r="P108" s="57"/>
      <c r="Q108" s="132">
        <v>8.6249999999999993E-2</v>
      </c>
      <c r="R108" s="132"/>
      <c r="S108" s="63" t="s">
        <v>103</v>
      </c>
      <c r="T108" s="67" t="s">
        <v>902</v>
      </c>
      <c r="U108" s="67" t="s">
        <v>105</v>
      </c>
      <c r="V108" s="113" t="s">
        <v>106</v>
      </c>
      <c r="W108" s="222">
        <v>94103</v>
      </c>
      <c r="X108" s="141"/>
      <c r="Y108" s="236"/>
      <c r="Z108" s="236"/>
      <c r="AA108" s="200"/>
      <c r="AB108" s="130"/>
      <c r="AC108" s="202"/>
      <c r="AD108" s="200"/>
      <c r="AE108" s="113"/>
      <c r="AF108" s="113"/>
      <c r="AG108" s="113"/>
      <c r="AH108" s="113"/>
      <c r="AI108" s="130"/>
      <c r="AJ108" s="135"/>
      <c r="AK108" s="57"/>
      <c r="AL108" s="287" t="s">
        <v>251</v>
      </c>
      <c r="AM108" s="288"/>
      <c r="AN108" s="288"/>
      <c r="AO108" s="288"/>
      <c r="AP108" s="288"/>
      <c r="AQ108" s="288"/>
      <c r="AR108" s="288"/>
      <c r="AS108" s="207"/>
      <c r="AT108" s="116" t="s">
        <v>589</v>
      </c>
      <c r="AU108" s="67" t="s">
        <v>902</v>
      </c>
      <c r="AV108" s="251"/>
      <c r="AW108" s="67" t="s">
        <v>105</v>
      </c>
      <c r="AX108" s="113" t="s">
        <v>106</v>
      </c>
      <c r="AY108" s="222">
        <v>94103</v>
      </c>
      <c r="AZ108" s="199" t="s">
        <v>901</v>
      </c>
      <c r="BA108" s="317"/>
    </row>
    <row r="109" spans="1:53" s="210" customFormat="1" ht="14.15" customHeight="1" x14ac:dyDescent="0.4">
      <c r="A109" s="256" t="s">
        <v>903</v>
      </c>
      <c r="B109" s="67" t="s">
        <v>98</v>
      </c>
      <c r="C109" s="111" t="s">
        <v>99</v>
      </c>
      <c r="D109" s="113"/>
      <c r="E109" s="120" t="s">
        <v>100</v>
      </c>
      <c r="F109" s="82"/>
      <c r="G109" s="84"/>
      <c r="H109" s="90" t="s">
        <v>100</v>
      </c>
      <c r="I109" s="91"/>
      <c r="J109" s="97"/>
      <c r="K109" s="102">
        <v>45987</v>
      </c>
      <c r="L109" s="327"/>
      <c r="M109" s="106">
        <v>44357</v>
      </c>
      <c r="N109" s="113" t="s">
        <v>904</v>
      </c>
      <c r="O109" s="113" t="s">
        <v>905</v>
      </c>
      <c r="P109" s="57" t="s">
        <v>906</v>
      </c>
      <c r="Q109" s="132">
        <v>7.7499999999999999E-2</v>
      </c>
      <c r="R109" s="132">
        <v>0.08</v>
      </c>
      <c r="S109" s="63" t="s">
        <v>907</v>
      </c>
      <c r="T109" s="67" t="s">
        <v>908</v>
      </c>
      <c r="U109" s="67" t="s">
        <v>909</v>
      </c>
      <c r="V109" s="113" t="s">
        <v>106</v>
      </c>
      <c r="W109" s="222">
        <v>94515</v>
      </c>
      <c r="X109" s="141" t="s">
        <v>910</v>
      </c>
      <c r="Y109" s="139" t="s">
        <v>911</v>
      </c>
      <c r="Z109" s="139" t="s">
        <v>912</v>
      </c>
      <c r="AA109" s="200" t="s">
        <v>913</v>
      </c>
      <c r="AB109" s="130"/>
      <c r="AC109" s="202"/>
      <c r="AD109" s="200"/>
      <c r="AE109" s="113"/>
      <c r="AF109" s="113"/>
      <c r="AG109" s="113"/>
      <c r="AH109" s="113"/>
      <c r="AI109" s="130" t="s">
        <v>914</v>
      </c>
      <c r="AJ109" s="135" t="s">
        <v>116</v>
      </c>
      <c r="AK109" s="53" t="s">
        <v>915</v>
      </c>
      <c r="AL109" s="287" t="s">
        <v>251</v>
      </c>
      <c r="AM109" s="288" t="s">
        <v>916</v>
      </c>
      <c r="AN109" s="288">
        <v>13305</v>
      </c>
      <c r="AO109" s="288">
        <v>62245</v>
      </c>
      <c r="AP109" s="288"/>
      <c r="AQ109" s="288"/>
      <c r="AR109" s="288"/>
      <c r="AS109" s="207" t="s">
        <v>132</v>
      </c>
      <c r="AT109" s="116" t="s">
        <v>608</v>
      </c>
      <c r="AU109" s="67" t="str">
        <f>PROPER(AV109)</f>
        <v>1250 Lincoln Avenue</v>
      </c>
      <c r="AV109" s="251" t="s">
        <v>917</v>
      </c>
      <c r="AW109" s="67" t="s">
        <v>909</v>
      </c>
      <c r="AX109" s="113" t="s">
        <v>106</v>
      </c>
      <c r="AY109" s="222">
        <v>94515</v>
      </c>
      <c r="AZ109" s="199" t="s">
        <v>905</v>
      </c>
      <c r="BA109" s="75"/>
    </row>
    <row r="110" spans="1:53" s="210" customFormat="1" ht="14.15" customHeight="1" x14ac:dyDescent="0.4">
      <c r="A110" s="256" t="s">
        <v>6421</v>
      </c>
      <c r="B110" s="67" t="s">
        <v>6422</v>
      </c>
      <c r="C110" s="111" t="s">
        <v>99</v>
      </c>
      <c r="D110" s="113"/>
      <c r="E110" s="120" t="s">
        <v>100</v>
      </c>
      <c r="F110" s="82"/>
      <c r="G110" s="84"/>
      <c r="H110" s="90"/>
      <c r="I110" s="91"/>
      <c r="J110" s="97"/>
      <c r="K110" s="102"/>
      <c r="L110" s="327"/>
      <c r="M110" s="106">
        <v>45798</v>
      </c>
      <c r="N110" s="113" t="s">
        <v>6423</v>
      </c>
      <c r="O110" s="113" t="s">
        <v>6424</v>
      </c>
      <c r="P110" s="57"/>
      <c r="Q110" s="132">
        <v>7.7499999999999999E-2</v>
      </c>
      <c r="R110" s="132"/>
      <c r="S110" s="63" t="s">
        <v>907</v>
      </c>
      <c r="T110" s="67" t="s">
        <v>6425</v>
      </c>
      <c r="U110" s="67" t="s">
        <v>909</v>
      </c>
      <c r="V110" s="113" t="s">
        <v>106</v>
      </c>
      <c r="W110" s="222">
        <v>94548</v>
      </c>
      <c r="X110" s="141"/>
      <c r="Y110" s="139"/>
      <c r="Z110" s="139"/>
      <c r="AA110" s="200"/>
      <c r="AB110" s="130"/>
      <c r="AC110" s="202"/>
      <c r="AD110" s="200"/>
      <c r="AE110" s="113"/>
      <c r="AF110" s="113"/>
      <c r="AG110" s="113"/>
      <c r="AH110" s="113"/>
      <c r="AI110" s="130"/>
      <c r="AJ110" s="135"/>
      <c r="AK110" s="53"/>
      <c r="AL110" s="287"/>
      <c r="AM110" s="288"/>
      <c r="AN110" s="288"/>
      <c r="AO110" s="288"/>
      <c r="AP110" s="288"/>
      <c r="AQ110" s="288"/>
      <c r="AR110" s="288"/>
      <c r="AS110" s="207"/>
      <c r="AT110" s="116"/>
      <c r="AU110" s="67" t="s">
        <v>6425</v>
      </c>
      <c r="AV110" s="251"/>
      <c r="AW110" s="67" t="s">
        <v>909</v>
      </c>
      <c r="AX110" s="113" t="s">
        <v>106</v>
      </c>
      <c r="AY110" s="222">
        <v>94515</v>
      </c>
      <c r="AZ110" s="199" t="s">
        <v>6424</v>
      </c>
      <c r="BA110" s="75"/>
    </row>
    <row r="111" spans="1:53" s="210" customFormat="1" ht="14.15" customHeight="1" x14ac:dyDescent="0.4">
      <c r="A111" s="256" t="s">
        <v>918</v>
      </c>
      <c r="B111" s="67" t="s">
        <v>125</v>
      </c>
      <c r="C111" s="111" t="s">
        <v>99</v>
      </c>
      <c r="D111" s="115" t="s">
        <v>919</v>
      </c>
      <c r="E111" s="120" t="s">
        <v>100</v>
      </c>
      <c r="F111" s="82"/>
      <c r="G111" s="84"/>
      <c r="H111" s="90" t="s">
        <v>100</v>
      </c>
      <c r="I111" s="91"/>
      <c r="J111" s="97"/>
      <c r="K111" s="102">
        <v>45418</v>
      </c>
      <c r="L111" s="327"/>
      <c r="M111" s="106">
        <v>45870</v>
      </c>
      <c r="N111" s="113" t="s">
        <v>920</v>
      </c>
      <c r="O111" s="113" t="s">
        <v>921</v>
      </c>
      <c r="P111" s="57"/>
      <c r="Q111" s="132">
        <v>8.7499999999999994E-2</v>
      </c>
      <c r="R111" s="132"/>
      <c r="S111" s="63" t="s">
        <v>309</v>
      </c>
      <c r="T111" s="67" t="s">
        <v>922</v>
      </c>
      <c r="U111" s="67" t="s">
        <v>311</v>
      </c>
      <c r="V111" s="113" t="s">
        <v>106</v>
      </c>
      <c r="W111" s="222">
        <v>95814</v>
      </c>
      <c r="X111" s="141" t="s">
        <v>923</v>
      </c>
      <c r="Y111" s="141" t="s">
        <v>923</v>
      </c>
      <c r="Z111" s="141" t="s">
        <v>923</v>
      </c>
      <c r="AA111" s="200" t="s">
        <v>924</v>
      </c>
      <c r="AB111" s="130"/>
      <c r="AC111" s="202" t="s">
        <v>6337</v>
      </c>
      <c r="AD111" s="200"/>
      <c r="AE111" s="113"/>
      <c r="AF111" s="113"/>
      <c r="AG111" s="113"/>
      <c r="AH111" s="113"/>
      <c r="AI111" s="130"/>
      <c r="AJ111" s="135"/>
      <c r="AK111" s="57"/>
      <c r="AL111" s="287">
        <v>3351</v>
      </c>
      <c r="AM111" s="288"/>
      <c r="AN111" s="288"/>
      <c r="AO111" s="288"/>
      <c r="AP111" s="288"/>
      <c r="AQ111" s="288"/>
      <c r="AR111" s="288"/>
      <c r="AS111" s="207"/>
      <c r="AT111" s="116"/>
      <c r="AU111" s="67" t="s">
        <v>922</v>
      </c>
      <c r="AV111" s="251"/>
      <c r="AW111" s="67" t="s">
        <v>311</v>
      </c>
      <c r="AX111" s="113" t="s">
        <v>106</v>
      </c>
      <c r="AY111" s="222">
        <v>95814</v>
      </c>
      <c r="AZ111" s="199" t="s">
        <v>921</v>
      </c>
      <c r="BA111" s="317"/>
    </row>
    <row r="112" spans="1:53" ht="14.15" customHeight="1" x14ac:dyDescent="0.4">
      <c r="A112" s="256" t="s">
        <v>925</v>
      </c>
      <c r="B112" s="67" t="s">
        <v>98</v>
      </c>
      <c r="C112" s="111" t="s">
        <v>99</v>
      </c>
      <c r="D112" s="112"/>
      <c r="E112" s="119" t="s">
        <v>100</v>
      </c>
      <c r="F112" s="83" t="s">
        <v>0</v>
      </c>
      <c r="G112" s="209" t="s">
        <v>0</v>
      </c>
      <c r="H112" s="88" t="s">
        <v>100</v>
      </c>
      <c r="I112" s="89"/>
      <c r="J112" s="98"/>
      <c r="K112" s="101">
        <v>45933</v>
      </c>
      <c r="L112" s="329"/>
      <c r="M112" s="105">
        <v>45107</v>
      </c>
      <c r="N112" s="112" t="s">
        <v>926</v>
      </c>
      <c r="O112" s="112" t="s">
        <v>927</v>
      </c>
      <c r="P112" s="198" t="s">
        <v>928</v>
      </c>
      <c r="Q112" s="132">
        <v>9.2499999999999999E-2</v>
      </c>
      <c r="R112" s="132">
        <v>8.2500000000000004E-2</v>
      </c>
      <c r="S112" s="63" t="s">
        <v>262</v>
      </c>
      <c r="T112" s="198" t="s">
        <v>929</v>
      </c>
      <c r="U112" s="198" t="s">
        <v>930</v>
      </c>
      <c r="V112" s="112" t="s">
        <v>106</v>
      </c>
      <c r="W112" s="205">
        <v>95436</v>
      </c>
      <c r="X112" s="141" t="s">
        <v>931</v>
      </c>
      <c r="Y112" s="141" t="s">
        <v>931</v>
      </c>
      <c r="Z112" s="141" t="s">
        <v>931</v>
      </c>
      <c r="AA112" s="203"/>
      <c r="AB112" s="205"/>
      <c r="AC112" s="206"/>
      <c r="AD112" s="203"/>
      <c r="AE112" s="205"/>
      <c r="AF112" s="205"/>
      <c r="AG112" s="205"/>
      <c r="AH112" s="205"/>
      <c r="AI112" s="205"/>
      <c r="AK112" s="318"/>
      <c r="AL112" s="287" t="s">
        <v>149</v>
      </c>
      <c r="AM112" s="288" t="s">
        <v>198</v>
      </c>
      <c r="AO112" s="288">
        <v>62245</v>
      </c>
      <c r="AS112" s="207" t="s">
        <v>132</v>
      </c>
      <c r="AT112" s="116" t="s">
        <v>608</v>
      </c>
      <c r="AU112" s="198" t="s">
        <v>929</v>
      </c>
      <c r="AV112" s="39"/>
      <c r="AW112" s="198" t="s">
        <v>930</v>
      </c>
      <c r="AX112" s="112" t="s">
        <v>106</v>
      </c>
      <c r="AY112" s="205">
        <v>95436</v>
      </c>
      <c r="AZ112" s="198" t="s">
        <v>927</v>
      </c>
      <c r="BA112" s="207"/>
    </row>
    <row r="113" spans="1:53" ht="14.15" customHeight="1" x14ac:dyDescent="0.4">
      <c r="A113" s="256" t="s">
        <v>932</v>
      </c>
      <c r="B113" s="67" t="s">
        <v>125</v>
      </c>
      <c r="C113" s="111" t="s">
        <v>99</v>
      </c>
      <c r="D113" s="79" t="s">
        <v>933</v>
      </c>
      <c r="E113" s="118" t="s">
        <v>100</v>
      </c>
      <c r="F113" s="80"/>
      <c r="G113" s="81"/>
      <c r="H113" s="87" t="s">
        <v>100</v>
      </c>
      <c r="I113" s="86"/>
      <c r="J113" s="96"/>
      <c r="K113" s="100">
        <v>44781</v>
      </c>
      <c r="L113" s="328"/>
      <c r="M113" s="104">
        <v>44781</v>
      </c>
      <c r="N113" s="128" t="s">
        <v>41</v>
      </c>
      <c r="O113" s="128" t="s">
        <v>934</v>
      </c>
      <c r="P113" s="59" t="s">
        <v>935</v>
      </c>
      <c r="Q113" s="132">
        <v>8.6249999999999993E-2</v>
      </c>
      <c r="R113" s="132">
        <v>8.7499999999999994E-2</v>
      </c>
      <c r="S113" s="63" t="s">
        <v>103</v>
      </c>
      <c r="T113" s="67" t="s">
        <v>936</v>
      </c>
      <c r="U113" s="67" t="s">
        <v>105</v>
      </c>
      <c r="V113" s="79" t="s">
        <v>106</v>
      </c>
      <c r="W113" s="76">
        <v>94105</v>
      </c>
      <c r="AA113" s="79" t="s">
        <v>937</v>
      </c>
      <c r="AB113" s="135" t="s">
        <v>938</v>
      </c>
      <c r="AI113" s="135" t="s">
        <v>0</v>
      </c>
      <c r="AJ113" s="135" t="s">
        <v>116</v>
      </c>
      <c r="AL113" s="289">
        <v>63437</v>
      </c>
      <c r="AM113" s="289" t="s">
        <v>939</v>
      </c>
      <c r="AN113" s="289" t="s">
        <v>149</v>
      </c>
      <c r="AO113" s="289"/>
      <c r="AP113" s="289"/>
      <c r="AQ113" s="289"/>
      <c r="AR113" s="289"/>
      <c r="AS113" s="207" t="s">
        <v>132</v>
      </c>
      <c r="AT113" s="116" t="s">
        <v>608</v>
      </c>
      <c r="AU113" s="67" t="s">
        <v>936</v>
      </c>
      <c r="AW113" s="67" t="s">
        <v>105</v>
      </c>
      <c r="AX113" s="79" t="s">
        <v>106</v>
      </c>
      <c r="AY113" s="76">
        <v>94105</v>
      </c>
      <c r="AZ113" s="77" t="s">
        <v>934</v>
      </c>
      <c r="BA113" s="317"/>
    </row>
    <row r="114" spans="1:53" ht="14.15" customHeight="1" x14ac:dyDescent="0.4">
      <c r="A114" s="256" t="s">
        <v>940</v>
      </c>
      <c r="B114" s="67" t="s">
        <v>689</v>
      </c>
      <c r="C114" s="109" t="s">
        <v>99</v>
      </c>
      <c r="E114" s="120" t="s">
        <v>173</v>
      </c>
      <c r="F114" s="82" t="s">
        <v>174</v>
      </c>
      <c r="G114" s="84"/>
      <c r="H114" s="90" t="s">
        <v>100</v>
      </c>
      <c r="I114" s="91"/>
      <c r="J114" s="97"/>
      <c r="K114" s="102">
        <v>45070</v>
      </c>
      <c r="L114" s="327"/>
      <c r="M114" s="106"/>
      <c r="N114" s="128" t="s">
        <v>941</v>
      </c>
      <c r="O114" s="128" t="s">
        <v>942</v>
      </c>
      <c r="S114" s="63" t="s">
        <v>943</v>
      </c>
      <c r="T114" s="67" t="s">
        <v>944</v>
      </c>
      <c r="U114" s="67" t="s">
        <v>945</v>
      </c>
      <c r="V114" s="79" t="s">
        <v>177</v>
      </c>
      <c r="W114" s="76">
        <v>29609</v>
      </c>
      <c r="AL114" s="287">
        <v>15741</v>
      </c>
      <c r="AS114" s="207"/>
      <c r="AU114" s="67" t="s">
        <v>944</v>
      </c>
      <c r="AW114" s="67" t="s">
        <v>945</v>
      </c>
      <c r="AX114" s="79" t="s">
        <v>177</v>
      </c>
      <c r="AY114" s="76">
        <v>29609</v>
      </c>
    </row>
    <row r="115" spans="1:53" ht="14.15" customHeight="1" x14ac:dyDescent="0.25">
      <c r="A115" s="256" t="s">
        <v>946</v>
      </c>
      <c r="B115" s="67" t="s">
        <v>98</v>
      </c>
      <c r="C115" s="109" t="s">
        <v>99</v>
      </c>
      <c r="E115" s="118" t="s">
        <v>100</v>
      </c>
      <c r="F115" s="80"/>
      <c r="G115" s="81"/>
      <c r="H115" s="87" t="s">
        <v>100</v>
      </c>
      <c r="I115" s="86"/>
      <c r="J115" s="96"/>
      <c r="K115" s="100">
        <v>45936</v>
      </c>
      <c r="L115" s="328"/>
      <c r="M115" s="104"/>
      <c r="N115" s="128" t="s">
        <v>947</v>
      </c>
      <c r="O115" s="128" t="s">
        <v>948</v>
      </c>
      <c r="Q115" s="132">
        <v>8.2500000000000004E-2</v>
      </c>
      <c r="R115" s="132">
        <v>7.4999999999999997E-2</v>
      </c>
      <c r="S115" s="63" t="s">
        <v>154</v>
      </c>
      <c r="T115" s="67" t="s">
        <v>949</v>
      </c>
      <c r="U115" s="67" t="s">
        <v>950</v>
      </c>
      <c r="V115" s="79" t="s">
        <v>106</v>
      </c>
      <c r="W115" s="76">
        <v>95948</v>
      </c>
      <c r="AA115" s="79" t="s">
        <v>951</v>
      </c>
      <c r="AC115" s="136" t="s">
        <v>952</v>
      </c>
      <c r="AI115" s="135" t="s">
        <v>0</v>
      </c>
      <c r="AJ115" s="135" t="s">
        <v>116</v>
      </c>
      <c r="AK115" s="227"/>
      <c r="AL115" s="290" t="s">
        <v>251</v>
      </c>
      <c r="AM115" s="290">
        <v>13305</v>
      </c>
      <c r="AN115" s="290" t="s">
        <v>953</v>
      </c>
      <c r="AO115" s="290">
        <v>62245</v>
      </c>
      <c r="AP115" s="290" t="s">
        <v>954</v>
      </c>
      <c r="AQ115" s="290" t="s">
        <v>955</v>
      </c>
      <c r="AR115" s="290"/>
      <c r="AS115" s="207" t="s">
        <v>132</v>
      </c>
      <c r="AT115" s="116" t="s">
        <v>608</v>
      </c>
      <c r="AU115" s="67" t="s">
        <v>949</v>
      </c>
      <c r="AW115" s="67" t="s">
        <v>950</v>
      </c>
      <c r="AX115" s="79" t="s">
        <v>106</v>
      </c>
      <c r="AY115" s="76">
        <v>95948</v>
      </c>
      <c r="AZ115" s="77" t="s">
        <v>948</v>
      </c>
      <c r="BA115" s="317"/>
    </row>
    <row r="116" spans="1:53" ht="14.15" customHeight="1" x14ac:dyDescent="0.4">
      <c r="A116" s="256" t="s">
        <v>956</v>
      </c>
      <c r="B116" s="67" t="s">
        <v>98</v>
      </c>
      <c r="C116" s="111" t="s">
        <v>99</v>
      </c>
      <c r="D116" s="113"/>
      <c r="E116" s="120" t="s">
        <v>100</v>
      </c>
      <c r="F116" s="82"/>
      <c r="G116" s="84"/>
      <c r="H116" s="90" t="s">
        <v>100</v>
      </c>
      <c r="I116" s="91"/>
      <c r="J116" s="97"/>
      <c r="K116" s="102">
        <v>44740</v>
      </c>
      <c r="L116" s="327"/>
      <c r="M116" s="106"/>
      <c r="N116" s="113" t="s">
        <v>957</v>
      </c>
      <c r="O116" s="113" t="s">
        <v>958</v>
      </c>
      <c r="P116" s="57"/>
      <c r="Q116" s="132">
        <v>0.10249999999999999</v>
      </c>
      <c r="R116" s="132"/>
      <c r="S116" s="63" t="s">
        <v>113</v>
      </c>
      <c r="T116" s="67" t="s">
        <v>959</v>
      </c>
      <c r="U116" s="67" t="s">
        <v>115</v>
      </c>
      <c r="V116" s="113" t="s">
        <v>106</v>
      </c>
      <c r="W116" s="222">
        <v>94607</v>
      </c>
      <c r="Z116" s="236"/>
      <c r="AA116" s="200"/>
      <c r="AB116" s="130"/>
      <c r="AC116" s="202"/>
      <c r="AD116" s="200"/>
      <c r="AE116" s="113"/>
      <c r="AF116" s="113"/>
      <c r="AG116" s="113"/>
      <c r="AH116" s="113"/>
      <c r="AI116" s="130"/>
      <c r="AK116" s="57"/>
      <c r="AL116" s="290" t="s">
        <v>251</v>
      </c>
      <c r="AM116" s="290"/>
      <c r="AN116" s="290"/>
      <c r="AO116" s="290"/>
      <c r="AP116" s="290"/>
      <c r="AQ116" s="290" t="s">
        <v>960</v>
      </c>
      <c r="AR116" s="290"/>
      <c r="AS116" s="207" t="s">
        <v>132</v>
      </c>
      <c r="AT116" s="116" t="s">
        <v>961</v>
      </c>
      <c r="AU116" s="67" t="s">
        <v>959</v>
      </c>
      <c r="AV116" s="251"/>
      <c r="AW116" s="67" t="s">
        <v>115</v>
      </c>
      <c r="AX116" s="113" t="s">
        <v>106</v>
      </c>
      <c r="AY116" s="222">
        <v>94607</v>
      </c>
      <c r="AZ116" s="199" t="s">
        <v>958</v>
      </c>
      <c r="BA116" s="317"/>
    </row>
    <row r="117" spans="1:53" ht="14.15" customHeight="1" x14ac:dyDescent="0.4">
      <c r="A117" s="256" t="s">
        <v>962</v>
      </c>
      <c r="B117" s="67" t="s">
        <v>174</v>
      </c>
      <c r="C117" s="111" t="s">
        <v>963</v>
      </c>
      <c r="D117" s="115"/>
      <c r="E117" s="120" t="s">
        <v>173</v>
      </c>
      <c r="F117" s="82" t="s">
        <v>174</v>
      </c>
      <c r="G117" s="84"/>
      <c r="H117" s="90" t="s">
        <v>174</v>
      </c>
      <c r="I117" s="91"/>
      <c r="J117" s="97"/>
      <c r="K117" s="102">
        <v>45063</v>
      </c>
      <c r="L117" s="327"/>
      <c r="M117" s="106"/>
      <c r="N117" s="113" t="s">
        <v>964</v>
      </c>
      <c r="O117" s="113" t="s">
        <v>965</v>
      </c>
      <c r="P117" s="130"/>
      <c r="Q117" s="132">
        <v>8.6249999999999993E-2</v>
      </c>
      <c r="R117" s="132"/>
      <c r="S117" s="63" t="s">
        <v>103</v>
      </c>
      <c r="T117" s="67" t="s">
        <v>966</v>
      </c>
      <c r="U117" s="67" t="s">
        <v>105</v>
      </c>
      <c r="V117" s="113" t="s">
        <v>106</v>
      </c>
      <c r="W117" s="222">
        <v>94133</v>
      </c>
      <c r="X117" s="141"/>
      <c r="Z117" s="236"/>
      <c r="AA117" s="200"/>
      <c r="AB117" s="130"/>
      <c r="AC117" s="202"/>
      <c r="AD117" s="200"/>
      <c r="AE117" s="113"/>
      <c r="AF117" s="113"/>
      <c r="AG117" s="113"/>
      <c r="AH117" s="113"/>
      <c r="AI117" s="130"/>
      <c r="AK117" s="57"/>
      <c r="AL117" s="287" t="s">
        <v>251</v>
      </c>
      <c r="AS117" s="207"/>
      <c r="AT117" s="116" t="s">
        <v>406</v>
      </c>
      <c r="AU117" s="67" t="s">
        <v>966</v>
      </c>
      <c r="AV117" s="251"/>
      <c r="AW117" s="67" t="s">
        <v>105</v>
      </c>
      <c r="AX117" s="113" t="s">
        <v>106</v>
      </c>
      <c r="AY117" s="222">
        <v>94133</v>
      </c>
      <c r="AZ117" s="199" t="s">
        <v>965</v>
      </c>
      <c r="BA117" s="317"/>
    </row>
    <row r="118" spans="1:53" ht="14.15" customHeight="1" x14ac:dyDescent="0.4">
      <c r="A118" s="256" t="s">
        <v>967</v>
      </c>
      <c r="B118" s="67" t="s">
        <v>98</v>
      </c>
      <c r="C118" s="111" t="s">
        <v>99</v>
      </c>
      <c r="D118" s="115"/>
      <c r="E118" s="120" t="s">
        <v>100</v>
      </c>
      <c r="F118" s="82"/>
      <c r="G118" s="84"/>
      <c r="H118" s="90" t="s">
        <v>100</v>
      </c>
      <c r="I118" s="91"/>
      <c r="J118" s="97"/>
      <c r="K118" s="102">
        <v>45028</v>
      </c>
      <c r="L118" s="327"/>
      <c r="M118" s="106">
        <v>45028</v>
      </c>
      <c r="N118" s="113" t="s">
        <v>968</v>
      </c>
      <c r="O118" s="113" t="s">
        <v>969</v>
      </c>
      <c r="P118" s="57" t="s">
        <v>970</v>
      </c>
      <c r="Q118" s="132">
        <v>0.105</v>
      </c>
      <c r="R118" s="131">
        <v>9.5000000000000001E-2</v>
      </c>
      <c r="S118" s="63" t="s">
        <v>164</v>
      </c>
      <c r="T118" s="67" t="s">
        <v>971</v>
      </c>
      <c r="U118" s="67" t="s">
        <v>166</v>
      </c>
      <c r="V118" s="113" t="s">
        <v>106</v>
      </c>
      <c r="W118" s="222">
        <v>94608</v>
      </c>
      <c r="X118" s="141"/>
      <c r="Z118" s="236"/>
      <c r="AA118" s="200"/>
      <c r="AB118" s="130"/>
      <c r="AC118" s="202"/>
      <c r="AD118" s="200"/>
      <c r="AE118" s="113"/>
      <c r="AF118" s="113"/>
      <c r="AG118" s="113"/>
      <c r="AH118" s="113"/>
      <c r="AI118" s="130"/>
      <c r="AK118" s="57"/>
      <c r="AL118" s="287">
        <v>15157</v>
      </c>
      <c r="AS118" s="207" t="s">
        <v>132</v>
      </c>
      <c r="AT118" s="116" t="s">
        <v>447</v>
      </c>
      <c r="AU118" s="67" t="s">
        <v>971</v>
      </c>
      <c r="AV118" s="251"/>
      <c r="AW118" s="67" t="s">
        <v>166</v>
      </c>
      <c r="AX118" s="113" t="s">
        <v>106</v>
      </c>
      <c r="AY118" s="222">
        <v>94608</v>
      </c>
      <c r="AZ118" s="199" t="s">
        <v>969</v>
      </c>
      <c r="BA118" s="317"/>
    </row>
    <row r="119" spans="1:53" s="251" customFormat="1" ht="14.15" customHeight="1" x14ac:dyDescent="0.4">
      <c r="A119" s="256" t="s">
        <v>972</v>
      </c>
      <c r="B119" s="67" t="s">
        <v>98</v>
      </c>
      <c r="C119" s="109" t="s">
        <v>99</v>
      </c>
      <c r="D119" s="115"/>
      <c r="E119" s="120" t="s">
        <v>100</v>
      </c>
      <c r="F119" s="82"/>
      <c r="G119" s="84"/>
      <c r="H119" s="90" t="s">
        <v>100</v>
      </c>
      <c r="I119" s="91"/>
      <c r="J119" s="97"/>
      <c r="K119" s="102"/>
      <c r="L119" s="327"/>
      <c r="M119" s="106">
        <v>44113</v>
      </c>
      <c r="N119" s="113" t="s">
        <v>348</v>
      </c>
      <c r="O119" s="113" t="s">
        <v>973</v>
      </c>
      <c r="P119" s="57"/>
      <c r="Q119" s="132">
        <v>8.6249999999999993E-2</v>
      </c>
      <c r="R119" s="132"/>
      <c r="S119" s="63" t="s">
        <v>103</v>
      </c>
      <c r="T119" s="67" t="s">
        <v>974</v>
      </c>
      <c r="U119" s="67" t="s">
        <v>105</v>
      </c>
      <c r="V119" s="113" t="s">
        <v>106</v>
      </c>
      <c r="W119" s="222">
        <v>94117</v>
      </c>
      <c r="X119" s="141"/>
      <c r="Y119" s="236"/>
      <c r="Z119" s="236"/>
      <c r="AA119" s="200"/>
      <c r="AB119" s="130"/>
      <c r="AC119" s="202"/>
      <c r="AD119" s="200"/>
      <c r="AE119" s="113"/>
      <c r="AF119" s="113"/>
      <c r="AG119" s="113"/>
      <c r="AH119" s="113"/>
      <c r="AI119" s="130"/>
      <c r="AJ119" s="135"/>
      <c r="AK119" s="57"/>
      <c r="AL119" s="287"/>
      <c r="AM119" s="288"/>
      <c r="AN119" s="288"/>
      <c r="AO119" s="288"/>
      <c r="AP119" s="288"/>
      <c r="AQ119" s="288"/>
      <c r="AR119" s="288"/>
      <c r="AS119" s="207"/>
      <c r="AT119" s="116"/>
      <c r="AU119" s="67" t="s">
        <v>974</v>
      </c>
      <c r="AW119" s="67" t="s">
        <v>105</v>
      </c>
      <c r="AX119" s="113" t="s">
        <v>106</v>
      </c>
      <c r="AY119" s="222">
        <v>94117</v>
      </c>
      <c r="AZ119" s="199" t="s">
        <v>973</v>
      </c>
      <c r="BA119" s="317"/>
    </row>
    <row r="120" spans="1:53" s="251" customFormat="1" ht="14.15" customHeight="1" x14ac:dyDescent="0.4">
      <c r="A120" s="256" t="s">
        <v>975</v>
      </c>
      <c r="B120" s="67" t="s">
        <v>98</v>
      </c>
      <c r="C120" s="111" t="s">
        <v>99</v>
      </c>
      <c r="D120" s="113"/>
      <c r="E120" s="120" t="s">
        <v>100</v>
      </c>
      <c r="F120" s="82"/>
      <c r="G120" s="84"/>
      <c r="H120" s="90" t="s">
        <v>100</v>
      </c>
      <c r="I120" s="91"/>
      <c r="J120" s="97"/>
      <c r="K120" s="102"/>
      <c r="L120" s="327"/>
      <c r="M120" s="106">
        <v>44637</v>
      </c>
      <c r="N120" s="113" t="s">
        <v>951</v>
      </c>
      <c r="O120" s="113" t="s">
        <v>976</v>
      </c>
      <c r="P120" s="57" t="s">
        <v>977</v>
      </c>
      <c r="Q120" s="132">
        <v>9.8750000000000004E-2</v>
      </c>
      <c r="R120" s="132">
        <v>0.09</v>
      </c>
      <c r="S120" s="63" t="s">
        <v>978</v>
      </c>
      <c r="T120" s="67" t="s">
        <v>979</v>
      </c>
      <c r="U120" s="67" t="s">
        <v>980</v>
      </c>
      <c r="V120" s="113" t="s">
        <v>106</v>
      </c>
      <c r="W120" s="222">
        <v>94066</v>
      </c>
      <c r="X120" s="141" t="s">
        <v>981</v>
      </c>
      <c r="Y120" s="139" t="s">
        <v>981</v>
      </c>
      <c r="Z120" s="139" t="s">
        <v>981</v>
      </c>
      <c r="AA120" s="200" t="s">
        <v>526</v>
      </c>
      <c r="AB120" s="130"/>
      <c r="AC120" s="202"/>
      <c r="AD120" s="200"/>
      <c r="AE120" s="113"/>
      <c r="AF120" s="113"/>
      <c r="AG120" s="113"/>
      <c r="AH120" s="113"/>
      <c r="AI120" s="130" t="s">
        <v>0</v>
      </c>
      <c r="AJ120" s="135" t="s">
        <v>116</v>
      </c>
      <c r="AK120" s="57"/>
      <c r="AL120" s="290"/>
      <c r="AM120" s="290"/>
      <c r="AN120" s="290"/>
      <c r="AO120" s="290"/>
      <c r="AP120" s="290"/>
      <c r="AQ120" s="290"/>
      <c r="AR120" s="290"/>
      <c r="AS120" s="207" t="s">
        <v>132</v>
      </c>
      <c r="AT120" s="116" t="s">
        <v>132</v>
      </c>
      <c r="AU120" s="67" t="s">
        <v>979</v>
      </c>
      <c r="AW120" s="67" t="s">
        <v>980</v>
      </c>
      <c r="AX120" s="113" t="s">
        <v>106</v>
      </c>
      <c r="AY120" s="222">
        <v>94066</v>
      </c>
      <c r="AZ120" s="199" t="s">
        <v>976</v>
      </c>
      <c r="BA120" s="317"/>
    </row>
    <row r="121" spans="1:53" s="251" customFormat="1" ht="14.15" customHeight="1" x14ac:dyDescent="0.4">
      <c r="A121" s="256" t="s">
        <v>982</v>
      </c>
      <c r="B121" s="67" t="s">
        <v>98</v>
      </c>
      <c r="C121" s="111" t="s">
        <v>99</v>
      </c>
      <c r="D121" s="113"/>
      <c r="E121" s="120" t="s">
        <v>100</v>
      </c>
      <c r="F121" s="82"/>
      <c r="G121" s="84"/>
      <c r="H121" s="90" t="s">
        <v>100</v>
      </c>
      <c r="I121" s="91"/>
      <c r="J121" s="97"/>
      <c r="K121" s="102">
        <v>45905</v>
      </c>
      <c r="L121" s="327"/>
      <c r="M121" s="106">
        <v>44480</v>
      </c>
      <c r="N121" s="113" t="s">
        <v>983</v>
      </c>
      <c r="O121" s="113" t="s">
        <v>984</v>
      </c>
      <c r="P121" s="57" t="s">
        <v>985</v>
      </c>
      <c r="Q121" s="132">
        <v>9.2499999999999999E-2</v>
      </c>
      <c r="R121" s="132">
        <v>9.2499999999999999E-2</v>
      </c>
      <c r="S121" s="63" t="s">
        <v>226</v>
      </c>
      <c r="T121" s="67" t="s">
        <v>986</v>
      </c>
      <c r="U121" s="67" t="s">
        <v>228</v>
      </c>
      <c r="V121" s="113" t="s">
        <v>106</v>
      </c>
      <c r="W121" s="222">
        <v>94901</v>
      </c>
      <c r="X121" s="139" t="s">
        <v>987</v>
      </c>
      <c r="Y121" s="139" t="s">
        <v>987</v>
      </c>
      <c r="Z121" s="139" t="s">
        <v>987</v>
      </c>
      <c r="AA121" s="200" t="s">
        <v>988</v>
      </c>
      <c r="AB121" s="130"/>
      <c r="AC121" s="202"/>
      <c r="AD121" s="200"/>
      <c r="AE121" s="113"/>
      <c r="AF121" s="113"/>
      <c r="AG121" s="113"/>
      <c r="AH121" s="113"/>
      <c r="AI121" s="130" t="s">
        <v>0</v>
      </c>
      <c r="AJ121" s="135" t="s">
        <v>116</v>
      </c>
      <c r="AK121" s="57"/>
      <c r="AL121" s="290" t="s">
        <v>289</v>
      </c>
      <c r="AM121" s="290">
        <v>13305</v>
      </c>
      <c r="AN121" s="290">
        <v>15741</v>
      </c>
      <c r="AO121" s="290">
        <v>62245</v>
      </c>
      <c r="AP121" s="290"/>
      <c r="AQ121" s="290"/>
      <c r="AR121" s="290"/>
      <c r="AS121" s="207" t="s">
        <v>132</v>
      </c>
      <c r="AT121" s="116" t="s">
        <v>132</v>
      </c>
      <c r="AU121" s="67" t="s">
        <v>986</v>
      </c>
      <c r="AW121" s="67" t="s">
        <v>228</v>
      </c>
      <c r="AX121" s="113" t="s">
        <v>106</v>
      </c>
      <c r="AY121" s="222">
        <v>94901</v>
      </c>
      <c r="AZ121" s="199" t="s">
        <v>984</v>
      </c>
      <c r="BA121" s="317"/>
    </row>
    <row r="122" spans="1:53" ht="14.15" customHeight="1" x14ac:dyDescent="0.4">
      <c r="A122" s="256" t="s">
        <v>989</v>
      </c>
      <c r="B122" s="67" t="s">
        <v>98</v>
      </c>
      <c r="C122" s="110" t="s">
        <v>99</v>
      </c>
      <c r="D122" s="112"/>
      <c r="E122" s="119" t="s">
        <v>100</v>
      </c>
      <c r="F122" s="83"/>
      <c r="G122" s="209"/>
      <c r="H122" s="88" t="s">
        <v>100</v>
      </c>
      <c r="I122" s="89"/>
      <c r="J122" s="98"/>
      <c r="K122" s="101">
        <v>45980</v>
      </c>
      <c r="L122" s="329"/>
      <c r="M122" s="105"/>
      <c r="N122" s="112" t="s">
        <v>990</v>
      </c>
      <c r="O122" s="112" t="s">
        <v>991</v>
      </c>
      <c r="P122" s="198"/>
      <c r="Q122" s="132">
        <v>0</v>
      </c>
      <c r="R122" s="131">
        <v>9.5000000000000001E-2</v>
      </c>
      <c r="S122" s="63" t="s">
        <v>992</v>
      </c>
      <c r="T122" s="198" t="s">
        <v>993</v>
      </c>
      <c r="U122" s="198" t="s">
        <v>994</v>
      </c>
      <c r="V122" s="112" t="s">
        <v>106</v>
      </c>
      <c r="W122" s="205">
        <v>94545</v>
      </c>
      <c r="X122" s="139" t="s">
        <v>995</v>
      </c>
      <c r="Y122" s="139" t="s">
        <v>995</v>
      </c>
      <c r="Z122" s="139" t="s">
        <v>995</v>
      </c>
      <c r="AA122" s="203" t="s">
        <v>996</v>
      </c>
      <c r="AB122" s="205"/>
      <c r="AC122" s="206"/>
      <c r="AD122" s="203"/>
      <c r="AE122" s="205"/>
      <c r="AF122" s="205"/>
      <c r="AG122" s="205"/>
      <c r="AH122" s="205"/>
      <c r="AI122" s="205" t="s">
        <v>997</v>
      </c>
      <c r="AJ122" s="135" t="s">
        <v>116</v>
      </c>
      <c r="AK122" s="318"/>
      <c r="AL122" s="290" t="s">
        <v>251</v>
      </c>
      <c r="AM122" s="290" t="s">
        <v>545</v>
      </c>
      <c r="AN122" s="290"/>
      <c r="AO122" s="290">
        <v>62245</v>
      </c>
      <c r="AP122" s="290"/>
      <c r="AQ122" s="290"/>
      <c r="AR122" s="290"/>
      <c r="AS122" s="207" t="s">
        <v>132</v>
      </c>
      <c r="AT122" s="116" t="s">
        <v>132</v>
      </c>
      <c r="AU122" s="198" t="s">
        <v>993</v>
      </c>
      <c r="AV122" s="39"/>
      <c r="AW122" s="198" t="s">
        <v>994</v>
      </c>
      <c r="AX122" s="112" t="s">
        <v>106</v>
      </c>
      <c r="AY122" s="205">
        <v>94545</v>
      </c>
      <c r="AZ122" s="198" t="s">
        <v>991</v>
      </c>
      <c r="BA122" s="317"/>
    </row>
    <row r="123" spans="1:53" s="210" customFormat="1" ht="14.15" customHeight="1" x14ac:dyDescent="0.4">
      <c r="A123" s="256" t="s">
        <v>998</v>
      </c>
      <c r="B123" s="67" t="s">
        <v>98</v>
      </c>
      <c r="C123" s="110" t="s">
        <v>99</v>
      </c>
      <c r="D123" s="112"/>
      <c r="E123" s="119" t="s">
        <v>100</v>
      </c>
      <c r="F123" s="83"/>
      <c r="G123" s="209"/>
      <c r="H123" s="88" t="s">
        <v>100</v>
      </c>
      <c r="I123" s="89"/>
      <c r="J123" s="98"/>
      <c r="K123" s="101">
        <v>44291</v>
      </c>
      <c r="L123" s="329"/>
      <c r="M123" s="105"/>
      <c r="N123" s="112" t="s">
        <v>999</v>
      </c>
      <c r="O123" s="112" t="s">
        <v>1000</v>
      </c>
      <c r="P123" s="198"/>
      <c r="Q123" s="132">
        <v>8.6249999999999993E-2</v>
      </c>
      <c r="R123" s="132"/>
      <c r="S123" s="63" t="s">
        <v>103</v>
      </c>
      <c r="T123" s="198" t="s">
        <v>1001</v>
      </c>
      <c r="U123" s="198" t="s">
        <v>105</v>
      </c>
      <c r="V123" s="112" t="s">
        <v>106</v>
      </c>
      <c r="W123" s="205">
        <v>94115</v>
      </c>
      <c r="X123" s="141"/>
      <c r="Y123" s="205"/>
      <c r="Z123" s="205"/>
      <c r="AA123" s="203"/>
      <c r="AB123" s="205"/>
      <c r="AC123" s="206"/>
      <c r="AD123" s="203"/>
      <c r="AE123" s="205"/>
      <c r="AF123" s="205"/>
      <c r="AG123" s="205"/>
      <c r="AH123" s="205"/>
      <c r="AI123" s="205"/>
      <c r="AJ123" s="135"/>
      <c r="AK123" s="318"/>
      <c r="AL123" s="290">
        <v>63438</v>
      </c>
      <c r="AM123" s="290">
        <v>44150</v>
      </c>
      <c r="AN123" s="290"/>
      <c r="AO123" s="290"/>
      <c r="AP123" s="290"/>
      <c r="AQ123" s="290"/>
      <c r="AR123" s="290"/>
      <c r="AS123" s="207" t="s">
        <v>132</v>
      </c>
      <c r="AT123" s="116" t="s">
        <v>132</v>
      </c>
      <c r="AU123" s="198" t="s">
        <v>1001</v>
      </c>
      <c r="AV123" s="39"/>
      <c r="AW123" s="198" t="s">
        <v>105</v>
      </c>
      <c r="AX123" s="112" t="s">
        <v>106</v>
      </c>
      <c r="AY123" s="205">
        <v>94115</v>
      </c>
      <c r="AZ123" s="198" t="s">
        <v>1000</v>
      </c>
      <c r="BA123" s="207"/>
    </row>
    <row r="124" spans="1:53" ht="14.15" customHeight="1" x14ac:dyDescent="0.4">
      <c r="A124" s="256" t="s">
        <v>1002</v>
      </c>
      <c r="B124" s="67" t="s">
        <v>125</v>
      </c>
      <c r="C124" s="111" t="s">
        <v>109</v>
      </c>
      <c r="D124" s="115"/>
      <c r="E124" s="120" t="s">
        <v>100</v>
      </c>
      <c r="F124" s="82"/>
      <c r="G124" s="84"/>
      <c r="H124" s="90" t="s">
        <v>100</v>
      </c>
      <c r="I124" s="91"/>
      <c r="J124" s="97"/>
      <c r="K124" s="102"/>
      <c r="L124" s="327"/>
      <c r="M124" s="106">
        <v>44111</v>
      </c>
      <c r="N124" s="113" t="s">
        <v>1003</v>
      </c>
      <c r="O124" s="113" t="s">
        <v>1004</v>
      </c>
      <c r="P124" s="57" t="s">
        <v>1005</v>
      </c>
      <c r="Q124" s="132">
        <v>9.7500000000000003E-2</v>
      </c>
      <c r="R124" s="132"/>
      <c r="S124" s="63" t="s">
        <v>138</v>
      </c>
      <c r="T124" s="67" t="s">
        <v>1006</v>
      </c>
      <c r="U124" s="67" t="s">
        <v>138</v>
      </c>
      <c r="V124" s="113" t="s">
        <v>106</v>
      </c>
      <c r="W124" s="222">
        <v>94520</v>
      </c>
      <c r="X124" s="141"/>
      <c r="Z124" s="236"/>
      <c r="AA124" s="200"/>
      <c r="AB124" s="130"/>
      <c r="AC124" s="202"/>
      <c r="AD124" s="200"/>
      <c r="AE124" s="113"/>
      <c r="AF124" s="113"/>
      <c r="AG124" s="113"/>
      <c r="AH124" s="113"/>
      <c r="AI124" s="130"/>
      <c r="AK124" s="57"/>
      <c r="AS124" s="207"/>
      <c r="AU124" s="67" t="s">
        <v>1006</v>
      </c>
      <c r="AV124" s="251"/>
      <c r="AW124" s="67" t="s">
        <v>138</v>
      </c>
      <c r="AX124" s="113" t="s">
        <v>106</v>
      </c>
      <c r="AY124" s="222">
        <v>94520</v>
      </c>
      <c r="AZ124" s="199" t="s">
        <v>1007</v>
      </c>
      <c r="BA124" s="317"/>
    </row>
    <row r="125" spans="1:53" s="210" customFormat="1" ht="14.15" customHeight="1" x14ac:dyDescent="0.4">
      <c r="A125" s="256" t="s">
        <v>1008</v>
      </c>
      <c r="B125" s="67" t="s">
        <v>98</v>
      </c>
      <c r="C125" s="111" t="s">
        <v>99</v>
      </c>
      <c r="D125" s="113"/>
      <c r="E125" s="120" t="s">
        <v>100</v>
      </c>
      <c r="F125" s="82" t="s">
        <v>0</v>
      </c>
      <c r="G125" s="84" t="s">
        <v>0</v>
      </c>
      <c r="H125" s="90" t="s">
        <v>100</v>
      </c>
      <c r="I125" s="91" t="s">
        <v>0</v>
      </c>
      <c r="J125" s="97" t="s">
        <v>0</v>
      </c>
      <c r="K125" s="102">
        <v>45275</v>
      </c>
      <c r="L125" s="327"/>
      <c r="M125" s="106">
        <v>44461</v>
      </c>
      <c r="N125" s="113" t="s">
        <v>1009</v>
      </c>
      <c r="O125" s="113" t="s">
        <v>1010</v>
      </c>
      <c r="P125" s="57" t="s">
        <v>1011</v>
      </c>
      <c r="Q125" s="132">
        <v>0.10249999999999999</v>
      </c>
      <c r="R125" s="132">
        <v>8.2500000000000004E-2</v>
      </c>
      <c r="S125" s="63" t="s">
        <v>653</v>
      </c>
      <c r="T125" s="67" t="s">
        <v>1012</v>
      </c>
      <c r="U125" s="67" t="s">
        <v>653</v>
      </c>
      <c r="V125" s="113" t="s">
        <v>106</v>
      </c>
      <c r="W125" s="222">
        <v>94952</v>
      </c>
      <c r="X125" s="141" t="s">
        <v>1013</v>
      </c>
      <c r="Y125" s="139" t="s">
        <v>1014</v>
      </c>
      <c r="Z125" s="236"/>
      <c r="AA125" s="200" t="s">
        <v>1015</v>
      </c>
      <c r="AB125" s="130" t="s">
        <v>1016</v>
      </c>
      <c r="AC125" s="202" t="s">
        <v>1017</v>
      </c>
      <c r="AD125" s="200"/>
      <c r="AE125" s="113"/>
      <c r="AF125" s="113"/>
      <c r="AG125" s="113"/>
      <c r="AH125" s="113"/>
      <c r="AI125" s="130" t="s">
        <v>1018</v>
      </c>
      <c r="AJ125" s="135" t="s">
        <v>116</v>
      </c>
      <c r="AK125" s="57"/>
      <c r="AL125" s="290" t="s">
        <v>289</v>
      </c>
      <c r="AM125" s="290" t="s">
        <v>1019</v>
      </c>
      <c r="AN125" s="290">
        <v>15741</v>
      </c>
      <c r="AO125" s="290">
        <v>62245</v>
      </c>
      <c r="AP125" s="290"/>
      <c r="AQ125" s="290"/>
      <c r="AR125" s="290" t="s">
        <v>1020</v>
      </c>
      <c r="AS125" s="207" t="s">
        <v>132</v>
      </c>
      <c r="AT125" s="116" t="s">
        <v>132</v>
      </c>
      <c r="AU125" s="67" t="str">
        <f>PROPER(AV125)</f>
        <v>42 Petaluma Blvd North</v>
      </c>
      <c r="AV125" s="251" t="s">
        <v>1021</v>
      </c>
      <c r="AW125" s="67" t="s">
        <v>653</v>
      </c>
      <c r="AX125" s="113" t="s">
        <v>106</v>
      </c>
      <c r="AY125" s="222">
        <v>94952</v>
      </c>
      <c r="AZ125" s="199" t="s">
        <v>1010</v>
      </c>
      <c r="BA125" s="75"/>
    </row>
    <row r="126" spans="1:53" s="210" customFormat="1" ht="14.15" customHeight="1" x14ac:dyDescent="0.4">
      <c r="A126" s="256" t="s">
        <v>1022</v>
      </c>
      <c r="B126" s="67" t="s">
        <v>98</v>
      </c>
      <c r="C126" s="111" t="s">
        <v>99</v>
      </c>
      <c r="D126" s="113"/>
      <c r="E126" s="120" t="s">
        <v>100</v>
      </c>
      <c r="F126" s="82"/>
      <c r="G126" s="84"/>
      <c r="H126" s="90" t="s">
        <v>100</v>
      </c>
      <c r="I126" s="91"/>
      <c r="J126" s="97"/>
      <c r="K126" s="102">
        <v>45273</v>
      </c>
      <c r="L126" s="327"/>
      <c r="M126" s="106"/>
      <c r="N126" s="113" t="s">
        <v>1023</v>
      </c>
      <c r="O126" s="113" t="s">
        <v>1024</v>
      </c>
      <c r="P126" s="57" t="s">
        <v>1025</v>
      </c>
      <c r="Q126" s="132">
        <v>8.6249999999999993E-2</v>
      </c>
      <c r="R126" s="132"/>
      <c r="S126" s="63" t="s">
        <v>103</v>
      </c>
      <c r="T126" s="67" t="s">
        <v>1026</v>
      </c>
      <c r="U126" s="67" t="s">
        <v>105</v>
      </c>
      <c r="V126" s="113" t="s">
        <v>106</v>
      </c>
      <c r="W126" s="222">
        <v>94118</v>
      </c>
      <c r="X126" s="141" t="s">
        <v>1027</v>
      </c>
      <c r="Y126" s="236"/>
      <c r="Z126" s="236"/>
      <c r="AA126" s="200"/>
      <c r="AB126" s="130"/>
      <c r="AC126" s="202"/>
      <c r="AD126" s="200"/>
      <c r="AE126" s="113"/>
      <c r="AF126" s="113"/>
      <c r="AG126" s="113"/>
      <c r="AH126" s="113"/>
      <c r="AI126" s="130"/>
      <c r="AJ126" s="135"/>
      <c r="AK126" s="57"/>
      <c r="AL126" s="290" t="s">
        <v>149</v>
      </c>
      <c r="AM126" s="290">
        <v>13305</v>
      </c>
      <c r="AN126" s="290" t="s">
        <v>198</v>
      </c>
      <c r="AO126" s="290">
        <v>62245</v>
      </c>
      <c r="AP126" s="290">
        <v>67240</v>
      </c>
      <c r="AQ126" s="290"/>
      <c r="AR126" s="290"/>
      <c r="AS126" s="207" t="s">
        <v>132</v>
      </c>
      <c r="AT126" s="116" t="s">
        <v>132</v>
      </c>
      <c r="AU126" s="67" t="s">
        <v>1028</v>
      </c>
      <c r="AV126" s="251"/>
      <c r="AW126" s="67" t="s">
        <v>105</v>
      </c>
      <c r="AX126" s="113" t="s">
        <v>106</v>
      </c>
      <c r="AY126" s="222">
        <v>94118</v>
      </c>
      <c r="AZ126" s="199" t="s">
        <v>1029</v>
      </c>
      <c r="BA126" s="207"/>
    </row>
    <row r="127" spans="1:53" s="251" customFormat="1" ht="14.15" customHeight="1" x14ac:dyDescent="0.4">
      <c r="A127" s="256" t="s">
        <v>1030</v>
      </c>
      <c r="B127" s="67" t="s">
        <v>118</v>
      </c>
      <c r="C127" s="111" t="s">
        <v>99</v>
      </c>
      <c r="D127" s="115" t="s">
        <v>1031</v>
      </c>
      <c r="E127" s="120" t="s">
        <v>100</v>
      </c>
      <c r="F127" s="82"/>
      <c r="G127" s="84"/>
      <c r="H127" s="90" t="s">
        <v>100</v>
      </c>
      <c r="I127" s="91"/>
      <c r="J127" s="97"/>
      <c r="K127" s="102">
        <v>44603</v>
      </c>
      <c r="L127" s="327"/>
      <c r="M127" s="106">
        <v>43839</v>
      </c>
      <c r="N127" s="113" t="s">
        <v>1032</v>
      </c>
      <c r="O127" s="113" t="s">
        <v>1033</v>
      </c>
      <c r="P127" s="57"/>
      <c r="Q127" s="132">
        <v>0.10249999999999999</v>
      </c>
      <c r="R127" s="132"/>
      <c r="S127" s="63" t="s">
        <v>653</v>
      </c>
      <c r="T127" s="67" t="s">
        <v>1034</v>
      </c>
      <c r="U127" s="67" t="s">
        <v>653</v>
      </c>
      <c r="V127" s="113" t="s">
        <v>106</v>
      </c>
      <c r="W127" s="222">
        <v>94952</v>
      </c>
      <c r="X127" s="141"/>
      <c r="Y127" s="236"/>
      <c r="Z127" s="236"/>
      <c r="AA127" s="200"/>
      <c r="AB127" s="130"/>
      <c r="AC127" s="202"/>
      <c r="AD127" s="200"/>
      <c r="AE127" s="113"/>
      <c r="AF127" s="113"/>
      <c r="AG127" s="113"/>
      <c r="AH127" s="113"/>
      <c r="AI127" s="130"/>
      <c r="AJ127" s="135"/>
      <c r="AK127" s="57"/>
      <c r="AL127" s="287">
        <v>1493</v>
      </c>
      <c r="AM127" s="288"/>
      <c r="AN127" s="288"/>
      <c r="AO127" s="288"/>
      <c r="AP127" s="288"/>
      <c r="AQ127" s="288"/>
      <c r="AR127" s="288"/>
      <c r="AS127" s="207"/>
      <c r="AT127" s="116"/>
      <c r="AU127" s="67" t="s">
        <v>1034</v>
      </c>
      <c r="AW127" s="67" t="s">
        <v>653</v>
      </c>
      <c r="AX127" s="113" t="s">
        <v>106</v>
      </c>
      <c r="AY127" s="222">
        <v>94952</v>
      </c>
      <c r="AZ127" s="199" t="s">
        <v>1033</v>
      </c>
      <c r="BA127" s="317"/>
    </row>
    <row r="128" spans="1:53" s="251" customFormat="1" ht="14.15" customHeight="1" x14ac:dyDescent="0.4">
      <c r="A128" s="256" t="s">
        <v>1035</v>
      </c>
      <c r="B128" s="67" t="s">
        <v>253</v>
      </c>
      <c r="C128" s="111" t="s">
        <v>99</v>
      </c>
      <c r="D128" s="115"/>
      <c r="E128" s="120" t="s">
        <v>598</v>
      </c>
      <c r="F128" s="82" t="s">
        <v>174</v>
      </c>
      <c r="G128" s="84"/>
      <c r="H128" s="90" t="s">
        <v>1036</v>
      </c>
      <c r="I128" s="91">
        <v>45777</v>
      </c>
      <c r="J128" s="97"/>
      <c r="K128" s="102">
        <v>45940</v>
      </c>
      <c r="L128" s="327"/>
      <c r="M128" s="106"/>
      <c r="N128" s="113" t="s">
        <v>1037</v>
      </c>
      <c r="O128" s="113" t="s">
        <v>1038</v>
      </c>
      <c r="P128" s="57"/>
      <c r="Q128" s="132">
        <v>9.1249999999999998E-2</v>
      </c>
      <c r="R128" s="132"/>
      <c r="S128" s="63" t="s">
        <v>303</v>
      </c>
      <c r="T128" s="67" t="s">
        <v>1039</v>
      </c>
      <c r="U128" s="67" t="s">
        <v>1040</v>
      </c>
      <c r="V128" s="113" t="s">
        <v>106</v>
      </c>
      <c r="W128" s="222">
        <v>94510</v>
      </c>
      <c r="X128" s="141"/>
      <c r="Y128" s="236"/>
      <c r="Z128" s="236"/>
      <c r="AA128" s="200"/>
      <c r="AB128" s="130"/>
      <c r="AC128" s="202"/>
      <c r="AD128" s="200"/>
      <c r="AE128" s="113"/>
      <c r="AF128" s="113"/>
      <c r="AG128" s="113"/>
      <c r="AH128" s="113"/>
      <c r="AI128" s="130"/>
      <c r="AJ128" s="135"/>
      <c r="AK128" s="57"/>
      <c r="AL128" s="287" t="s">
        <v>251</v>
      </c>
      <c r="AM128" s="288"/>
      <c r="AN128" s="288"/>
      <c r="AO128" s="288"/>
      <c r="AP128" s="288"/>
      <c r="AQ128" s="288"/>
      <c r="AR128" s="288"/>
      <c r="AS128" s="207"/>
      <c r="AT128" s="116" t="s">
        <v>589</v>
      </c>
      <c r="AU128" s="67" t="s">
        <v>1039</v>
      </c>
      <c r="AW128" s="67" t="s">
        <v>1040</v>
      </c>
      <c r="AX128" s="113" t="s">
        <v>106</v>
      </c>
      <c r="AY128" s="222">
        <v>94510</v>
      </c>
      <c r="AZ128" s="199" t="s">
        <v>1038</v>
      </c>
      <c r="BA128" s="317"/>
    </row>
    <row r="129" spans="1:53" s="210" customFormat="1" ht="14.15" customHeight="1" x14ac:dyDescent="0.4">
      <c r="A129" s="256" t="s">
        <v>1041</v>
      </c>
      <c r="B129" s="67" t="s">
        <v>98</v>
      </c>
      <c r="C129" s="111" t="s">
        <v>99</v>
      </c>
      <c r="D129" s="112"/>
      <c r="E129" s="119" t="s">
        <v>100</v>
      </c>
      <c r="F129" s="83"/>
      <c r="G129" s="209"/>
      <c r="H129" s="88" t="s">
        <v>100</v>
      </c>
      <c r="I129" s="89"/>
      <c r="J129" s="98"/>
      <c r="K129" s="101">
        <v>44404</v>
      </c>
      <c r="L129" s="329"/>
      <c r="M129" s="105">
        <v>44404</v>
      </c>
      <c r="N129" s="112" t="s">
        <v>1042</v>
      </c>
      <c r="O129" s="112" t="s">
        <v>1043</v>
      </c>
      <c r="P129" s="198" t="s">
        <v>1044</v>
      </c>
      <c r="Q129" s="132">
        <v>8.2500000000000004E-2</v>
      </c>
      <c r="R129" s="132">
        <v>7.4999999999999997E-2</v>
      </c>
      <c r="S129" s="63" t="s">
        <v>1045</v>
      </c>
      <c r="T129" s="198" t="s">
        <v>1046</v>
      </c>
      <c r="U129" s="198" t="s">
        <v>1047</v>
      </c>
      <c r="V129" s="112" t="s">
        <v>106</v>
      </c>
      <c r="W129" s="205">
        <v>93238</v>
      </c>
      <c r="X129" s="141" t="s">
        <v>1048</v>
      </c>
      <c r="Y129" s="139" t="s">
        <v>1048</v>
      </c>
      <c r="Z129" s="139" t="s">
        <v>1048</v>
      </c>
      <c r="AA129" s="203" t="s">
        <v>1049</v>
      </c>
      <c r="AB129" s="205"/>
      <c r="AC129" s="206"/>
      <c r="AD129" s="203"/>
      <c r="AE129" s="205"/>
      <c r="AF129" s="205"/>
      <c r="AG129" s="205"/>
      <c r="AH129" s="205"/>
      <c r="AI129" s="205" t="s">
        <v>0</v>
      </c>
      <c r="AJ129" s="135" t="s">
        <v>116</v>
      </c>
      <c r="AK129" s="318"/>
      <c r="AL129" s="290"/>
      <c r="AM129" s="290"/>
      <c r="AN129" s="290"/>
      <c r="AO129" s="290">
        <v>62235</v>
      </c>
      <c r="AP129" s="290"/>
      <c r="AQ129" s="290"/>
      <c r="AR129" s="290" t="s">
        <v>1050</v>
      </c>
      <c r="AS129" s="207" t="s">
        <v>132</v>
      </c>
      <c r="AT129" s="116" t="s">
        <v>132</v>
      </c>
      <c r="AU129" s="198" t="s">
        <v>1051</v>
      </c>
      <c r="AV129" s="39"/>
      <c r="AW129" s="198" t="s">
        <v>1047</v>
      </c>
      <c r="AX129" s="112" t="s">
        <v>106</v>
      </c>
      <c r="AY129" s="205">
        <v>93228</v>
      </c>
      <c r="AZ129" s="198" t="s">
        <v>1043</v>
      </c>
      <c r="BA129" s="317"/>
    </row>
    <row r="130" spans="1:53" s="210" customFormat="1" ht="14.15" customHeight="1" x14ac:dyDescent="0.4">
      <c r="A130" s="256" t="s">
        <v>1052</v>
      </c>
      <c r="B130" s="67" t="s">
        <v>98</v>
      </c>
      <c r="C130" s="111" t="s">
        <v>99</v>
      </c>
      <c r="D130" s="115"/>
      <c r="E130" s="120" t="s">
        <v>100</v>
      </c>
      <c r="F130" s="82"/>
      <c r="G130" s="84"/>
      <c r="H130" s="90" t="s">
        <v>100</v>
      </c>
      <c r="I130" s="91"/>
      <c r="J130" s="97"/>
      <c r="K130" s="102">
        <v>43446</v>
      </c>
      <c r="L130" s="327"/>
      <c r="M130" s="106">
        <v>43895</v>
      </c>
      <c r="N130" s="113" t="s">
        <v>1053</v>
      </c>
      <c r="O130" s="113" t="s">
        <v>1054</v>
      </c>
      <c r="P130" s="57"/>
      <c r="Q130" s="132">
        <v>8.6249999999999993E-2</v>
      </c>
      <c r="R130" s="132"/>
      <c r="S130" s="63" t="s">
        <v>103</v>
      </c>
      <c r="T130" s="67" t="s">
        <v>1055</v>
      </c>
      <c r="U130" s="67" t="s">
        <v>105</v>
      </c>
      <c r="V130" s="113" t="s">
        <v>106</v>
      </c>
      <c r="W130" s="222">
        <v>94123</v>
      </c>
      <c r="X130" s="141" t="s">
        <v>1056</v>
      </c>
      <c r="Y130" s="236"/>
      <c r="Z130" s="236"/>
      <c r="AA130" s="200"/>
      <c r="AB130" s="130"/>
      <c r="AC130" s="202"/>
      <c r="AD130" s="200"/>
      <c r="AE130" s="113"/>
      <c r="AF130" s="113"/>
      <c r="AG130" s="113"/>
      <c r="AH130" s="113"/>
      <c r="AI130" s="130"/>
      <c r="AJ130" s="135"/>
      <c r="AK130" s="57"/>
      <c r="AL130" s="287" t="s">
        <v>289</v>
      </c>
      <c r="AM130" s="288"/>
      <c r="AN130" s="288"/>
      <c r="AO130" s="288"/>
      <c r="AP130" s="288"/>
      <c r="AQ130" s="288"/>
      <c r="AR130" s="288"/>
      <c r="AS130" s="207" t="s">
        <v>132</v>
      </c>
      <c r="AT130" s="116" t="s">
        <v>132</v>
      </c>
      <c r="AU130" s="67" t="s">
        <v>1055</v>
      </c>
      <c r="AV130" s="251"/>
      <c r="AW130" s="67" t="s">
        <v>105</v>
      </c>
      <c r="AX130" s="113" t="s">
        <v>106</v>
      </c>
      <c r="AY130" s="222">
        <v>94123</v>
      </c>
      <c r="AZ130" s="199" t="s">
        <v>1057</v>
      </c>
      <c r="BA130" s="317"/>
    </row>
    <row r="131" spans="1:53" s="210" customFormat="1" ht="14.15" customHeight="1" x14ac:dyDescent="0.4">
      <c r="A131" s="256" t="s">
        <v>1058</v>
      </c>
      <c r="B131" s="67" t="s">
        <v>98</v>
      </c>
      <c r="C131" s="111" t="s">
        <v>99</v>
      </c>
      <c r="D131" s="79"/>
      <c r="E131" s="118" t="s">
        <v>100</v>
      </c>
      <c r="F131" s="80"/>
      <c r="G131" s="81"/>
      <c r="H131" s="92" t="s">
        <v>100</v>
      </c>
      <c r="I131" s="86"/>
      <c r="J131" s="96"/>
      <c r="K131" s="100">
        <v>45250</v>
      </c>
      <c r="L131" s="328"/>
      <c r="M131" s="104">
        <v>44670</v>
      </c>
      <c r="N131" s="128" t="s">
        <v>1059</v>
      </c>
      <c r="O131" s="128" t="s">
        <v>1060</v>
      </c>
      <c r="P131" s="59"/>
      <c r="Q131" s="132">
        <v>8.3750000000000005E-2</v>
      </c>
      <c r="R131" s="131">
        <v>8.6300000000000002E-2</v>
      </c>
      <c r="S131" s="63" t="s">
        <v>1061</v>
      </c>
      <c r="T131" s="67" t="s">
        <v>1062</v>
      </c>
      <c r="U131" s="67" t="s">
        <v>1061</v>
      </c>
      <c r="V131" s="79" t="s">
        <v>106</v>
      </c>
      <c r="W131" s="76">
        <v>94585</v>
      </c>
      <c r="X131" s="147"/>
      <c r="Y131" s="236"/>
      <c r="Z131" s="234"/>
      <c r="AA131" s="79"/>
      <c r="AB131" s="135"/>
      <c r="AC131" s="136"/>
      <c r="AD131" s="79"/>
      <c r="AE131" s="128"/>
      <c r="AF131" s="128"/>
      <c r="AG131" s="128"/>
      <c r="AH131" s="128"/>
      <c r="AI131" s="135"/>
      <c r="AJ131" s="135"/>
      <c r="AK131" s="58"/>
      <c r="AL131" s="290">
        <v>15157</v>
      </c>
      <c r="AM131" s="290">
        <v>13305</v>
      </c>
      <c r="AN131" s="290">
        <v>15303</v>
      </c>
      <c r="AO131" s="290">
        <v>62245</v>
      </c>
      <c r="AP131" s="290"/>
      <c r="AQ131" s="290"/>
      <c r="AR131" s="290" t="s">
        <v>1063</v>
      </c>
      <c r="AS131" s="207" t="s">
        <v>132</v>
      </c>
      <c r="AT131" s="116" t="s">
        <v>132</v>
      </c>
      <c r="AU131" s="67" t="s">
        <v>1062</v>
      </c>
      <c r="AV131" s="66"/>
      <c r="AW131" s="67" t="s">
        <v>1061</v>
      </c>
      <c r="AX131" s="79" t="s">
        <v>106</v>
      </c>
      <c r="AY131" s="76">
        <v>94585</v>
      </c>
      <c r="AZ131" s="77" t="s">
        <v>1060</v>
      </c>
      <c r="BA131" s="317"/>
    </row>
    <row r="132" spans="1:53" ht="14.15" customHeight="1" x14ac:dyDescent="0.25">
      <c r="A132" s="256" t="s">
        <v>1064</v>
      </c>
      <c r="B132" s="67" t="s">
        <v>98</v>
      </c>
      <c r="C132" s="109" t="s">
        <v>99</v>
      </c>
      <c r="E132" s="118" t="s">
        <v>100</v>
      </c>
      <c r="F132" s="80"/>
      <c r="G132" s="81"/>
      <c r="H132" s="87" t="s">
        <v>100</v>
      </c>
      <c r="I132" s="86"/>
      <c r="J132" s="96"/>
      <c r="K132" s="100">
        <v>45380</v>
      </c>
      <c r="L132" s="328"/>
      <c r="M132" s="104"/>
      <c r="N132" s="128" t="s">
        <v>1065</v>
      </c>
      <c r="O132" s="128" t="s">
        <v>1066</v>
      </c>
      <c r="P132" s="59" t="s">
        <v>1067</v>
      </c>
      <c r="Q132" s="132">
        <v>8.6249999999999993E-2</v>
      </c>
      <c r="R132" s="132">
        <v>8.7499999999999994E-2</v>
      </c>
      <c r="S132" s="63" t="s">
        <v>103</v>
      </c>
      <c r="T132" s="67" t="s">
        <v>1068</v>
      </c>
      <c r="U132" s="67" t="s">
        <v>105</v>
      </c>
      <c r="V132" s="79" t="s">
        <v>106</v>
      </c>
      <c r="W132" s="76">
        <v>94103</v>
      </c>
      <c r="X132" s="141" t="s">
        <v>1069</v>
      </c>
      <c r="Y132" s="226" t="s">
        <v>1070</v>
      </c>
      <c r="Z132" s="226" t="s">
        <v>1071</v>
      </c>
      <c r="AA132" s="79" t="s">
        <v>1072</v>
      </c>
      <c r="AB132" s="135" t="s">
        <v>1073</v>
      </c>
      <c r="AI132" s="135" t="s">
        <v>1074</v>
      </c>
      <c r="AJ132" s="135" t="s">
        <v>116</v>
      </c>
      <c r="AL132" s="290" t="s">
        <v>149</v>
      </c>
      <c r="AM132" s="290">
        <v>13305</v>
      </c>
      <c r="AN132" s="290"/>
      <c r="AO132" s="290"/>
      <c r="AP132" s="290"/>
      <c r="AQ132" s="290"/>
      <c r="AR132" s="290"/>
      <c r="AS132" s="207" t="s">
        <v>132</v>
      </c>
      <c r="AT132" s="116" t="s">
        <v>132</v>
      </c>
      <c r="AU132" s="67" t="s">
        <v>1068</v>
      </c>
      <c r="AW132" s="67" t="s">
        <v>105</v>
      </c>
      <c r="AX132" s="79" t="s">
        <v>106</v>
      </c>
      <c r="AY132" s="76">
        <v>94103</v>
      </c>
      <c r="AZ132" s="77" t="s">
        <v>1066</v>
      </c>
      <c r="BA132" s="317"/>
    </row>
    <row r="133" spans="1:53" ht="14.15" customHeight="1" x14ac:dyDescent="0.25">
      <c r="A133" s="256" t="s">
        <v>6359</v>
      </c>
      <c r="B133" s="67" t="s">
        <v>98</v>
      </c>
      <c r="C133" s="109" t="s">
        <v>99</v>
      </c>
      <c r="E133" s="118" t="s">
        <v>100</v>
      </c>
      <c r="F133" s="80"/>
      <c r="G133" s="81"/>
      <c r="H133" s="87"/>
      <c r="I133" s="86"/>
      <c r="J133" s="96"/>
      <c r="K133" s="100">
        <v>45944</v>
      </c>
      <c r="L133" s="328"/>
      <c r="M133" s="104"/>
      <c r="N133" s="128" t="s">
        <v>1059</v>
      </c>
      <c r="O133" s="128" t="s">
        <v>6360</v>
      </c>
      <c r="Q133" s="132">
        <v>8.6300000000000002E-2</v>
      </c>
      <c r="R133" s="132"/>
      <c r="S133" s="63" t="s">
        <v>103</v>
      </c>
      <c r="T133" s="67" t="s">
        <v>6361</v>
      </c>
      <c r="U133" s="67" t="s">
        <v>105</v>
      </c>
      <c r="V133" s="79" t="s">
        <v>106</v>
      </c>
      <c r="W133" s="76">
        <v>94133</v>
      </c>
      <c r="X133" s="141" t="s">
        <v>6362</v>
      </c>
      <c r="Y133" s="226" t="s">
        <v>6363</v>
      </c>
      <c r="Z133" s="226" t="s">
        <v>6386</v>
      </c>
      <c r="AL133" s="290" t="s">
        <v>251</v>
      </c>
      <c r="AM133" s="290"/>
      <c r="AN133" s="290"/>
      <c r="AO133" s="290"/>
      <c r="AP133" s="290"/>
      <c r="AQ133" s="290"/>
      <c r="AR133" s="290"/>
      <c r="AS133" s="207"/>
      <c r="AU133" s="67" t="s">
        <v>6361</v>
      </c>
      <c r="AW133" s="67" t="s">
        <v>105</v>
      </c>
      <c r="AX133" s="79" t="s">
        <v>106</v>
      </c>
      <c r="AY133" s="76">
        <v>94133</v>
      </c>
      <c r="AZ133" s="77" t="s">
        <v>6360</v>
      </c>
      <c r="BA133" s="317"/>
    </row>
    <row r="134" spans="1:53" s="251" customFormat="1" ht="14.15" customHeight="1" x14ac:dyDescent="0.4">
      <c r="A134" s="256" t="s">
        <v>1075</v>
      </c>
      <c r="B134" s="67" t="s">
        <v>244</v>
      </c>
      <c r="C134" s="109" t="s">
        <v>1076</v>
      </c>
      <c r="D134" s="79" t="s">
        <v>1077</v>
      </c>
      <c r="E134" s="120" t="s">
        <v>173</v>
      </c>
      <c r="F134" s="82" t="s">
        <v>174</v>
      </c>
      <c r="G134" s="81"/>
      <c r="H134" s="87"/>
      <c r="I134" s="86"/>
      <c r="J134" s="96"/>
      <c r="K134" s="100">
        <v>45932</v>
      </c>
      <c r="L134" s="328"/>
      <c r="M134" s="104">
        <v>44426</v>
      </c>
      <c r="N134" s="128" t="s">
        <v>1078</v>
      </c>
      <c r="O134" s="128" t="s">
        <v>1079</v>
      </c>
      <c r="P134" s="59"/>
      <c r="Q134" s="132">
        <v>8.6249999999999993E-2</v>
      </c>
      <c r="R134" s="132">
        <v>8.7499999999999994E-2</v>
      </c>
      <c r="S134" s="63" t="s">
        <v>103</v>
      </c>
      <c r="T134" s="67" t="s">
        <v>1080</v>
      </c>
      <c r="U134" s="67" t="s">
        <v>105</v>
      </c>
      <c r="V134" s="79" t="s">
        <v>106</v>
      </c>
      <c r="W134" s="76">
        <v>94133</v>
      </c>
      <c r="X134" s="141" t="s">
        <v>1081</v>
      </c>
      <c r="Y134" s="141" t="s">
        <v>1081</v>
      </c>
      <c r="Z134" s="234"/>
      <c r="AA134" s="79" t="s">
        <v>1082</v>
      </c>
      <c r="AB134" s="135"/>
      <c r="AC134" s="136"/>
      <c r="AD134" s="79"/>
      <c r="AE134" s="128"/>
      <c r="AF134" s="128"/>
      <c r="AG134" s="128"/>
      <c r="AH134" s="128"/>
      <c r="AI134" s="135" t="s">
        <v>1083</v>
      </c>
      <c r="AJ134" s="135" t="s">
        <v>116</v>
      </c>
      <c r="AK134" s="58"/>
      <c r="AL134" s="290" t="s">
        <v>251</v>
      </c>
      <c r="AM134" s="290"/>
      <c r="AN134" s="290"/>
      <c r="AO134" s="290"/>
      <c r="AP134" s="290"/>
      <c r="AQ134" s="290"/>
      <c r="AR134" s="290" t="s">
        <v>1050</v>
      </c>
      <c r="AS134" s="207" t="s">
        <v>132</v>
      </c>
      <c r="AT134" s="116" t="s">
        <v>132</v>
      </c>
      <c r="AU134" s="67" t="str">
        <f>PROPER(AV134)</f>
        <v>Pier 39 Space 121</v>
      </c>
      <c r="AV134" s="66" t="s">
        <v>1084</v>
      </c>
      <c r="AW134" s="67" t="s">
        <v>105</v>
      </c>
      <c r="AX134" s="79" t="s">
        <v>106</v>
      </c>
      <c r="AY134" s="76">
        <v>94133</v>
      </c>
      <c r="AZ134" s="77" t="s">
        <v>1079</v>
      </c>
      <c r="BA134" s="317"/>
    </row>
    <row r="135" spans="1:53" s="251" customFormat="1" ht="14.15" customHeight="1" x14ac:dyDescent="0.4">
      <c r="A135" s="256" t="s">
        <v>1085</v>
      </c>
      <c r="B135" s="67" t="s">
        <v>98</v>
      </c>
      <c r="C135" s="111" t="s">
        <v>563</v>
      </c>
      <c r="D135" s="113"/>
      <c r="E135" s="120" t="s">
        <v>100</v>
      </c>
      <c r="F135" s="82"/>
      <c r="G135" s="84"/>
      <c r="H135" s="90" t="s">
        <v>100</v>
      </c>
      <c r="I135" s="91"/>
      <c r="J135" s="97"/>
      <c r="K135" s="102">
        <v>45778</v>
      </c>
      <c r="L135" s="327"/>
      <c r="M135" s="106"/>
      <c r="N135" s="113" t="s">
        <v>1086</v>
      </c>
      <c r="O135" s="113" t="s">
        <v>1087</v>
      </c>
      <c r="P135" s="57"/>
      <c r="Q135" s="132">
        <v>0.1075</v>
      </c>
      <c r="R135" s="132">
        <v>9.5000000000000001E-2</v>
      </c>
      <c r="S135" s="63" t="s">
        <v>324</v>
      </c>
      <c r="T135" s="67" t="s">
        <v>1088</v>
      </c>
      <c r="U135" s="67" t="s">
        <v>324</v>
      </c>
      <c r="V135" s="113" t="s">
        <v>106</v>
      </c>
      <c r="W135" s="222">
        <v>94502</v>
      </c>
      <c r="X135" s="141" t="s">
        <v>1089</v>
      </c>
      <c r="Y135" s="139" t="s">
        <v>6475</v>
      </c>
      <c r="Z135" s="139" t="s">
        <v>1089</v>
      </c>
      <c r="AA135" s="200" t="s">
        <v>1090</v>
      </c>
      <c r="AB135" s="130" t="s">
        <v>1091</v>
      </c>
      <c r="AC135" s="202"/>
      <c r="AD135" s="200"/>
      <c r="AE135" s="113"/>
      <c r="AF135" s="113"/>
      <c r="AG135" s="113"/>
      <c r="AH135" s="113"/>
      <c r="AI135" s="130"/>
      <c r="AJ135" s="135"/>
      <c r="AK135" s="53"/>
      <c r="AL135" s="290" t="s">
        <v>289</v>
      </c>
      <c r="AM135" s="290"/>
      <c r="AN135" s="290"/>
      <c r="AO135" s="290"/>
      <c r="AP135" s="290"/>
      <c r="AQ135" s="290"/>
      <c r="AR135" s="290"/>
      <c r="AS135" s="207" t="s">
        <v>132</v>
      </c>
      <c r="AT135" s="116" t="s">
        <v>132</v>
      </c>
      <c r="AU135" s="67" t="s">
        <v>1088</v>
      </c>
      <c r="AW135" s="67" t="s">
        <v>324</v>
      </c>
      <c r="AX135" s="113" t="s">
        <v>106</v>
      </c>
      <c r="AY135" s="222">
        <v>94502</v>
      </c>
      <c r="AZ135" s="199" t="s">
        <v>1087</v>
      </c>
      <c r="BA135" s="317"/>
    </row>
    <row r="136" spans="1:53" s="251" customFormat="1" ht="14.15" customHeight="1" x14ac:dyDescent="0.4">
      <c r="A136" s="256" t="s">
        <v>1092</v>
      </c>
      <c r="B136" s="67" t="s">
        <v>125</v>
      </c>
      <c r="C136" s="111" t="s">
        <v>109</v>
      </c>
      <c r="D136" s="115" t="s">
        <v>1093</v>
      </c>
      <c r="E136" s="120" t="s">
        <v>100</v>
      </c>
      <c r="F136" s="82"/>
      <c r="G136" s="84"/>
      <c r="H136" s="90" t="s">
        <v>100</v>
      </c>
      <c r="I136" s="91"/>
      <c r="J136" s="97"/>
      <c r="K136" s="102">
        <v>45602</v>
      </c>
      <c r="L136" s="327"/>
      <c r="M136" s="106">
        <v>45244</v>
      </c>
      <c r="N136" s="113" t="s">
        <v>1094</v>
      </c>
      <c r="O136" s="130" t="s">
        <v>1095</v>
      </c>
      <c r="P136" s="57" t="s">
        <v>1095</v>
      </c>
      <c r="Q136" s="132">
        <v>8.6249999999999993E-2</v>
      </c>
      <c r="R136" s="132"/>
      <c r="S136" s="63" t="s">
        <v>103</v>
      </c>
      <c r="T136" s="67" t="s">
        <v>1096</v>
      </c>
      <c r="U136" s="67" t="s">
        <v>105</v>
      </c>
      <c r="V136" s="113" t="s">
        <v>106</v>
      </c>
      <c r="W136" s="222">
        <v>94131</v>
      </c>
      <c r="X136" s="141"/>
      <c r="Y136" s="236"/>
      <c r="Z136" s="236"/>
      <c r="AA136" s="200"/>
      <c r="AB136" s="130"/>
      <c r="AC136" s="202"/>
      <c r="AD136" s="200"/>
      <c r="AE136" s="113"/>
      <c r="AF136" s="113"/>
      <c r="AG136" s="113"/>
      <c r="AH136" s="113"/>
      <c r="AI136" s="130"/>
      <c r="AJ136" s="135"/>
      <c r="AK136" s="57"/>
      <c r="AL136" s="287"/>
      <c r="AM136" s="288"/>
      <c r="AN136" s="288"/>
      <c r="AO136" s="288"/>
      <c r="AP136" s="288"/>
      <c r="AQ136" s="288" t="s">
        <v>1097</v>
      </c>
      <c r="AR136" s="288"/>
      <c r="AS136" s="207" t="s">
        <v>1098</v>
      </c>
      <c r="AT136" s="116"/>
      <c r="AU136" s="67" t="s">
        <v>1096</v>
      </c>
      <c r="AW136" s="67" t="s">
        <v>105</v>
      </c>
      <c r="AX136" s="113" t="s">
        <v>106</v>
      </c>
      <c r="AY136" s="222">
        <v>94131</v>
      </c>
      <c r="AZ136" s="57" t="s">
        <v>1095</v>
      </c>
      <c r="BA136" s="317"/>
    </row>
    <row r="137" spans="1:53" s="251" customFormat="1" ht="14.15" customHeight="1" x14ac:dyDescent="0.4">
      <c r="A137" s="256" t="s">
        <v>1099</v>
      </c>
      <c r="B137" s="67" t="s">
        <v>98</v>
      </c>
      <c r="C137" s="111" t="s">
        <v>99</v>
      </c>
      <c r="D137" s="115"/>
      <c r="E137" s="120" t="s">
        <v>100</v>
      </c>
      <c r="F137" s="82"/>
      <c r="G137" s="84"/>
      <c r="H137" s="90" t="s">
        <v>100</v>
      </c>
      <c r="I137" s="91"/>
      <c r="J137" s="97"/>
      <c r="K137" s="102">
        <v>44834</v>
      </c>
      <c r="L137" s="327"/>
      <c r="M137" s="106"/>
      <c r="N137" s="113" t="s">
        <v>1100</v>
      </c>
      <c r="O137" s="113" t="s">
        <v>1101</v>
      </c>
      <c r="P137" s="57" t="s">
        <v>743</v>
      </c>
      <c r="Q137" s="132">
        <v>8.2500000000000004E-2</v>
      </c>
      <c r="R137" s="132"/>
      <c r="S137" s="63" t="s">
        <v>205</v>
      </c>
      <c r="T137" s="67" t="s">
        <v>1102</v>
      </c>
      <c r="U137" s="67" t="s">
        <v>1103</v>
      </c>
      <c r="V137" s="113" t="s">
        <v>106</v>
      </c>
      <c r="W137" s="222">
        <v>94526</v>
      </c>
      <c r="X137" s="141"/>
      <c r="Y137" s="236"/>
      <c r="Z137" s="236"/>
      <c r="AA137" s="200"/>
      <c r="AB137" s="130"/>
      <c r="AC137" s="202"/>
      <c r="AD137" s="200"/>
      <c r="AE137" s="113"/>
      <c r="AF137" s="113"/>
      <c r="AG137" s="113"/>
      <c r="AH137" s="113"/>
      <c r="AI137" s="130"/>
      <c r="AJ137" s="135"/>
      <c r="AK137" s="57"/>
      <c r="AL137" s="287" t="s">
        <v>251</v>
      </c>
      <c r="AM137" s="288"/>
      <c r="AN137" s="288"/>
      <c r="AO137" s="288">
        <v>62245</v>
      </c>
      <c r="AP137" s="288"/>
      <c r="AQ137" s="288"/>
      <c r="AR137" s="288"/>
      <c r="AS137" s="207"/>
      <c r="AT137" s="116" t="s">
        <v>406</v>
      </c>
      <c r="AU137" s="67" t="s">
        <v>1102</v>
      </c>
      <c r="AW137" s="67" t="s">
        <v>1103</v>
      </c>
      <c r="AX137" s="113" t="s">
        <v>106</v>
      </c>
      <c r="AY137" s="222">
        <v>94526</v>
      </c>
      <c r="AZ137" s="199" t="s">
        <v>1101</v>
      </c>
      <c r="BA137" s="317"/>
    </row>
    <row r="138" spans="1:53" s="251" customFormat="1" ht="14.15" customHeight="1" x14ac:dyDescent="0.4">
      <c r="A138" s="256" t="s">
        <v>1104</v>
      </c>
      <c r="B138" s="67" t="s">
        <v>98</v>
      </c>
      <c r="C138" s="109" t="s">
        <v>99</v>
      </c>
      <c r="D138" s="79"/>
      <c r="E138" s="120" t="s">
        <v>100</v>
      </c>
      <c r="F138" s="82"/>
      <c r="G138" s="84"/>
      <c r="H138" s="90" t="s">
        <v>100</v>
      </c>
      <c r="I138" s="91"/>
      <c r="J138" s="97"/>
      <c r="K138" s="102">
        <v>44956</v>
      </c>
      <c r="L138" s="327"/>
      <c r="M138" s="106"/>
      <c r="N138" s="128" t="s">
        <v>1105</v>
      </c>
      <c r="O138" s="128"/>
      <c r="P138" s="59"/>
      <c r="Q138" s="131">
        <v>0.09</v>
      </c>
      <c r="R138" s="131"/>
      <c r="S138" s="63" t="s">
        <v>1106</v>
      </c>
      <c r="T138" s="67" t="s">
        <v>1107</v>
      </c>
      <c r="U138" s="67" t="s">
        <v>1108</v>
      </c>
      <c r="V138" s="79" t="s">
        <v>106</v>
      </c>
      <c r="W138" s="76">
        <v>95205</v>
      </c>
      <c r="X138" s="147"/>
      <c r="Y138" s="236"/>
      <c r="Z138" s="234"/>
      <c r="AA138" s="79"/>
      <c r="AB138" s="135"/>
      <c r="AC138" s="136"/>
      <c r="AD138" s="79"/>
      <c r="AE138" s="128"/>
      <c r="AF138" s="128"/>
      <c r="AG138" s="128"/>
      <c r="AH138" s="128"/>
      <c r="AI138" s="135"/>
      <c r="AJ138" s="135"/>
      <c r="AK138" s="58"/>
      <c r="AL138" s="287" t="s">
        <v>251</v>
      </c>
      <c r="AM138" s="288" t="s">
        <v>180</v>
      </c>
      <c r="AN138" s="288"/>
      <c r="AO138" s="288"/>
      <c r="AP138" s="288"/>
      <c r="AQ138" s="288"/>
      <c r="AR138" s="288"/>
      <c r="AS138" s="207" t="s">
        <v>132</v>
      </c>
      <c r="AT138" s="116" t="s">
        <v>539</v>
      </c>
      <c r="AU138" s="67" t="s">
        <v>1107</v>
      </c>
      <c r="AV138" s="66"/>
      <c r="AW138" s="67" t="s">
        <v>1108</v>
      </c>
      <c r="AX138" s="79" t="s">
        <v>106</v>
      </c>
      <c r="AY138" s="76">
        <v>95205</v>
      </c>
      <c r="AZ138" s="77"/>
      <c r="BA138" s="75"/>
    </row>
    <row r="139" spans="1:53" ht="14.15" customHeight="1" x14ac:dyDescent="0.25">
      <c r="A139" s="256" t="s">
        <v>1109</v>
      </c>
      <c r="B139" s="67" t="s">
        <v>108</v>
      </c>
      <c r="C139" s="109" t="s">
        <v>109</v>
      </c>
      <c r="E139" s="118" t="s">
        <v>100</v>
      </c>
      <c r="F139" s="80"/>
      <c r="G139" s="81"/>
      <c r="H139" s="92" t="s">
        <v>100</v>
      </c>
      <c r="I139" s="86"/>
      <c r="J139" s="96"/>
      <c r="K139" s="100"/>
      <c r="L139" s="328"/>
      <c r="M139" s="104">
        <v>44419</v>
      </c>
      <c r="N139" s="128" t="s">
        <v>1110</v>
      </c>
      <c r="O139" s="128" t="s">
        <v>1111</v>
      </c>
      <c r="P139" s="59" t="s">
        <v>1112</v>
      </c>
      <c r="Q139" s="132">
        <v>0.105</v>
      </c>
      <c r="R139" s="131">
        <v>8.7499999999999994E-2</v>
      </c>
      <c r="S139" s="63" t="s">
        <v>1113</v>
      </c>
      <c r="T139" s="67" t="s">
        <v>1114</v>
      </c>
      <c r="U139" s="67" t="s">
        <v>1115</v>
      </c>
      <c r="V139" s="79" t="s">
        <v>106</v>
      </c>
      <c r="W139" s="76">
        <v>95521</v>
      </c>
      <c r="AL139" s="290"/>
      <c r="AM139" s="290"/>
      <c r="AN139" s="290"/>
      <c r="AO139" s="290"/>
      <c r="AP139" s="290"/>
      <c r="AQ139" s="290"/>
      <c r="AR139" s="290"/>
      <c r="AS139" s="207" t="s">
        <v>132</v>
      </c>
      <c r="AT139" s="116" t="s">
        <v>132</v>
      </c>
      <c r="AU139" s="67" t="s">
        <v>1114</v>
      </c>
      <c r="AW139" s="67" t="s">
        <v>1115</v>
      </c>
      <c r="AX139" s="79" t="s">
        <v>106</v>
      </c>
      <c r="AY139" s="76">
        <v>95521</v>
      </c>
      <c r="AZ139" s="59" t="s">
        <v>1112</v>
      </c>
      <c r="BA139" s="207"/>
    </row>
    <row r="140" spans="1:53" ht="14.15" customHeight="1" x14ac:dyDescent="0.4">
      <c r="A140" s="256" t="s">
        <v>1116</v>
      </c>
      <c r="B140" s="67" t="s">
        <v>434</v>
      </c>
      <c r="C140" s="109" t="s">
        <v>99</v>
      </c>
      <c r="E140" s="120" t="s">
        <v>173</v>
      </c>
      <c r="F140" s="82" t="s">
        <v>1117</v>
      </c>
      <c r="G140" s="84"/>
      <c r="H140" s="90"/>
      <c r="I140" s="91"/>
      <c r="J140" s="97"/>
      <c r="K140" s="102">
        <v>45589</v>
      </c>
      <c r="L140" s="327"/>
      <c r="M140" s="106"/>
      <c r="N140" s="128" t="s">
        <v>1118</v>
      </c>
      <c r="O140" s="128" t="s">
        <v>1119</v>
      </c>
      <c r="Q140" s="131">
        <v>9.7500000000000003E-2</v>
      </c>
      <c r="S140" s="63" t="s">
        <v>205</v>
      </c>
      <c r="T140" s="67" t="s">
        <v>1120</v>
      </c>
      <c r="U140" s="67" t="s">
        <v>576</v>
      </c>
      <c r="V140" s="79" t="s">
        <v>106</v>
      </c>
      <c r="W140" s="76">
        <v>94553</v>
      </c>
      <c r="AL140" s="287" t="s">
        <v>251</v>
      </c>
      <c r="AM140" s="288">
        <v>13305</v>
      </c>
      <c r="AS140" s="207"/>
      <c r="AU140" s="67" t="s">
        <v>1120</v>
      </c>
      <c r="AW140" s="67" t="s">
        <v>576</v>
      </c>
      <c r="AX140" s="79" t="s">
        <v>106</v>
      </c>
      <c r="AY140" s="76">
        <v>94553</v>
      </c>
      <c r="AZ140" s="77" t="s">
        <v>1119</v>
      </c>
    </row>
    <row r="141" spans="1:53" ht="14.15" customHeight="1" x14ac:dyDescent="0.4">
      <c r="A141" s="256" t="s">
        <v>1121</v>
      </c>
      <c r="B141" s="67" t="s">
        <v>244</v>
      </c>
      <c r="C141" s="111" t="s">
        <v>1122</v>
      </c>
      <c r="D141" s="115"/>
      <c r="E141" s="120" t="s">
        <v>173</v>
      </c>
      <c r="F141" s="82" t="s">
        <v>174</v>
      </c>
      <c r="G141" s="84"/>
      <c r="H141" s="90"/>
      <c r="I141" s="91"/>
      <c r="J141" s="97"/>
      <c r="K141" s="102">
        <v>44594</v>
      </c>
      <c r="L141" s="327"/>
      <c r="M141" s="106"/>
      <c r="N141" s="130" t="s">
        <v>1123</v>
      </c>
      <c r="O141" s="130" t="s">
        <v>1124</v>
      </c>
      <c r="P141" s="57"/>
      <c r="Q141" s="132">
        <v>8.6249999999999993E-2</v>
      </c>
      <c r="R141" s="132"/>
      <c r="S141" s="63" t="s">
        <v>103</v>
      </c>
      <c r="T141" s="67" t="s">
        <v>1125</v>
      </c>
      <c r="U141" s="67" t="s">
        <v>105</v>
      </c>
      <c r="V141" s="113" t="s">
        <v>106</v>
      </c>
      <c r="W141" s="222">
        <v>94133</v>
      </c>
      <c r="X141" s="141" t="s">
        <v>1126</v>
      </c>
      <c r="Y141" s="141" t="s">
        <v>1126</v>
      </c>
      <c r="Z141" s="141" t="s">
        <v>1126</v>
      </c>
      <c r="AA141" s="200"/>
      <c r="AB141" s="130"/>
      <c r="AC141" s="202"/>
      <c r="AD141" s="200"/>
      <c r="AE141" s="113"/>
      <c r="AF141" s="113"/>
      <c r="AG141" s="113"/>
      <c r="AH141" s="113"/>
      <c r="AI141" s="130"/>
      <c r="AK141" s="57"/>
      <c r="AL141" s="287" t="s">
        <v>251</v>
      </c>
      <c r="AM141" s="288">
        <v>13305</v>
      </c>
      <c r="AO141" s="288">
        <v>62245</v>
      </c>
      <c r="AS141" s="207"/>
      <c r="AU141" s="67" t="s">
        <v>1125</v>
      </c>
      <c r="AV141" s="251"/>
      <c r="AW141" s="67" t="s">
        <v>105</v>
      </c>
      <c r="AX141" s="113" t="s">
        <v>106</v>
      </c>
      <c r="AY141" s="222">
        <v>94133</v>
      </c>
      <c r="AZ141" s="57" t="s">
        <v>1124</v>
      </c>
      <c r="BA141" s="317"/>
    </row>
    <row r="142" spans="1:53" s="210" customFormat="1" ht="14.15" customHeight="1" x14ac:dyDescent="0.4">
      <c r="A142" s="256" t="s">
        <v>1127</v>
      </c>
      <c r="B142" s="67" t="s">
        <v>269</v>
      </c>
      <c r="C142" s="110" t="s">
        <v>1128</v>
      </c>
      <c r="D142" s="79" t="s">
        <v>1129</v>
      </c>
      <c r="E142" s="119" t="s">
        <v>222</v>
      </c>
      <c r="F142" s="83">
        <v>45505</v>
      </c>
      <c r="G142" s="209">
        <v>49</v>
      </c>
      <c r="H142" s="88" t="s">
        <v>100</v>
      </c>
      <c r="I142" s="89"/>
      <c r="J142" s="98"/>
      <c r="K142" s="101"/>
      <c r="L142" s="329"/>
      <c r="M142" s="105">
        <v>45566</v>
      </c>
      <c r="N142" s="112" t="s">
        <v>873</v>
      </c>
      <c r="O142" s="112" t="s">
        <v>1130</v>
      </c>
      <c r="P142" s="198" t="s">
        <v>1131</v>
      </c>
      <c r="Q142" s="132">
        <v>9.375E-2</v>
      </c>
      <c r="R142" s="132"/>
      <c r="S142" s="63" t="s">
        <v>146</v>
      </c>
      <c r="T142" s="198" t="s">
        <v>1132</v>
      </c>
      <c r="U142" s="198" t="s">
        <v>148</v>
      </c>
      <c r="V142" s="112" t="s">
        <v>106</v>
      </c>
      <c r="W142" s="205">
        <v>95136</v>
      </c>
      <c r="X142" s="141" t="s">
        <v>1133</v>
      </c>
      <c r="Y142" s="205"/>
      <c r="Z142" s="139" t="s">
        <v>1133</v>
      </c>
      <c r="AA142" s="203"/>
      <c r="AB142" s="205"/>
      <c r="AC142" s="206"/>
      <c r="AD142" s="203"/>
      <c r="AE142" s="205"/>
      <c r="AF142" s="205"/>
      <c r="AG142" s="205"/>
      <c r="AH142" s="205"/>
      <c r="AI142" s="205"/>
      <c r="AJ142" s="135"/>
      <c r="AK142" s="318"/>
      <c r="AL142" s="290"/>
      <c r="AM142" s="290"/>
      <c r="AN142" s="290"/>
      <c r="AO142" s="290"/>
      <c r="AP142" s="290"/>
      <c r="AQ142" s="290"/>
      <c r="AR142" s="290"/>
      <c r="AS142" s="207" t="s">
        <v>132</v>
      </c>
      <c r="AT142" s="116" t="s">
        <v>132</v>
      </c>
      <c r="AU142" s="198" t="s">
        <v>1132</v>
      </c>
      <c r="AV142" s="39"/>
      <c r="AW142" s="198" t="s">
        <v>148</v>
      </c>
      <c r="AX142" s="112" t="s">
        <v>106</v>
      </c>
      <c r="AY142" s="205">
        <v>95136</v>
      </c>
      <c r="AZ142" s="198" t="s">
        <v>1130</v>
      </c>
      <c r="BA142" s="317"/>
    </row>
    <row r="143" spans="1:53" ht="14.15" customHeight="1" x14ac:dyDescent="0.4">
      <c r="A143" s="256" t="s">
        <v>1134</v>
      </c>
      <c r="B143" s="67" t="s">
        <v>98</v>
      </c>
      <c r="C143" s="111" t="s">
        <v>563</v>
      </c>
      <c r="D143" s="113"/>
      <c r="E143" s="120" t="s">
        <v>100</v>
      </c>
      <c r="F143" s="82"/>
      <c r="G143" s="84"/>
      <c r="H143" s="90" t="s">
        <v>100</v>
      </c>
      <c r="I143" s="91"/>
      <c r="J143" s="97"/>
      <c r="K143" s="102">
        <v>46017</v>
      </c>
      <c r="L143" s="327"/>
      <c r="M143" s="106"/>
      <c r="N143" s="113" t="s">
        <v>1135</v>
      </c>
      <c r="O143" s="113" t="s">
        <v>1136</v>
      </c>
      <c r="P143" s="57"/>
      <c r="Q143" s="132">
        <v>0</v>
      </c>
      <c r="R143" s="132">
        <v>0</v>
      </c>
      <c r="S143" s="63" t="s">
        <v>992</v>
      </c>
      <c r="T143" s="67" t="s">
        <v>1137</v>
      </c>
      <c r="U143" s="67" t="s">
        <v>1108</v>
      </c>
      <c r="V143" s="113" t="s">
        <v>106</v>
      </c>
      <c r="W143" s="222">
        <v>95206</v>
      </c>
      <c r="X143" s="141" t="s">
        <v>1138</v>
      </c>
      <c r="Y143" s="139" t="s">
        <v>1139</v>
      </c>
      <c r="Z143" s="139" t="s">
        <v>1140</v>
      </c>
      <c r="AA143" s="200" t="s">
        <v>1141</v>
      </c>
      <c r="AB143" s="130" t="s">
        <v>1142</v>
      </c>
      <c r="AC143" s="202" t="s">
        <v>952</v>
      </c>
      <c r="AD143" s="320"/>
      <c r="AE143" s="113"/>
      <c r="AF143" s="113"/>
      <c r="AG143" s="113"/>
      <c r="AH143" s="113"/>
      <c r="AI143" s="130" t="s">
        <v>0</v>
      </c>
      <c r="AJ143" s="135" t="s">
        <v>1143</v>
      </c>
      <c r="AK143" s="57"/>
      <c r="AL143" s="290">
        <v>54273</v>
      </c>
      <c r="AM143" s="290">
        <v>13305</v>
      </c>
      <c r="AN143" s="290" t="s">
        <v>290</v>
      </c>
      <c r="AO143" s="290" t="s">
        <v>251</v>
      </c>
      <c r="AP143" s="290"/>
      <c r="AQ143" s="290">
        <v>12100</v>
      </c>
      <c r="AR143" s="290"/>
      <c r="AS143" s="207" t="s">
        <v>132</v>
      </c>
      <c r="AT143" s="116" t="s">
        <v>1144</v>
      </c>
      <c r="AU143" s="67" t="s">
        <v>1145</v>
      </c>
      <c r="AV143" s="251"/>
      <c r="AW143" s="67" t="s">
        <v>1146</v>
      </c>
      <c r="AX143" s="113" t="s">
        <v>1147</v>
      </c>
      <c r="AY143" s="222">
        <v>23541</v>
      </c>
      <c r="AZ143" s="199" t="s">
        <v>1136</v>
      </c>
      <c r="BA143" s="317"/>
    </row>
    <row r="144" spans="1:53" ht="14.15" customHeight="1" x14ac:dyDescent="0.4">
      <c r="A144" s="256" t="s">
        <v>1148</v>
      </c>
      <c r="B144" s="67" t="s">
        <v>244</v>
      </c>
      <c r="C144" s="111"/>
      <c r="D144" s="115"/>
      <c r="E144" s="120" t="s">
        <v>173</v>
      </c>
      <c r="F144" s="82" t="s">
        <v>174</v>
      </c>
      <c r="G144" s="84"/>
      <c r="H144" s="90"/>
      <c r="I144" s="91"/>
      <c r="J144" s="97"/>
      <c r="K144" s="102">
        <v>44685</v>
      </c>
      <c r="L144" s="327"/>
      <c r="M144" s="106"/>
      <c r="N144" s="113" t="s">
        <v>1149</v>
      </c>
      <c r="O144" s="130" t="s">
        <v>1150</v>
      </c>
      <c r="P144" s="57" t="s">
        <v>1151</v>
      </c>
      <c r="Q144" s="132">
        <v>7.7499999999999999E-2</v>
      </c>
      <c r="R144" s="132"/>
      <c r="S144" s="63" t="s">
        <v>1152</v>
      </c>
      <c r="T144" s="67" t="s">
        <v>1153</v>
      </c>
      <c r="U144" s="67" t="s">
        <v>1154</v>
      </c>
      <c r="V144" s="113" t="s">
        <v>106</v>
      </c>
      <c r="W144" s="222">
        <v>92082</v>
      </c>
      <c r="X144" s="141" t="s">
        <v>1155</v>
      </c>
      <c r="Y144" s="141" t="s">
        <v>1155</v>
      </c>
      <c r="Z144" s="141" t="s">
        <v>1155</v>
      </c>
      <c r="AA144" s="200"/>
      <c r="AB144" s="130"/>
      <c r="AC144" s="202"/>
      <c r="AD144" s="200"/>
      <c r="AE144" s="113"/>
      <c r="AF144" s="113"/>
      <c r="AG144" s="113"/>
      <c r="AH144" s="113"/>
      <c r="AI144" s="130"/>
      <c r="AK144" s="57"/>
      <c r="AL144" s="287">
        <v>54230</v>
      </c>
      <c r="AS144" s="207"/>
      <c r="AU144" s="67" t="s">
        <v>1153</v>
      </c>
      <c r="AV144" s="251"/>
      <c r="AW144" s="67" t="s">
        <v>1156</v>
      </c>
      <c r="AX144" s="113" t="s">
        <v>106</v>
      </c>
      <c r="AY144" s="222">
        <v>92082</v>
      </c>
      <c r="AZ144" s="57" t="s">
        <v>1150</v>
      </c>
      <c r="BA144" s="317"/>
    </row>
    <row r="145" spans="1:53" s="251" customFormat="1" ht="14.15" customHeight="1" x14ac:dyDescent="0.4">
      <c r="A145" s="256" t="s">
        <v>1157</v>
      </c>
      <c r="B145" s="67" t="s">
        <v>98</v>
      </c>
      <c r="C145" s="111" t="s">
        <v>99</v>
      </c>
      <c r="D145" s="115" t="s">
        <v>1158</v>
      </c>
      <c r="E145" s="120" t="s">
        <v>100</v>
      </c>
      <c r="F145" s="82"/>
      <c r="G145" s="84"/>
      <c r="H145" s="90" t="s">
        <v>100</v>
      </c>
      <c r="I145" s="91"/>
      <c r="J145" s="97"/>
      <c r="K145" s="102">
        <v>45967</v>
      </c>
      <c r="L145" s="327"/>
      <c r="M145" s="106">
        <v>45435</v>
      </c>
      <c r="N145" s="113" t="s">
        <v>1159</v>
      </c>
      <c r="O145" s="113" t="s">
        <v>1160</v>
      </c>
      <c r="P145" s="57"/>
      <c r="Q145" s="132">
        <v>0.10249999999999999</v>
      </c>
      <c r="R145" s="132"/>
      <c r="S145" s="63" t="s">
        <v>113</v>
      </c>
      <c r="T145" s="67" t="s">
        <v>1161</v>
      </c>
      <c r="U145" s="67" t="s">
        <v>1162</v>
      </c>
      <c r="V145" s="113" t="s">
        <v>106</v>
      </c>
      <c r="W145" s="222">
        <v>94538</v>
      </c>
      <c r="X145" s="141" t="s">
        <v>1163</v>
      </c>
      <c r="Y145" s="139" t="s">
        <v>1163</v>
      </c>
      <c r="Z145" s="139" t="s">
        <v>1163</v>
      </c>
      <c r="AA145" s="200"/>
      <c r="AB145" s="130"/>
      <c r="AC145" s="202"/>
      <c r="AD145" s="200"/>
      <c r="AE145" s="113"/>
      <c r="AF145" s="113"/>
      <c r="AG145" s="113"/>
      <c r="AH145" s="113"/>
      <c r="AI145" s="130"/>
      <c r="AJ145" s="135"/>
      <c r="AK145" s="57"/>
      <c r="AL145" s="287" t="s">
        <v>149</v>
      </c>
      <c r="AM145" s="288">
        <v>15741</v>
      </c>
      <c r="AN145" s="288"/>
      <c r="AO145" s="288"/>
      <c r="AP145" s="288"/>
      <c r="AQ145" s="288" t="s">
        <v>1164</v>
      </c>
      <c r="AR145" s="288"/>
      <c r="AS145" s="207" t="s">
        <v>132</v>
      </c>
      <c r="AT145" s="116" t="s">
        <v>539</v>
      </c>
      <c r="AU145" s="67" t="s">
        <v>1161</v>
      </c>
      <c r="AW145" s="67" t="s">
        <v>1162</v>
      </c>
      <c r="AX145" s="113" t="s">
        <v>106</v>
      </c>
      <c r="AY145" s="222">
        <v>94530</v>
      </c>
      <c r="AZ145" s="199" t="s">
        <v>1160</v>
      </c>
      <c r="BA145" s="317"/>
    </row>
    <row r="146" spans="1:53" s="251" customFormat="1" ht="14.15" customHeight="1" x14ac:dyDescent="0.4">
      <c r="A146" s="256" t="s">
        <v>1165</v>
      </c>
      <c r="B146" s="67" t="s">
        <v>269</v>
      </c>
      <c r="C146" s="111" t="s">
        <v>119</v>
      </c>
      <c r="D146" s="113"/>
      <c r="E146" s="120" t="s">
        <v>1166</v>
      </c>
      <c r="F146" s="80">
        <v>45519</v>
      </c>
      <c r="G146" s="84">
        <v>69</v>
      </c>
      <c r="H146" s="90" t="s">
        <v>222</v>
      </c>
      <c r="I146" s="91">
        <v>45519</v>
      </c>
      <c r="J146" s="97">
        <v>39</v>
      </c>
      <c r="K146" s="102">
        <v>45887</v>
      </c>
      <c r="L146" s="327"/>
      <c r="M146" s="106">
        <v>46022</v>
      </c>
      <c r="N146" s="113" t="s">
        <v>1167</v>
      </c>
      <c r="O146" s="113" t="s">
        <v>1168</v>
      </c>
      <c r="P146" s="57" t="s">
        <v>1169</v>
      </c>
      <c r="Q146" s="132">
        <v>0.09</v>
      </c>
      <c r="R146" s="132">
        <v>0.09</v>
      </c>
      <c r="S146" s="63" t="s">
        <v>875</v>
      </c>
      <c r="T146" s="67" t="s">
        <v>1170</v>
      </c>
      <c r="U146" s="67" t="s">
        <v>875</v>
      </c>
      <c r="V146" s="113" t="s">
        <v>106</v>
      </c>
      <c r="W146" s="222">
        <v>94930</v>
      </c>
      <c r="X146" s="141" t="s">
        <v>1171</v>
      </c>
      <c r="Y146" s="236"/>
      <c r="Z146" s="236"/>
      <c r="AA146" s="200" t="s">
        <v>1172</v>
      </c>
      <c r="AB146" s="130" t="s">
        <v>1173</v>
      </c>
      <c r="AC146" s="202" t="s">
        <v>1174</v>
      </c>
      <c r="AD146" s="200"/>
      <c r="AE146" s="113"/>
      <c r="AF146" s="113"/>
      <c r="AG146" s="113"/>
      <c r="AH146" s="113"/>
      <c r="AI146" s="130" t="s">
        <v>1175</v>
      </c>
      <c r="AJ146" s="135" t="s">
        <v>116</v>
      </c>
      <c r="AK146" s="57"/>
      <c r="AL146" s="291" t="s">
        <v>149</v>
      </c>
      <c r="AM146" s="291">
        <v>13305</v>
      </c>
      <c r="AN146" s="291"/>
      <c r="AO146" s="291">
        <v>62245</v>
      </c>
      <c r="AP146" s="291"/>
      <c r="AQ146" s="291"/>
      <c r="AR146" s="291"/>
      <c r="AS146" s="207" t="s">
        <v>132</v>
      </c>
      <c r="AT146" s="116" t="s">
        <v>1176</v>
      </c>
      <c r="AU146" s="67" t="str">
        <f>PROPER(AV146)</f>
        <v>4 Bolinas Road</v>
      </c>
      <c r="AV146" s="251" t="s">
        <v>1177</v>
      </c>
      <c r="AW146" s="67" t="s">
        <v>875</v>
      </c>
      <c r="AX146" s="113" t="s">
        <v>106</v>
      </c>
      <c r="AY146" s="222">
        <v>94930</v>
      </c>
      <c r="AZ146" s="199" t="s">
        <v>1168</v>
      </c>
      <c r="BA146" s="75"/>
    </row>
    <row r="147" spans="1:53" s="251" customFormat="1" ht="14.15" customHeight="1" x14ac:dyDescent="0.4">
      <c r="A147" s="256" t="s">
        <v>1178</v>
      </c>
      <c r="B147" s="67" t="s">
        <v>269</v>
      </c>
      <c r="C147" s="111" t="s">
        <v>119</v>
      </c>
      <c r="D147" s="113"/>
      <c r="E147" s="120" t="s">
        <v>1166</v>
      </c>
      <c r="F147" s="80">
        <v>45519</v>
      </c>
      <c r="G147" s="84">
        <v>69</v>
      </c>
      <c r="H147" s="90" t="s">
        <v>222</v>
      </c>
      <c r="I147" s="91">
        <v>45519</v>
      </c>
      <c r="J147" s="97">
        <v>39</v>
      </c>
      <c r="K147" s="102">
        <v>45887</v>
      </c>
      <c r="L147" s="327"/>
      <c r="M147" s="106">
        <v>46022</v>
      </c>
      <c r="N147" s="113" t="s">
        <v>1174</v>
      </c>
      <c r="O147" s="113" t="s">
        <v>1179</v>
      </c>
      <c r="P147" s="57" t="s">
        <v>1180</v>
      </c>
      <c r="Q147" s="132">
        <v>9.2499999999999999E-2</v>
      </c>
      <c r="R147" s="132">
        <v>0.09</v>
      </c>
      <c r="S147" s="63" t="s">
        <v>536</v>
      </c>
      <c r="T147" s="67" t="s">
        <v>1181</v>
      </c>
      <c r="U147" s="67" t="s">
        <v>538</v>
      </c>
      <c r="V147" s="113" t="s">
        <v>106</v>
      </c>
      <c r="W147" s="222">
        <v>94960</v>
      </c>
      <c r="X147" s="141" t="s">
        <v>1171</v>
      </c>
      <c r="Y147" s="236"/>
      <c r="Z147" s="236"/>
      <c r="AA147" s="200" t="s">
        <v>1174</v>
      </c>
      <c r="AB147" s="130"/>
      <c r="AC147" s="202"/>
      <c r="AD147" s="200"/>
      <c r="AE147" s="113"/>
      <c r="AF147" s="113"/>
      <c r="AG147" s="113"/>
      <c r="AH147" s="113"/>
      <c r="AI147" s="130" t="s">
        <v>1182</v>
      </c>
      <c r="AJ147" s="135" t="s">
        <v>116</v>
      </c>
      <c r="AK147" s="53" t="s">
        <v>1183</v>
      </c>
      <c r="AL147" s="291" t="s">
        <v>289</v>
      </c>
      <c r="AM147" s="291">
        <v>13305</v>
      </c>
      <c r="AN147" s="291"/>
      <c r="AO147" s="291">
        <v>62245</v>
      </c>
      <c r="AP147" s="291"/>
      <c r="AQ147" s="291"/>
      <c r="AR147" s="291"/>
      <c r="AS147" s="207" t="s">
        <v>132</v>
      </c>
      <c r="AT147" s="116" t="s">
        <v>1184</v>
      </c>
      <c r="AU147" s="67" t="s">
        <v>1181</v>
      </c>
      <c r="AV147" s="251" t="s">
        <v>1177</v>
      </c>
      <c r="AW147" s="67" t="s">
        <v>538</v>
      </c>
      <c r="AX147" s="113" t="s">
        <v>106</v>
      </c>
      <c r="AY147" s="222">
        <v>94960</v>
      </c>
      <c r="AZ147" s="199" t="s">
        <v>1168</v>
      </c>
      <c r="BA147" s="78"/>
    </row>
    <row r="148" spans="1:53" s="251" customFormat="1" ht="14.15" customHeight="1" x14ac:dyDescent="0.25">
      <c r="A148" s="256" t="s">
        <v>1185</v>
      </c>
      <c r="B148" s="67" t="s">
        <v>118</v>
      </c>
      <c r="C148" s="109" t="s">
        <v>119</v>
      </c>
      <c r="D148" s="79" t="s">
        <v>1186</v>
      </c>
      <c r="E148" s="118" t="s">
        <v>100</v>
      </c>
      <c r="F148" s="80"/>
      <c r="G148" s="81"/>
      <c r="H148" s="87" t="s">
        <v>100</v>
      </c>
      <c r="I148" s="86"/>
      <c r="J148" s="96"/>
      <c r="K148" s="100">
        <v>44767</v>
      </c>
      <c r="L148" s="328"/>
      <c r="M148" s="104">
        <v>45663</v>
      </c>
      <c r="N148" s="128" t="s">
        <v>1187</v>
      </c>
      <c r="O148" s="128" t="s">
        <v>1188</v>
      </c>
      <c r="P148" s="59"/>
      <c r="Q148" s="132">
        <v>9.2499999999999999E-2</v>
      </c>
      <c r="R148" s="132">
        <v>0.09</v>
      </c>
      <c r="S148" s="63" t="s">
        <v>536</v>
      </c>
      <c r="T148" s="67" t="s">
        <v>1189</v>
      </c>
      <c r="U148" s="67" t="s">
        <v>538</v>
      </c>
      <c r="V148" s="79" t="s">
        <v>106</v>
      </c>
      <c r="W148" s="76">
        <v>94960</v>
      </c>
      <c r="X148" s="141" t="s">
        <v>1190</v>
      </c>
      <c r="Y148" s="139" t="s">
        <v>1190</v>
      </c>
      <c r="Z148" s="139" t="s">
        <v>1190</v>
      </c>
      <c r="AA148" s="79" t="s">
        <v>1191</v>
      </c>
      <c r="AB148" s="135"/>
      <c r="AC148" s="136" t="s">
        <v>1192</v>
      </c>
      <c r="AD148" s="79"/>
      <c r="AE148" s="128" t="s">
        <v>1187</v>
      </c>
      <c r="AF148" s="128"/>
      <c r="AG148" s="128"/>
      <c r="AH148" s="128"/>
      <c r="AI148" s="135" t="s">
        <v>1193</v>
      </c>
      <c r="AJ148" s="135" t="s">
        <v>116</v>
      </c>
      <c r="AK148" s="58"/>
      <c r="AL148" s="289"/>
      <c r="AM148" s="289">
        <v>13305</v>
      </c>
      <c r="AN148" s="289"/>
      <c r="AO148" s="289"/>
      <c r="AP148" s="289"/>
      <c r="AQ148" s="289" t="s">
        <v>1194</v>
      </c>
      <c r="AR148" s="289"/>
      <c r="AS148" s="207" t="s">
        <v>132</v>
      </c>
      <c r="AT148" s="116" t="s">
        <v>1195</v>
      </c>
      <c r="AU148" s="67" t="s">
        <v>1189</v>
      </c>
      <c r="AV148" s="66"/>
      <c r="AW148" s="67" t="s">
        <v>538</v>
      </c>
      <c r="AX148" s="79" t="s">
        <v>106</v>
      </c>
      <c r="AY148" s="76">
        <v>94960</v>
      </c>
      <c r="AZ148" s="77" t="s">
        <v>1188</v>
      </c>
      <c r="BA148" s="207"/>
    </row>
    <row r="149" spans="1:53" s="251" customFormat="1" ht="14.15" customHeight="1" x14ac:dyDescent="0.4">
      <c r="A149" s="256" t="s">
        <v>1196</v>
      </c>
      <c r="B149" s="67" t="s">
        <v>98</v>
      </c>
      <c r="C149" s="111" t="s">
        <v>472</v>
      </c>
      <c r="D149" s="113"/>
      <c r="E149" s="120" t="s">
        <v>100</v>
      </c>
      <c r="F149" s="82"/>
      <c r="G149" s="84"/>
      <c r="H149" s="90" t="s">
        <v>100</v>
      </c>
      <c r="I149" s="91"/>
      <c r="J149" s="97"/>
      <c r="K149" s="102">
        <v>44412</v>
      </c>
      <c r="L149" s="327"/>
      <c r="M149" s="106"/>
      <c r="N149" s="113" t="s">
        <v>1197</v>
      </c>
      <c r="O149" s="113" t="s">
        <v>1198</v>
      </c>
      <c r="P149" s="57" t="s">
        <v>1199</v>
      </c>
      <c r="Q149" s="132">
        <v>0.10249999999999999</v>
      </c>
      <c r="R149" s="132"/>
      <c r="S149" s="63" t="s">
        <v>113</v>
      </c>
      <c r="T149" s="67" t="s">
        <v>1200</v>
      </c>
      <c r="U149" s="67" t="s">
        <v>115</v>
      </c>
      <c r="V149" s="113" t="s">
        <v>106</v>
      </c>
      <c r="W149" s="222">
        <v>94612</v>
      </c>
      <c r="X149" s="142" t="s">
        <v>1201</v>
      </c>
      <c r="Y149" s="143"/>
      <c r="Z149" s="143"/>
      <c r="AA149" s="200"/>
      <c r="AB149" s="130"/>
      <c r="AC149" s="202"/>
      <c r="AD149" s="200"/>
      <c r="AE149" s="113"/>
      <c r="AF149" s="113"/>
      <c r="AG149" s="113"/>
      <c r="AH149" s="113"/>
      <c r="AI149" s="130"/>
      <c r="AJ149" s="135"/>
      <c r="AK149" s="57"/>
      <c r="AL149" s="289"/>
      <c r="AM149" s="289"/>
      <c r="AN149" s="289"/>
      <c r="AO149" s="289"/>
      <c r="AP149" s="289"/>
      <c r="AQ149" s="289"/>
      <c r="AR149" s="289"/>
      <c r="AS149" s="207" t="s">
        <v>132</v>
      </c>
      <c r="AT149" s="116" t="s">
        <v>406</v>
      </c>
      <c r="AU149" s="67" t="s">
        <v>1200</v>
      </c>
      <c r="AW149" s="67" t="s">
        <v>115</v>
      </c>
      <c r="AX149" s="113" t="s">
        <v>106</v>
      </c>
      <c r="AY149" s="222">
        <v>94612</v>
      </c>
      <c r="AZ149" s="199" t="s">
        <v>1198</v>
      </c>
      <c r="BA149" s="207"/>
    </row>
    <row r="150" spans="1:53" s="210" customFormat="1" ht="14.15" customHeight="1" x14ac:dyDescent="0.4">
      <c r="A150" s="256" t="s">
        <v>1202</v>
      </c>
      <c r="B150" s="67" t="s">
        <v>125</v>
      </c>
      <c r="C150" s="111" t="s">
        <v>99</v>
      </c>
      <c r="D150" s="112" t="s">
        <v>1203</v>
      </c>
      <c r="E150" s="119" t="s">
        <v>100</v>
      </c>
      <c r="F150" s="83"/>
      <c r="G150" s="209"/>
      <c r="H150" s="88" t="s">
        <v>100</v>
      </c>
      <c r="I150" s="89"/>
      <c r="J150" s="98"/>
      <c r="K150" s="101">
        <v>44641</v>
      </c>
      <c r="L150" s="329"/>
      <c r="M150" s="105">
        <v>42880</v>
      </c>
      <c r="N150" s="112" t="s">
        <v>1204</v>
      </c>
      <c r="O150" s="112" t="s">
        <v>1205</v>
      </c>
      <c r="P150" s="198"/>
      <c r="Q150" s="132">
        <v>9.6250000000000002E-2</v>
      </c>
      <c r="R150" s="132">
        <v>9.2499999999999999E-2</v>
      </c>
      <c r="S150" s="63" t="s">
        <v>1206</v>
      </c>
      <c r="T150" s="198" t="s">
        <v>1207</v>
      </c>
      <c r="U150" s="198" t="s">
        <v>1208</v>
      </c>
      <c r="V150" s="112" t="s">
        <v>106</v>
      </c>
      <c r="W150" s="205">
        <v>94401</v>
      </c>
      <c r="X150" s="293"/>
      <c r="Y150" s="205"/>
      <c r="Z150" s="205"/>
      <c r="AA150" s="203"/>
      <c r="AB150" s="205"/>
      <c r="AC150" s="206"/>
      <c r="AD150" s="203"/>
      <c r="AE150" s="205"/>
      <c r="AF150" s="205"/>
      <c r="AG150" s="205"/>
      <c r="AH150" s="205"/>
      <c r="AI150" s="205"/>
      <c r="AJ150" s="135"/>
      <c r="AK150" s="318"/>
      <c r="AL150" s="289">
        <v>44150</v>
      </c>
      <c r="AM150" s="289"/>
      <c r="AN150" s="289"/>
      <c r="AO150" s="289">
        <v>67655</v>
      </c>
      <c r="AP150" s="289"/>
      <c r="AQ150" s="289"/>
      <c r="AR150" s="289"/>
      <c r="AS150" s="207" t="s">
        <v>132</v>
      </c>
      <c r="AT150" s="116" t="s">
        <v>1195</v>
      </c>
      <c r="AU150" s="198" t="s">
        <v>1207</v>
      </c>
      <c r="AV150" s="39"/>
      <c r="AW150" s="198" t="s">
        <v>1208</v>
      </c>
      <c r="AX150" s="112" t="s">
        <v>106</v>
      </c>
      <c r="AY150" s="205">
        <v>94401</v>
      </c>
      <c r="AZ150" s="198" t="s">
        <v>1205</v>
      </c>
      <c r="BA150" s="207"/>
    </row>
    <row r="151" spans="1:53" s="210" customFormat="1" ht="14.15" customHeight="1" x14ac:dyDescent="0.4">
      <c r="A151" s="256" t="s">
        <v>1209</v>
      </c>
      <c r="B151" s="67" t="s">
        <v>244</v>
      </c>
      <c r="C151" s="111" t="s">
        <v>963</v>
      </c>
      <c r="D151" s="115"/>
      <c r="E151" s="120" t="s">
        <v>173</v>
      </c>
      <c r="F151" s="82" t="s">
        <v>689</v>
      </c>
      <c r="G151" s="84"/>
      <c r="H151" s="90" t="s">
        <v>253</v>
      </c>
      <c r="I151" s="91"/>
      <c r="J151" s="97"/>
      <c r="K151" s="102">
        <v>44847</v>
      </c>
      <c r="L151" s="327"/>
      <c r="M151" s="106"/>
      <c r="N151" s="113" t="s">
        <v>1210</v>
      </c>
      <c r="O151" s="113" t="s">
        <v>1211</v>
      </c>
      <c r="P151" s="57"/>
      <c r="Q151" s="132">
        <v>8.6249999999999993E-2</v>
      </c>
      <c r="R151" s="132"/>
      <c r="S151" s="63" t="s">
        <v>103</v>
      </c>
      <c r="T151" s="67" t="s">
        <v>1212</v>
      </c>
      <c r="U151" s="67" t="s">
        <v>105</v>
      </c>
      <c r="V151" s="113" t="s">
        <v>106</v>
      </c>
      <c r="W151" s="222">
        <v>94133</v>
      </c>
      <c r="X151" s="141" t="s">
        <v>1213</v>
      </c>
      <c r="Y151" s="236"/>
      <c r="Z151" s="236"/>
      <c r="AA151" s="200"/>
      <c r="AB151" s="130"/>
      <c r="AC151" s="202"/>
      <c r="AD151" s="200"/>
      <c r="AE151" s="113"/>
      <c r="AF151" s="113"/>
      <c r="AG151" s="113"/>
      <c r="AH151" s="113"/>
      <c r="AI151" s="130"/>
      <c r="AJ151" s="135"/>
      <c r="AK151" s="57"/>
      <c r="AL151" s="287" t="s">
        <v>251</v>
      </c>
      <c r="AM151" s="288" t="s">
        <v>1214</v>
      </c>
      <c r="AN151" s="288"/>
      <c r="AO151" s="288">
        <v>62245</v>
      </c>
      <c r="AP151" s="288"/>
      <c r="AQ151" s="288"/>
      <c r="AR151" s="288"/>
      <c r="AS151" s="207"/>
      <c r="AT151" s="116" t="s">
        <v>258</v>
      </c>
      <c r="AU151" s="67" t="s">
        <v>1212</v>
      </c>
      <c r="AV151" s="251"/>
      <c r="AW151" s="67" t="s">
        <v>105</v>
      </c>
      <c r="AX151" s="113" t="s">
        <v>106</v>
      </c>
      <c r="AY151" s="222">
        <v>94133</v>
      </c>
      <c r="AZ151" s="199" t="s">
        <v>1211</v>
      </c>
      <c r="BA151" s="317"/>
    </row>
    <row r="152" spans="1:53" s="210" customFormat="1" ht="14.15" customHeight="1" x14ac:dyDescent="0.4">
      <c r="A152" s="256" t="s">
        <v>1215</v>
      </c>
      <c r="B152" s="67" t="s">
        <v>98</v>
      </c>
      <c r="C152" s="109" t="s">
        <v>99</v>
      </c>
      <c r="D152" s="79"/>
      <c r="E152" s="120" t="s">
        <v>100</v>
      </c>
      <c r="F152" s="82"/>
      <c r="G152" s="84"/>
      <c r="H152" s="90" t="s">
        <v>100</v>
      </c>
      <c r="I152" s="91"/>
      <c r="J152" s="97"/>
      <c r="K152" s="102">
        <v>45505</v>
      </c>
      <c r="L152" s="327"/>
      <c r="M152" s="106"/>
      <c r="N152" s="128" t="s">
        <v>1216</v>
      </c>
      <c r="O152" s="128" t="s">
        <v>1217</v>
      </c>
      <c r="P152" s="59"/>
      <c r="Q152" s="131">
        <v>9.2499999999999999E-2</v>
      </c>
      <c r="R152" s="131"/>
      <c r="S152" s="63" t="s">
        <v>507</v>
      </c>
      <c r="T152" s="67" t="s">
        <v>1218</v>
      </c>
      <c r="U152" s="67" t="s">
        <v>509</v>
      </c>
      <c r="V152" s="79" t="s">
        <v>106</v>
      </c>
      <c r="W152" s="76">
        <v>94965</v>
      </c>
      <c r="X152" s="147"/>
      <c r="Y152" s="236"/>
      <c r="Z152" s="234"/>
      <c r="AA152" s="79"/>
      <c r="AB152" s="135"/>
      <c r="AC152" s="136"/>
      <c r="AD152" s="79"/>
      <c r="AE152" s="128"/>
      <c r="AF152" s="128"/>
      <c r="AG152" s="128"/>
      <c r="AH152" s="128"/>
      <c r="AI152" s="135"/>
      <c r="AJ152" s="135"/>
      <c r="AK152" s="58"/>
      <c r="AL152" s="287" t="s">
        <v>251</v>
      </c>
      <c r="AM152" s="288"/>
      <c r="AN152" s="288" t="s">
        <v>198</v>
      </c>
      <c r="AO152" s="288">
        <v>62245</v>
      </c>
      <c r="AP152" s="288"/>
      <c r="AQ152" s="288"/>
      <c r="AR152" s="288"/>
      <c r="AS152" s="207"/>
      <c r="AT152" s="116" t="s">
        <v>406</v>
      </c>
      <c r="AU152" s="67" t="s">
        <v>1218</v>
      </c>
      <c r="AV152" s="66"/>
      <c r="AW152" s="67" t="s">
        <v>509</v>
      </c>
      <c r="AX152" s="79" t="s">
        <v>106</v>
      </c>
      <c r="AY152" s="76">
        <v>94965</v>
      </c>
      <c r="AZ152" s="77" t="s">
        <v>1217</v>
      </c>
      <c r="BA152" s="75"/>
    </row>
    <row r="153" spans="1:53" s="210" customFormat="1" ht="14.15" customHeight="1" x14ac:dyDescent="0.25">
      <c r="A153" s="256" t="s">
        <v>1219</v>
      </c>
      <c r="B153" s="67" t="s">
        <v>108</v>
      </c>
      <c r="C153" s="109" t="s">
        <v>109</v>
      </c>
      <c r="D153" s="79" t="s">
        <v>1220</v>
      </c>
      <c r="E153" s="118" t="s">
        <v>100</v>
      </c>
      <c r="F153" s="80"/>
      <c r="G153" s="81"/>
      <c r="H153" s="87" t="s">
        <v>100</v>
      </c>
      <c r="I153" s="86"/>
      <c r="J153" s="96"/>
      <c r="K153" s="100"/>
      <c r="L153" s="328"/>
      <c r="M153" s="104">
        <v>43963</v>
      </c>
      <c r="N153" s="128" t="s">
        <v>1221</v>
      </c>
      <c r="O153" s="128" t="s">
        <v>1222</v>
      </c>
      <c r="P153" s="59"/>
      <c r="Q153" s="132">
        <v>9.7500000000000003E-2</v>
      </c>
      <c r="R153" s="132">
        <v>9.2499999999999999E-2</v>
      </c>
      <c r="S153" s="63" t="s">
        <v>138</v>
      </c>
      <c r="T153" s="67" t="s">
        <v>1223</v>
      </c>
      <c r="U153" s="67" t="s">
        <v>138</v>
      </c>
      <c r="V153" s="79" t="s">
        <v>106</v>
      </c>
      <c r="W153" s="76">
        <v>94518</v>
      </c>
      <c r="X153" s="147"/>
      <c r="Y153" s="236"/>
      <c r="Z153" s="234"/>
      <c r="AA153" s="79"/>
      <c r="AB153" s="135"/>
      <c r="AC153" s="136"/>
      <c r="AD153" s="79"/>
      <c r="AE153" s="128"/>
      <c r="AF153" s="128"/>
      <c r="AG153" s="128"/>
      <c r="AH153" s="128"/>
      <c r="AI153" s="135"/>
      <c r="AJ153" s="135"/>
      <c r="AK153" s="58"/>
      <c r="AL153" s="287"/>
      <c r="AM153" s="288"/>
      <c r="AN153" s="288"/>
      <c r="AO153" s="288"/>
      <c r="AP153" s="288"/>
      <c r="AQ153" s="288"/>
      <c r="AR153" s="288"/>
      <c r="AS153" s="207" t="s">
        <v>132</v>
      </c>
      <c r="AT153" s="116" t="s">
        <v>1195</v>
      </c>
      <c r="AU153" s="67" t="s">
        <v>1223</v>
      </c>
      <c r="AV153" s="66"/>
      <c r="AW153" s="67" t="s">
        <v>138</v>
      </c>
      <c r="AX153" s="79" t="s">
        <v>106</v>
      </c>
      <c r="AY153" s="76">
        <v>94518</v>
      </c>
      <c r="AZ153" s="77" t="s">
        <v>1222</v>
      </c>
      <c r="BA153" s="75"/>
    </row>
    <row r="154" spans="1:53" s="210" customFormat="1" ht="14.15" customHeight="1" x14ac:dyDescent="0.4">
      <c r="A154" s="256" t="s">
        <v>1224</v>
      </c>
      <c r="B154" s="67" t="s">
        <v>125</v>
      </c>
      <c r="C154" s="111" t="s">
        <v>99</v>
      </c>
      <c r="D154" s="79" t="s">
        <v>1225</v>
      </c>
      <c r="E154" s="118" t="s">
        <v>100</v>
      </c>
      <c r="F154" s="80"/>
      <c r="G154" s="81"/>
      <c r="H154" s="87" t="s">
        <v>100</v>
      </c>
      <c r="I154" s="86"/>
      <c r="J154" s="96"/>
      <c r="K154" s="100">
        <v>44603</v>
      </c>
      <c r="L154" s="328"/>
      <c r="M154" s="104">
        <v>44603</v>
      </c>
      <c r="N154" s="128" t="s">
        <v>1226</v>
      </c>
      <c r="O154" s="128" t="s">
        <v>1227</v>
      </c>
      <c r="P154" s="59" t="s">
        <v>1228</v>
      </c>
      <c r="Q154" s="132">
        <v>0.09</v>
      </c>
      <c r="R154" s="132">
        <v>0.09</v>
      </c>
      <c r="S154" s="63" t="s">
        <v>734</v>
      </c>
      <c r="T154" s="67" t="s">
        <v>1229</v>
      </c>
      <c r="U154" s="67" t="s">
        <v>701</v>
      </c>
      <c r="V154" s="79" t="s">
        <v>106</v>
      </c>
      <c r="W154" s="76">
        <v>94925</v>
      </c>
      <c r="X154" s="147"/>
      <c r="Y154" s="236"/>
      <c r="Z154" s="234"/>
      <c r="AA154" s="79"/>
      <c r="AB154" s="135"/>
      <c r="AC154" s="136"/>
      <c r="AD154" s="79"/>
      <c r="AE154" s="128"/>
      <c r="AF154" s="128"/>
      <c r="AG154" s="128"/>
      <c r="AH154" s="128"/>
      <c r="AI154" s="135"/>
      <c r="AJ154" s="135"/>
      <c r="AK154" s="58"/>
      <c r="AL154" s="287"/>
      <c r="AM154" s="288"/>
      <c r="AN154" s="288"/>
      <c r="AO154" s="288"/>
      <c r="AP154" s="288"/>
      <c r="AQ154" s="288"/>
      <c r="AR154" s="288"/>
      <c r="AS154" s="207" t="s">
        <v>132</v>
      </c>
      <c r="AT154" s="116" t="s">
        <v>1195</v>
      </c>
      <c r="AU154" s="67" t="s">
        <v>1229</v>
      </c>
      <c r="AV154" s="66"/>
      <c r="AW154" s="67" t="s">
        <v>701</v>
      </c>
      <c r="AX154" s="79" t="s">
        <v>106</v>
      </c>
      <c r="AY154" s="76">
        <v>94925</v>
      </c>
      <c r="AZ154" s="77" t="s">
        <v>1227</v>
      </c>
      <c r="BA154" s="75"/>
    </row>
    <row r="155" spans="1:53" ht="14.15" customHeight="1" x14ac:dyDescent="0.4">
      <c r="A155" s="256" t="s">
        <v>1230</v>
      </c>
      <c r="B155" s="67" t="s">
        <v>98</v>
      </c>
      <c r="C155" s="111" t="s">
        <v>435</v>
      </c>
      <c r="D155" s="115"/>
      <c r="E155" s="120" t="s">
        <v>100</v>
      </c>
      <c r="F155" s="82"/>
      <c r="G155" s="84"/>
      <c r="H155" s="90" t="s">
        <v>100</v>
      </c>
      <c r="I155" s="91"/>
      <c r="J155" s="97"/>
      <c r="K155" s="102">
        <v>45957</v>
      </c>
      <c r="L155" s="327"/>
      <c r="M155" s="106"/>
      <c r="N155" s="113" t="s">
        <v>1231</v>
      </c>
      <c r="O155" s="113" t="s">
        <v>1232</v>
      </c>
      <c r="P155" s="57"/>
      <c r="Q155" s="132">
        <v>8.6249999999999993E-2</v>
      </c>
      <c r="R155" s="132"/>
      <c r="S155" s="63" t="s">
        <v>103</v>
      </c>
      <c r="T155" s="67" t="s">
        <v>1233</v>
      </c>
      <c r="U155" s="67" t="s">
        <v>105</v>
      </c>
      <c r="V155" s="113" t="s">
        <v>106</v>
      </c>
      <c r="W155" s="222">
        <v>94123</v>
      </c>
      <c r="X155" s="250"/>
      <c r="Y155" s="139"/>
      <c r="Z155" s="250"/>
      <c r="AA155" s="200"/>
      <c r="AB155" s="130"/>
      <c r="AC155" s="202"/>
      <c r="AD155" s="200"/>
      <c r="AE155" s="113"/>
      <c r="AF155" s="113"/>
      <c r="AG155" s="113"/>
      <c r="AH155" s="113"/>
      <c r="AI155" s="130"/>
      <c r="AK155" s="57"/>
      <c r="AL155" s="287" t="s">
        <v>251</v>
      </c>
      <c r="AM155" s="288" t="s">
        <v>198</v>
      </c>
      <c r="AO155" s="288">
        <v>62245</v>
      </c>
      <c r="AS155" s="207"/>
      <c r="AU155" s="67" t="s">
        <v>1233</v>
      </c>
      <c r="AV155" s="251"/>
      <c r="AW155" s="67" t="s">
        <v>105</v>
      </c>
      <c r="AX155" s="113" t="s">
        <v>106</v>
      </c>
      <c r="AY155" s="222">
        <v>94123</v>
      </c>
      <c r="AZ155" s="199" t="s">
        <v>1232</v>
      </c>
      <c r="BA155" s="317"/>
    </row>
    <row r="156" spans="1:53" ht="14.15" customHeight="1" x14ac:dyDescent="0.4">
      <c r="A156" s="256" t="s">
        <v>1234</v>
      </c>
      <c r="B156" s="67" t="s">
        <v>174</v>
      </c>
      <c r="C156" s="109" t="s">
        <v>99</v>
      </c>
      <c r="E156" s="120" t="s">
        <v>1166</v>
      </c>
      <c r="F156" s="82" t="s">
        <v>174</v>
      </c>
      <c r="G156" s="84"/>
      <c r="H156" s="90" t="s">
        <v>1235</v>
      </c>
      <c r="I156" s="91"/>
      <c r="J156" s="97"/>
      <c r="K156" s="102">
        <v>45968</v>
      </c>
      <c r="L156" s="327"/>
      <c r="M156" s="106"/>
      <c r="N156" s="128" t="s">
        <v>1236</v>
      </c>
      <c r="O156" s="128" t="s">
        <v>1237</v>
      </c>
      <c r="Q156" s="131">
        <v>8.6249999999999993E-2</v>
      </c>
      <c r="S156" s="63" t="s">
        <v>103</v>
      </c>
      <c r="T156" s="67" t="s">
        <v>1238</v>
      </c>
      <c r="U156" s="67" t="s">
        <v>105</v>
      </c>
      <c r="V156" s="79" t="s">
        <v>106</v>
      </c>
      <c r="W156" s="76">
        <v>94133</v>
      </c>
      <c r="X156" s="141" t="s">
        <v>6335</v>
      </c>
      <c r="Y156" s="139" t="s">
        <v>6336</v>
      </c>
      <c r="AK156" s="58" t="s">
        <v>0</v>
      </c>
      <c r="AL156" s="287" t="s">
        <v>251</v>
      </c>
      <c r="AM156" s="288">
        <v>13305</v>
      </c>
      <c r="AN156" s="288" t="s">
        <v>325</v>
      </c>
      <c r="AO156" s="288">
        <v>62245</v>
      </c>
      <c r="AS156" s="207"/>
      <c r="AT156" s="116" t="s">
        <v>116</v>
      </c>
      <c r="AU156" s="67" t="s">
        <v>1239</v>
      </c>
      <c r="AW156" s="67" t="s">
        <v>105</v>
      </c>
      <c r="AX156" s="79" t="s">
        <v>106</v>
      </c>
      <c r="AY156" s="76">
        <v>94133</v>
      </c>
      <c r="AZ156" s="77" t="s">
        <v>1237</v>
      </c>
    </row>
    <row r="157" spans="1:53" ht="14.15" customHeight="1" x14ac:dyDescent="0.4">
      <c r="A157" s="256" t="s">
        <v>1240</v>
      </c>
      <c r="B157" s="67" t="s">
        <v>125</v>
      </c>
      <c r="C157" s="111" t="s">
        <v>99</v>
      </c>
      <c r="D157" s="115" t="s">
        <v>1241</v>
      </c>
      <c r="E157" s="120" t="s">
        <v>100</v>
      </c>
      <c r="F157" s="82"/>
      <c r="G157" s="84"/>
      <c r="H157" s="90" t="s">
        <v>100</v>
      </c>
      <c r="I157" s="91"/>
      <c r="J157" s="97"/>
      <c r="K157" s="102"/>
      <c r="L157" s="327"/>
      <c r="M157" s="106">
        <v>44242</v>
      </c>
      <c r="N157" s="113" t="s">
        <v>1242</v>
      </c>
      <c r="O157" s="113" t="s">
        <v>1243</v>
      </c>
      <c r="P157" s="57"/>
      <c r="Q157" s="132">
        <v>8.3750000000000005E-2</v>
      </c>
      <c r="R157" s="132"/>
      <c r="S157" s="63" t="s">
        <v>303</v>
      </c>
      <c r="T157" s="67" t="s">
        <v>1244</v>
      </c>
      <c r="U157" s="67" t="s">
        <v>305</v>
      </c>
      <c r="V157" s="113" t="s">
        <v>106</v>
      </c>
      <c r="W157" s="222">
        <v>94533</v>
      </c>
      <c r="X157" s="141"/>
      <c r="Z157" s="236"/>
      <c r="AA157" s="200"/>
      <c r="AB157" s="130"/>
      <c r="AC157" s="202"/>
      <c r="AD157" s="200"/>
      <c r="AE157" s="113"/>
      <c r="AF157" s="113"/>
      <c r="AG157" s="113"/>
      <c r="AH157" s="113"/>
      <c r="AI157" s="130"/>
      <c r="AK157" s="57"/>
      <c r="AS157" s="207"/>
      <c r="AU157" s="67" t="s">
        <v>1244</v>
      </c>
      <c r="AV157" s="251"/>
      <c r="AW157" s="67" t="s">
        <v>305</v>
      </c>
      <c r="AX157" s="113" t="s">
        <v>106</v>
      </c>
      <c r="AY157" s="222">
        <v>94533</v>
      </c>
      <c r="AZ157" s="199" t="s">
        <v>1243</v>
      </c>
      <c r="BA157" s="317"/>
    </row>
    <row r="158" spans="1:53" s="251" customFormat="1" ht="14.15" customHeight="1" x14ac:dyDescent="0.25">
      <c r="A158" s="256" t="s">
        <v>1245</v>
      </c>
      <c r="B158" s="67" t="s">
        <v>98</v>
      </c>
      <c r="C158" s="109" t="s">
        <v>99</v>
      </c>
      <c r="D158" s="79"/>
      <c r="E158" s="118" t="s">
        <v>100</v>
      </c>
      <c r="F158" s="80"/>
      <c r="G158" s="81"/>
      <c r="H158" s="87" t="s">
        <v>100</v>
      </c>
      <c r="I158" s="86"/>
      <c r="J158" s="96"/>
      <c r="K158" s="100">
        <v>45202</v>
      </c>
      <c r="L158" s="328"/>
      <c r="M158" s="104"/>
      <c r="N158" s="128" t="s">
        <v>1246</v>
      </c>
      <c r="O158" s="128" t="s">
        <v>1247</v>
      </c>
      <c r="P158" s="59" t="s">
        <v>1248</v>
      </c>
      <c r="Q158" s="132">
        <v>7.7499999999999999E-2</v>
      </c>
      <c r="R158" s="132">
        <v>7.4999999999999997E-2</v>
      </c>
      <c r="S158" s="63" t="s">
        <v>1249</v>
      </c>
      <c r="T158" s="67" t="s">
        <v>1250</v>
      </c>
      <c r="U158" s="67" t="s">
        <v>1249</v>
      </c>
      <c r="V158" s="79" t="s">
        <v>106</v>
      </c>
      <c r="W158" s="76">
        <v>95678</v>
      </c>
      <c r="X158" s="141" t="s">
        <v>1251</v>
      </c>
      <c r="Y158" s="236"/>
      <c r="Z158" s="234"/>
      <c r="AA158" s="79"/>
      <c r="AB158" s="135"/>
      <c r="AC158" s="136"/>
      <c r="AD158" s="79"/>
      <c r="AE158" s="128"/>
      <c r="AF158" s="128"/>
      <c r="AG158" s="128"/>
      <c r="AH158" s="128"/>
      <c r="AI158" s="135" t="s">
        <v>1247</v>
      </c>
      <c r="AJ158" s="135" t="s">
        <v>116</v>
      </c>
      <c r="AK158" s="58"/>
      <c r="AL158" s="287" t="s">
        <v>251</v>
      </c>
      <c r="AM158" s="288"/>
      <c r="AN158" s="287">
        <v>15160</v>
      </c>
      <c r="AO158" s="288"/>
      <c r="AP158" s="288"/>
      <c r="AQ158" s="288"/>
      <c r="AR158" s="288"/>
      <c r="AS158" s="207" t="s">
        <v>132</v>
      </c>
      <c r="AT158" s="116" t="s">
        <v>1195</v>
      </c>
      <c r="AU158" s="67" t="s">
        <v>1250</v>
      </c>
      <c r="AV158" s="66"/>
      <c r="AW158" s="67" t="s">
        <v>1249</v>
      </c>
      <c r="AX158" s="79" t="s">
        <v>106</v>
      </c>
      <c r="AY158" s="76">
        <v>95678</v>
      </c>
      <c r="AZ158" s="77" t="s">
        <v>1247</v>
      </c>
      <c r="BA158" s="75"/>
    </row>
    <row r="159" spans="1:53" s="251" customFormat="1" ht="14.15" customHeight="1" x14ac:dyDescent="0.25">
      <c r="A159" s="256" t="s">
        <v>6437</v>
      </c>
      <c r="B159" s="67" t="s">
        <v>98</v>
      </c>
      <c r="C159" s="109" t="s">
        <v>99</v>
      </c>
      <c r="D159" s="79"/>
      <c r="E159" s="118" t="s">
        <v>100</v>
      </c>
      <c r="F159" s="80"/>
      <c r="G159" s="81"/>
      <c r="H159" s="87" t="s">
        <v>100</v>
      </c>
      <c r="I159" s="86"/>
      <c r="J159" s="96"/>
      <c r="K159" s="100">
        <v>45820</v>
      </c>
      <c r="L159" s="328"/>
      <c r="M159" s="104"/>
      <c r="N159" s="128" t="s">
        <v>6438</v>
      </c>
      <c r="O159" s="128" t="s">
        <v>6439</v>
      </c>
      <c r="P159" s="59"/>
      <c r="Q159" s="132">
        <v>8.6300000000000002E-2</v>
      </c>
      <c r="R159" s="132"/>
      <c r="S159" s="63" t="s">
        <v>103</v>
      </c>
      <c r="T159" s="67" t="s">
        <v>6440</v>
      </c>
      <c r="U159" s="67" t="s">
        <v>105</v>
      </c>
      <c r="V159" s="79" t="s">
        <v>106</v>
      </c>
      <c r="W159" s="76">
        <v>94134</v>
      </c>
      <c r="X159" s="141"/>
      <c r="Y159" s="139" t="s">
        <v>6441</v>
      </c>
      <c r="Z159" s="234"/>
      <c r="AA159" s="79" t="s">
        <v>6442</v>
      </c>
      <c r="AB159" s="135" t="s">
        <v>6439</v>
      </c>
      <c r="AC159" s="136"/>
      <c r="AD159" s="79"/>
      <c r="AE159" s="128"/>
      <c r="AF159" s="128"/>
      <c r="AG159" s="128"/>
      <c r="AH159" s="128"/>
      <c r="AI159" s="135"/>
      <c r="AJ159" s="135"/>
      <c r="AK159" s="58"/>
      <c r="AL159" s="287" t="s">
        <v>251</v>
      </c>
      <c r="AM159" s="288" t="s">
        <v>545</v>
      </c>
      <c r="AN159" s="287"/>
      <c r="AO159" s="288">
        <v>62245</v>
      </c>
      <c r="AP159" s="288"/>
      <c r="AQ159" s="288"/>
      <c r="AR159" s="288"/>
      <c r="AS159" s="207"/>
      <c r="AT159" s="116"/>
      <c r="AU159" s="67" t="s">
        <v>6440</v>
      </c>
      <c r="AV159" s="66"/>
      <c r="AW159" s="67" t="s">
        <v>105</v>
      </c>
      <c r="AX159" s="79" t="s">
        <v>106</v>
      </c>
      <c r="AY159" s="76">
        <v>94134</v>
      </c>
      <c r="AZ159" s="77" t="s">
        <v>6439</v>
      </c>
      <c r="BA159" s="75"/>
    </row>
    <row r="160" spans="1:53" ht="14.15" customHeight="1" x14ac:dyDescent="0.4">
      <c r="A160" s="256" t="s">
        <v>1252</v>
      </c>
      <c r="B160" s="67" t="s">
        <v>269</v>
      </c>
      <c r="C160" s="111" t="s">
        <v>1128</v>
      </c>
      <c r="D160" s="115"/>
      <c r="E160" s="120" t="s">
        <v>100</v>
      </c>
      <c r="F160" s="82"/>
      <c r="G160" s="84"/>
      <c r="H160" s="90" t="s">
        <v>100</v>
      </c>
      <c r="I160" s="91"/>
      <c r="J160" s="97"/>
      <c r="K160" s="102">
        <v>45709</v>
      </c>
      <c r="L160" s="327"/>
      <c r="M160" s="106">
        <v>44271</v>
      </c>
      <c r="N160" s="113" t="s">
        <v>1253</v>
      </c>
      <c r="O160" s="113" t="s">
        <v>1254</v>
      </c>
      <c r="P160" s="57"/>
      <c r="Q160" s="132">
        <v>7.7499999999999999E-2</v>
      </c>
      <c r="R160" s="132"/>
      <c r="S160" s="63" t="s">
        <v>1255</v>
      </c>
      <c r="T160" s="67" t="s">
        <v>1256</v>
      </c>
      <c r="U160" s="67" t="s">
        <v>1257</v>
      </c>
      <c r="V160" s="113" t="s">
        <v>106</v>
      </c>
      <c r="W160" s="222">
        <v>92252</v>
      </c>
      <c r="X160" s="139" t="s">
        <v>1258</v>
      </c>
      <c r="Y160" s="139" t="s">
        <v>1258</v>
      </c>
      <c r="Z160" s="139" t="s">
        <v>1258</v>
      </c>
      <c r="AA160" s="200"/>
      <c r="AB160" s="130"/>
      <c r="AC160" s="202"/>
      <c r="AD160" s="200"/>
      <c r="AE160" s="113"/>
      <c r="AF160" s="113"/>
      <c r="AG160" s="113"/>
      <c r="AH160" s="113"/>
      <c r="AI160" s="130"/>
      <c r="AK160" s="57"/>
      <c r="AL160" s="287" t="s">
        <v>251</v>
      </c>
      <c r="AM160" s="288">
        <v>15741</v>
      </c>
      <c r="AS160" s="207"/>
      <c r="AT160" s="116" t="s">
        <v>1253</v>
      </c>
      <c r="AU160" s="67" t="s">
        <v>1259</v>
      </c>
      <c r="AV160" s="251"/>
      <c r="AW160" s="67" t="s">
        <v>420</v>
      </c>
      <c r="AX160" s="113" t="s">
        <v>106</v>
      </c>
      <c r="AY160" s="222">
        <v>94945</v>
      </c>
      <c r="AZ160" s="199" t="s">
        <v>1260</v>
      </c>
      <c r="BA160" s="317"/>
    </row>
    <row r="161" spans="1:53" ht="14.15" customHeight="1" x14ac:dyDescent="0.4">
      <c r="A161" s="256" t="s">
        <v>1261</v>
      </c>
      <c r="B161" s="67" t="s">
        <v>125</v>
      </c>
      <c r="C161" s="111" t="s">
        <v>1262</v>
      </c>
      <c r="D161" s="115"/>
      <c r="E161" s="120" t="s">
        <v>100</v>
      </c>
      <c r="F161" s="82"/>
      <c r="G161" s="84"/>
      <c r="H161" s="90" t="s">
        <v>100</v>
      </c>
      <c r="I161" s="91"/>
      <c r="J161" s="97"/>
      <c r="K161" s="102">
        <v>45082</v>
      </c>
      <c r="L161" s="327"/>
      <c r="M161" s="106">
        <v>44859</v>
      </c>
      <c r="N161" s="113" t="s">
        <v>1263</v>
      </c>
      <c r="O161" s="113" t="s">
        <v>1264</v>
      </c>
      <c r="P161" s="57"/>
      <c r="Q161" s="132">
        <v>9.8750000000000004E-2</v>
      </c>
      <c r="R161" s="132"/>
      <c r="S161" s="63" t="s">
        <v>1265</v>
      </c>
      <c r="T161" s="67" t="s">
        <v>1266</v>
      </c>
      <c r="U161" s="67" t="s">
        <v>1267</v>
      </c>
      <c r="V161" s="113" t="s">
        <v>106</v>
      </c>
      <c r="W161" s="222">
        <v>94080</v>
      </c>
      <c r="X161" s="141"/>
      <c r="Z161" s="236"/>
      <c r="AA161" s="200"/>
      <c r="AB161" s="130"/>
      <c r="AC161" s="202"/>
      <c r="AD161" s="200"/>
      <c r="AE161" s="113"/>
      <c r="AF161" s="113"/>
      <c r="AG161" s="113"/>
      <c r="AH161" s="113"/>
      <c r="AI161" s="130"/>
      <c r="AK161" s="57"/>
      <c r="AL161" s="287" t="s">
        <v>1268</v>
      </c>
      <c r="AS161" s="207"/>
      <c r="AT161" s="116" t="s">
        <v>589</v>
      </c>
      <c r="AU161" s="67" t="s">
        <v>1266</v>
      </c>
      <c r="AV161" s="251"/>
      <c r="AW161" s="67" t="s">
        <v>1269</v>
      </c>
      <c r="AX161" s="113" t="s">
        <v>106</v>
      </c>
      <c r="AY161" s="222">
        <v>94080</v>
      </c>
      <c r="AZ161" s="199" t="s">
        <v>1264</v>
      </c>
      <c r="BA161" s="317"/>
    </row>
    <row r="162" spans="1:53" s="251" customFormat="1" ht="14.15" customHeight="1" x14ac:dyDescent="0.4">
      <c r="A162" s="256" t="s">
        <v>1270</v>
      </c>
      <c r="B162" s="67" t="s">
        <v>125</v>
      </c>
      <c r="C162" s="111" t="s">
        <v>99</v>
      </c>
      <c r="D162" s="115"/>
      <c r="E162" s="120" t="s">
        <v>100</v>
      </c>
      <c r="F162" s="82"/>
      <c r="G162" s="84"/>
      <c r="H162" s="90" t="s">
        <v>100</v>
      </c>
      <c r="I162" s="91"/>
      <c r="J162" s="97"/>
      <c r="K162" s="102"/>
      <c r="L162" s="327"/>
      <c r="M162" s="106">
        <v>44245</v>
      </c>
      <c r="N162" s="113" t="s">
        <v>1216</v>
      </c>
      <c r="O162" s="113" t="s">
        <v>1271</v>
      </c>
      <c r="P162" s="57"/>
      <c r="Q162" s="132">
        <v>0.1075</v>
      </c>
      <c r="R162" s="132"/>
      <c r="S162" s="63" t="s">
        <v>1272</v>
      </c>
      <c r="T162" s="67" t="s">
        <v>1273</v>
      </c>
      <c r="U162" s="67" t="s">
        <v>1274</v>
      </c>
      <c r="V162" s="113" t="s">
        <v>106</v>
      </c>
      <c r="W162" s="222">
        <v>94577</v>
      </c>
      <c r="X162" s="141"/>
      <c r="Y162" s="236"/>
      <c r="Z162" s="236"/>
      <c r="AA162" s="200"/>
      <c r="AB162" s="130"/>
      <c r="AC162" s="202"/>
      <c r="AD162" s="200"/>
      <c r="AE162" s="113"/>
      <c r="AF162" s="113"/>
      <c r="AG162" s="113"/>
      <c r="AH162" s="113"/>
      <c r="AI162" s="130"/>
      <c r="AJ162" s="135"/>
      <c r="AK162" s="57"/>
      <c r="AL162" s="287"/>
      <c r="AM162" s="288"/>
      <c r="AN162" s="288"/>
      <c r="AO162" s="288"/>
      <c r="AP162" s="288"/>
      <c r="AQ162" s="288"/>
      <c r="AR162" s="288"/>
      <c r="AS162" s="207"/>
      <c r="AT162" s="116"/>
      <c r="AU162" s="67" t="s">
        <v>1273</v>
      </c>
      <c r="AW162" s="67" t="s">
        <v>1274</v>
      </c>
      <c r="AX162" s="113" t="s">
        <v>106</v>
      </c>
      <c r="AY162" s="222">
        <v>94577</v>
      </c>
      <c r="AZ162" s="199" t="s">
        <v>1271</v>
      </c>
      <c r="BA162" s="317"/>
    </row>
    <row r="163" spans="1:53" ht="14.15" customHeight="1" x14ac:dyDescent="0.4">
      <c r="A163" s="256" t="s">
        <v>1275</v>
      </c>
      <c r="B163" s="67" t="s">
        <v>269</v>
      </c>
      <c r="C163" s="111" t="s">
        <v>119</v>
      </c>
      <c r="D163" s="113" t="s">
        <v>1276</v>
      </c>
      <c r="E163" s="120" t="s">
        <v>100</v>
      </c>
      <c r="F163" s="82"/>
      <c r="G163" s="84"/>
      <c r="H163" s="90" t="s">
        <v>1277</v>
      </c>
      <c r="I163" s="91"/>
      <c r="J163" s="97"/>
      <c r="K163" s="102">
        <v>45761</v>
      </c>
      <c r="L163" s="327"/>
      <c r="M163" s="106">
        <v>45824</v>
      </c>
      <c r="N163" s="113" t="s">
        <v>1278</v>
      </c>
      <c r="O163" s="113" t="s">
        <v>1279</v>
      </c>
      <c r="P163" s="57" t="s">
        <v>1280</v>
      </c>
      <c r="Q163" s="132">
        <v>9.1249999999999998E-2</v>
      </c>
      <c r="R163" s="132">
        <v>8.7499999999999994E-2</v>
      </c>
      <c r="S163" s="63" t="s">
        <v>177</v>
      </c>
      <c r="T163" s="67" t="s">
        <v>1281</v>
      </c>
      <c r="U163" s="67" t="s">
        <v>1282</v>
      </c>
      <c r="V163" s="113" t="s">
        <v>106</v>
      </c>
      <c r="W163" s="222">
        <v>95014</v>
      </c>
      <c r="X163" s="141" t="s">
        <v>1283</v>
      </c>
      <c r="Y163" s="139" t="s">
        <v>6394</v>
      </c>
      <c r="Z163" s="244"/>
      <c r="AA163" s="200"/>
      <c r="AB163" s="130"/>
      <c r="AC163" s="202"/>
      <c r="AD163" s="200"/>
      <c r="AE163" s="113"/>
      <c r="AF163" s="113"/>
      <c r="AG163" s="113" t="s">
        <v>1284</v>
      </c>
      <c r="AH163" s="113" t="s">
        <v>1285</v>
      </c>
      <c r="AI163" s="130" t="s">
        <v>1286</v>
      </c>
      <c r="AJ163" s="135" t="s">
        <v>116</v>
      </c>
      <c r="AK163" s="57"/>
      <c r="AL163" s="287" t="s">
        <v>289</v>
      </c>
      <c r="AS163" s="207" t="s">
        <v>132</v>
      </c>
      <c r="AT163" s="116" t="s">
        <v>1195</v>
      </c>
      <c r="AU163" s="67" t="str">
        <f>PROPER(AV163)</f>
        <v>21250 Stevens Creek Blvd</v>
      </c>
      <c r="AV163" s="251" t="s">
        <v>1287</v>
      </c>
      <c r="AW163" s="67" t="s">
        <v>1282</v>
      </c>
      <c r="AX163" s="113" t="s">
        <v>106</v>
      </c>
      <c r="AY163" s="222">
        <v>95014</v>
      </c>
      <c r="AZ163" s="199" t="s">
        <v>1279</v>
      </c>
    </row>
    <row r="164" spans="1:53" ht="14.15" customHeight="1" x14ac:dyDescent="0.4">
      <c r="A164" s="256" t="s">
        <v>1288</v>
      </c>
      <c r="B164" s="67" t="s">
        <v>434</v>
      </c>
      <c r="C164" s="111" t="s">
        <v>99</v>
      </c>
      <c r="D164" s="115"/>
      <c r="E164" s="120" t="s">
        <v>1166</v>
      </c>
      <c r="F164" s="82" t="s">
        <v>174</v>
      </c>
      <c r="G164" s="84"/>
      <c r="H164" s="90" t="s">
        <v>100</v>
      </c>
      <c r="I164" s="91"/>
      <c r="J164" s="97"/>
      <c r="K164" s="102">
        <v>45495</v>
      </c>
      <c r="L164" s="327"/>
      <c r="M164" s="106"/>
      <c r="N164" s="113" t="s">
        <v>1289</v>
      </c>
      <c r="O164" s="113" t="s">
        <v>1290</v>
      </c>
      <c r="P164" s="57"/>
      <c r="Q164" s="132">
        <v>8.7499999999999994E-2</v>
      </c>
      <c r="R164" s="132"/>
      <c r="S164" s="63" t="s">
        <v>205</v>
      </c>
      <c r="T164" s="67" t="s">
        <v>1291</v>
      </c>
      <c r="U164" s="67" t="s">
        <v>1292</v>
      </c>
      <c r="V164" s="113" t="s">
        <v>106</v>
      </c>
      <c r="W164" s="222">
        <v>94525</v>
      </c>
      <c r="X164" s="141" t="s">
        <v>1293</v>
      </c>
      <c r="Z164" s="236"/>
      <c r="AA164" s="200"/>
      <c r="AB164" s="130"/>
      <c r="AC164" s="202"/>
      <c r="AD164" s="200"/>
      <c r="AE164" s="113"/>
      <c r="AF164" s="113"/>
      <c r="AG164" s="113"/>
      <c r="AH164" s="113"/>
      <c r="AI164" s="130"/>
      <c r="AK164" s="57"/>
      <c r="AN164" s="288">
        <v>15741</v>
      </c>
      <c r="AS164" s="207"/>
      <c r="AU164" s="67" t="s">
        <v>1291</v>
      </c>
      <c r="AV164" s="251"/>
      <c r="AW164" s="67" t="s">
        <v>1292</v>
      </c>
      <c r="AX164" s="113" t="s">
        <v>106</v>
      </c>
      <c r="AY164" s="222">
        <v>94525</v>
      </c>
      <c r="AZ164" s="199" t="s">
        <v>1290</v>
      </c>
      <c r="BA164" s="317"/>
    </row>
    <row r="165" spans="1:53" ht="15" customHeight="1" x14ac:dyDescent="0.4">
      <c r="A165" s="256" t="s">
        <v>1294</v>
      </c>
      <c r="B165" s="67" t="s">
        <v>1295</v>
      </c>
      <c r="C165" s="111" t="s">
        <v>254</v>
      </c>
      <c r="D165" s="113"/>
      <c r="E165" s="120" t="s">
        <v>1296</v>
      </c>
      <c r="F165" s="82">
        <v>45716</v>
      </c>
      <c r="G165" s="84"/>
      <c r="H165" s="90" t="s">
        <v>1296</v>
      </c>
      <c r="I165" s="91">
        <v>45716</v>
      </c>
      <c r="J165" s="97"/>
      <c r="K165" s="102">
        <v>44874</v>
      </c>
      <c r="L165" s="327"/>
      <c r="M165" s="106">
        <v>43770</v>
      </c>
      <c r="N165" s="113" t="s">
        <v>1297</v>
      </c>
      <c r="O165" s="113" t="s">
        <v>1298</v>
      </c>
      <c r="P165" s="57" t="s">
        <v>1299</v>
      </c>
      <c r="Q165" s="132">
        <v>8.6249999999999993E-2</v>
      </c>
      <c r="R165" s="132">
        <v>8.7499999999999994E-2</v>
      </c>
      <c r="S165" s="63" t="s">
        <v>103</v>
      </c>
      <c r="T165" s="67" t="s">
        <v>1300</v>
      </c>
      <c r="U165" s="67" t="s">
        <v>105</v>
      </c>
      <c r="V165" s="113" t="s">
        <v>106</v>
      </c>
      <c r="W165" s="222">
        <v>94107</v>
      </c>
      <c r="Z165" s="236"/>
      <c r="AA165" s="200" t="s">
        <v>1301</v>
      </c>
      <c r="AB165" s="130" t="s">
        <v>1302</v>
      </c>
      <c r="AC165" s="202" t="s">
        <v>1303</v>
      </c>
      <c r="AD165" s="200" t="s">
        <v>1304</v>
      </c>
      <c r="AE165" s="113" t="s">
        <v>1303</v>
      </c>
      <c r="AF165" s="113" t="s">
        <v>1305</v>
      </c>
      <c r="AG165" s="113" t="s">
        <v>1306</v>
      </c>
      <c r="AH165" s="113" t="s">
        <v>1307</v>
      </c>
      <c r="AI165" s="57" t="s">
        <v>1308</v>
      </c>
      <c r="AJ165" s="135" t="s">
        <v>1309</v>
      </c>
      <c r="AK165" s="57"/>
      <c r="AL165" s="287" t="s">
        <v>289</v>
      </c>
      <c r="AM165" s="288">
        <v>13305</v>
      </c>
      <c r="AO165" s="288">
        <v>62245</v>
      </c>
      <c r="AS165" s="207" t="s">
        <v>132</v>
      </c>
      <c r="AT165" s="116" t="s">
        <v>1195</v>
      </c>
      <c r="AU165" s="67" t="str">
        <f>PROPER(AV165)</f>
        <v>600 Embarcadero</v>
      </c>
      <c r="AV165" s="251" t="s">
        <v>1310</v>
      </c>
      <c r="AW165" s="67" t="s">
        <v>105</v>
      </c>
      <c r="AX165" s="113" t="s">
        <v>106</v>
      </c>
      <c r="AY165" s="222">
        <v>94107</v>
      </c>
      <c r="AZ165" s="199" t="s">
        <v>1298</v>
      </c>
    </row>
    <row r="166" spans="1:53" ht="14.15" customHeight="1" x14ac:dyDescent="0.4">
      <c r="A166" s="256" t="s">
        <v>1311</v>
      </c>
      <c r="B166" s="67" t="s">
        <v>98</v>
      </c>
      <c r="C166" s="109" t="s">
        <v>99</v>
      </c>
      <c r="D166" s="113"/>
      <c r="E166" s="120" t="s">
        <v>100</v>
      </c>
      <c r="F166" s="80"/>
      <c r="G166" s="81"/>
      <c r="H166" s="90" t="s">
        <v>100</v>
      </c>
      <c r="I166" s="91"/>
      <c r="J166" s="97"/>
      <c r="K166" s="102">
        <v>43468</v>
      </c>
      <c r="L166" s="327"/>
      <c r="M166" s="106">
        <v>44508</v>
      </c>
      <c r="N166" s="113" t="s">
        <v>191</v>
      </c>
      <c r="O166" s="113" t="s">
        <v>1312</v>
      </c>
      <c r="P166" s="57" t="s">
        <v>193</v>
      </c>
      <c r="Q166" s="132">
        <v>8.6249999999999993E-2</v>
      </c>
      <c r="R166" s="132">
        <v>8.7499999999999994E-2</v>
      </c>
      <c r="S166" s="63" t="s">
        <v>103</v>
      </c>
      <c r="T166" s="67" t="s">
        <v>1313</v>
      </c>
      <c r="U166" s="67" t="s">
        <v>105</v>
      </c>
      <c r="V166" s="113" t="s">
        <v>106</v>
      </c>
      <c r="W166" s="222">
        <v>94103</v>
      </c>
      <c r="X166" s="141" t="s">
        <v>1314</v>
      </c>
      <c r="Y166" s="139" t="s">
        <v>1315</v>
      </c>
      <c r="Z166" s="139" t="s">
        <v>1316</v>
      </c>
      <c r="AA166" s="144" t="s">
        <v>1317</v>
      </c>
      <c r="AB166" s="130"/>
      <c r="AC166" s="202"/>
      <c r="AD166" s="200"/>
      <c r="AE166" s="113"/>
      <c r="AF166" s="113"/>
      <c r="AG166" s="113"/>
      <c r="AH166" s="113"/>
      <c r="AI166" s="130"/>
      <c r="AK166" s="57"/>
      <c r="AL166" s="287" t="s">
        <v>149</v>
      </c>
      <c r="AM166" s="288">
        <v>13305</v>
      </c>
      <c r="AN166" s="288" t="s">
        <v>198</v>
      </c>
      <c r="AO166" s="288">
        <v>62245</v>
      </c>
      <c r="AS166" s="207" t="s">
        <v>132</v>
      </c>
      <c r="AT166" s="116" t="s">
        <v>1195</v>
      </c>
      <c r="AU166" s="67" t="s">
        <v>1313</v>
      </c>
      <c r="AV166" s="251"/>
      <c r="AW166" s="67" t="s">
        <v>105</v>
      </c>
      <c r="AX166" s="113" t="s">
        <v>106</v>
      </c>
      <c r="AY166" s="222">
        <v>94103</v>
      </c>
      <c r="AZ166" s="199" t="s">
        <v>200</v>
      </c>
    </row>
    <row r="167" spans="1:53" ht="14.15" customHeight="1" x14ac:dyDescent="0.4">
      <c r="A167" s="256" t="s">
        <v>1318</v>
      </c>
      <c r="B167" s="67" t="s">
        <v>98</v>
      </c>
      <c r="C167" s="109" t="s">
        <v>99</v>
      </c>
      <c r="D167" s="113"/>
      <c r="E167" s="120" t="s">
        <v>100</v>
      </c>
      <c r="F167" s="80"/>
      <c r="G167" s="81"/>
      <c r="H167" s="90" t="s">
        <v>100</v>
      </c>
      <c r="I167" s="91"/>
      <c r="J167" s="97"/>
      <c r="K167" s="102">
        <v>43529</v>
      </c>
      <c r="L167" s="327"/>
      <c r="M167" s="106">
        <v>44099</v>
      </c>
      <c r="N167" s="113" t="s">
        <v>191</v>
      </c>
      <c r="O167" s="113" t="s">
        <v>1319</v>
      </c>
      <c r="P167" s="57" t="s">
        <v>193</v>
      </c>
      <c r="Q167" s="132">
        <v>8.6249999999999993E-2</v>
      </c>
      <c r="R167" s="132">
        <v>8.7499999999999994E-2</v>
      </c>
      <c r="S167" s="63" t="s">
        <v>103</v>
      </c>
      <c r="T167" s="67" t="s">
        <v>1320</v>
      </c>
      <c r="U167" s="67" t="s">
        <v>105</v>
      </c>
      <c r="V167" s="113" t="s">
        <v>106</v>
      </c>
      <c r="W167" s="222">
        <v>94123</v>
      </c>
      <c r="X167" s="141" t="s">
        <v>1321</v>
      </c>
      <c r="Y167" s="139" t="s">
        <v>1322</v>
      </c>
      <c r="Z167" s="139" t="s">
        <v>1316</v>
      </c>
      <c r="AA167" s="144" t="s">
        <v>1317</v>
      </c>
      <c r="AB167" s="130"/>
      <c r="AC167" s="202"/>
      <c r="AD167" s="200"/>
      <c r="AE167" s="113"/>
      <c r="AF167" s="113"/>
      <c r="AG167" s="113"/>
      <c r="AH167" s="113"/>
      <c r="AI167" s="130" t="s">
        <v>1323</v>
      </c>
      <c r="AK167" s="57"/>
      <c r="AL167" s="287" t="s">
        <v>149</v>
      </c>
      <c r="AM167" s="288">
        <v>13305</v>
      </c>
      <c r="AN167" s="288" t="s">
        <v>198</v>
      </c>
      <c r="AO167" s="288">
        <v>62245</v>
      </c>
      <c r="AS167" s="207" t="s">
        <v>132</v>
      </c>
      <c r="AT167" s="116" t="s">
        <v>1195</v>
      </c>
      <c r="AU167" s="67" t="s">
        <v>1320</v>
      </c>
      <c r="AV167" s="251"/>
      <c r="AW167" s="67" t="s">
        <v>105</v>
      </c>
      <c r="AX167" s="113" t="s">
        <v>106</v>
      </c>
      <c r="AY167" s="222">
        <v>94123</v>
      </c>
      <c r="AZ167" s="199" t="s">
        <v>200</v>
      </c>
    </row>
    <row r="168" spans="1:53" ht="14.15" customHeight="1" x14ac:dyDescent="0.4">
      <c r="A168" s="256" t="s">
        <v>1324</v>
      </c>
      <c r="B168" s="67" t="s">
        <v>98</v>
      </c>
      <c r="C168" s="109" t="s">
        <v>99</v>
      </c>
      <c r="D168" s="113"/>
      <c r="E168" s="120" t="s">
        <v>100</v>
      </c>
      <c r="F168" s="80"/>
      <c r="G168" s="81"/>
      <c r="H168" s="363" t="s">
        <v>100</v>
      </c>
      <c r="I168" s="91"/>
      <c r="J168" s="97"/>
      <c r="K168" s="102">
        <v>44522</v>
      </c>
      <c r="L168" s="327"/>
      <c r="M168" s="106">
        <v>43872</v>
      </c>
      <c r="N168" s="113" t="s">
        <v>191</v>
      </c>
      <c r="O168" s="113" t="s">
        <v>1325</v>
      </c>
      <c r="P168" s="57" t="s">
        <v>193</v>
      </c>
      <c r="Q168" s="132">
        <v>9.7500000000000003E-2</v>
      </c>
      <c r="R168" s="132">
        <v>8.7499999999999994E-2</v>
      </c>
      <c r="S168" s="63" t="s">
        <v>205</v>
      </c>
      <c r="T168" s="67" t="s">
        <v>1326</v>
      </c>
      <c r="U168" s="67" t="s">
        <v>1327</v>
      </c>
      <c r="V168" s="113" t="s">
        <v>106</v>
      </c>
      <c r="W168" s="222">
        <v>94583</v>
      </c>
      <c r="X168" s="141"/>
      <c r="Y168" s="139" t="s">
        <v>1328</v>
      </c>
      <c r="Z168" s="139" t="s">
        <v>1316</v>
      </c>
      <c r="AA168" s="144" t="s">
        <v>1317</v>
      </c>
      <c r="AB168" s="130"/>
      <c r="AC168" s="202"/>
      <c r="AD168" s="200"/>
      <c r="AE168" s="113"/>
      <c r="AF168" s="113"/>
      <c r="AG168" s="113"/>
      <c r="AH168" s="113"/>
      <c r="AI168" s="130"/>
      <c r="AK168" s="57"/>
      <c r="AL168" s="287" t="s">
        <v>149</v>
      </c>
      <c r="AM168" s="288">
        <v>13305</v>
      </c>
      <c r="AN168" s="288" t="s">
        <v>198</v>
      </c>
      <c r="AO168" s="288">
        <v>62245</v>
      </c>
      <c r="AS168" s="207" t="s">
        <v>132</v>
      </c>
      <c r="AT168" s="116" t="s">
        <v>1329</v>
      </c>
      <c r="AU168" s="67" t="s">
        <v>1326</v>
      </c>
      <c r="AV168" s="251"/>
      <c r="AW168" s="67" t="s">
        <v>1327</v>
      </c>
      <c r="AX168" s="113" t="s">
        <v>106</v>
      </c>
      <c r="AY168" s="222">
        <v>94583</v>
      </c>
      <c r="AZ168" s="199" t="s">
        <v>1325</v>
      </c>
    </row>
    <row r="169" spans="1:53" ht="14.15" customHeight="1" x14ac:dyDescent="0.25">
      <c r="A169" s="256" t="s">
        <v>1330</v>
      </c>
      <c r="B169" s="67" t="s">
        <v>98</v>
      </c>
      <c r="C169" s="109" t="s">
        <v>99</v>
      </c>
      <c r="E169" s="118" t="s">
        <v>100</v>
      </c>
      <c r="F169" s="80"/>
      <c r="G169" s="81"/>
      <c r="H169" s="87" t="s">
        <v>100</v>
      </c>
      <c r="I169" s="86"/>
      <c r="J169" s="96"/>
      <c r="K169" s="100">
        <v>44748</v>
      </c>
      <c r="L169" s="328"/>
      <c r="M169" s="104">
        <v>44117</v>
      </c>
      <c r="N169" s="128" t="s">
        <v>1331</v>
      </c>
      <c r="O169" s="128" t="s">
        <v>1332</v>
      </c>
      <c r="P169" s="59" t="s">
        <v>1333</v>
      </c>
      <c r="Q169" s="132">
        <v>8.2500000000000004E-2</v>
      </c>
      <c r="R169" s="132">
        <v>0.08</v>
      </c>
      <c r="S169" s="63" t="s">
        <v>452</v>
      </c>
      <c r="T169" s="67" t="s">
        <v>1334</v>
      </c>
      <c r="U169" s="67" t="s">
        <v>452</v>
      </c>
      <c r="V169" s="79" t="s">
        <v>106</v>
      </c>
      <c r="W169" s="76">
        <v>95242</v>
      </c>
      <c r="X169" s="139" t="s">
        <v>1335</v>
      </c>
      <c r="Y169" s="139" t="s">
        <v>1335</v>
      </c>
      <c r="Z169" s="139" t="s">
        <v>1335</v>
      </c>
      <c r="AA169" s="79" t="s">
        <v>1336</v>
      </c>
      <c r="AB169" s="135" t="s">
        <v>1337</v>
      </c>
      <c r="AI169" s="135" t="s">
        <v>0</v>
      </c>
      <c r="AJ169" s="135" t="s">
        <v>116</v>
      </c>
      <c r="AL169" s="290" t="s">
        <v>149</v>
      </c>
      <c r="AM169" s="290">
        <v>13305</v>
      </c>
      <c r="AN169" s="290"/>
      <c r="AO169" s="290">
        <v>67240</v>
      </c>
      <c r="AP169" s="290"/>
      <c r="AQ169" s="290"/>
      <c r="AR169" s="290"/>
      <c r="AS169" s="207" t="s">
        <v>132</v>
      </c>
      <c r="AT169" s="116" t="s">
        <v>1195</v>
      </c>
      <c r="AU169" s="67" t="str">
        <f>PROPER(AV169)</f>
        <v>1327 W Lockeford Street</v>
      </c>
      <c r="AV169" s="66" t="s">
        <v>1338</v>
      </c>
      <c r="AW169" s="67" t="s">
        <v>452</v>
      </c>
      <c r="AX169" s="79" t="s">
        <v>106</v>
      </c>
      <c r="AY169" s="76">
        <v>95242</v>
      </c>
      <c r="AZ169" s="77" t="s">
        <v>1332</v>
      </c>
    </row>
    <row r="170" spans="1:53" ht="14.15" customHeight="1" x14ac:dyDescent="0.25">
      <c r="A170" s="256" t="s">
        <v>1339</v>
      </c>
      <c r="B170" s="67" t="s">
        <v>98</v>
      </c>
      <c r="C170" s="109" t="s">
        <v>99</v>
      </c>
      <c r="E170" s="118" t="s">
        <v>100</v>
      </c>
      <c r="F170" s="80"/>
      <c r="G170" s="81"/>
      <c r="H170" s="87" t="s">
        <v>100</v>
      </c>
      <c r="I170" s="86"/>
      <c r="J170" s="96"/>
      <c r="K170" s="100">
        <v>45107</v>
      </c>
      <c r="L170" s="328"/>
      <c r="M170" s="104">
        <v>44874</v>
      </c>
      <c r="N170" s="128" t="s">
        <v>1216</v>
      </c>
      <c r="O170" s="128" t="s">
        <v>1340</v>
      </c>
      <c r="Q170" s="132">
        <v>9.2499999999999999E-2</v>
      </c>
      <c r="R170" s="132">
        <v>8.5000000000000006E-2</v>
      </c>
      <c r="S170" s="63" t="s">
        <v>759</v>
      </c>
      <c r="T170" s="67" t="s">
        <v>1341</v>
      </c>
      <c r="U170" s="67" t="s">
        <v>823</v>
      </c>
      <c r="V170" s="79" t="s">
        <v>106</v>
      </c>
      <c r="W170" s="76">
        <v>94941</v>
      </c>
      <c r="AA170" s="79" t="s">
        <v>1342</v>
      </c>
      <c r="AB170" s="135" t="s">
        <v>1343</v>
      </c>
      <c r="AC170" s="136" t="s">
        <v>1344</v>
      </c>
      <c r="AD170" s="79" t="s">
        <v>1345</v>
      </c>
      <c r="AE170" s="128" t="s">
        <v>1346</v>
      </c>
      <c r="AG170" s="128" t="s">
        <v>1347</v>
      </c>
      <c r="AH170" s="128" t="s">
        <v>1348</v>
      </c>
      <c r="AI170" s="135" t="s">
        <v>1345</v>
      </c>
      <c r="AJ170" s="135" t="s">
        <v>116</v>
      </c>
      <c r="AK170" s="53" t="s">
        <v>1349</v>
      </c>
      <c r="AL170" s="290" t="s">
        <v>289</v>
      </c>
      <c r="AM170" s="290"/>
      <c r="AN170" s="290"/>
      <c r="AO170" s="290">
        <v>62245</v>
      </c>
      <c r="AP170" s="290"/>
      <c r="AQ170" s="290"/>
      <c r="AR170" s="290"/>
      <c r="AS170" s="207" t="s">
        <v>132</v>
      </c>
      <c r="AT170" s="116" t="s">
        <v>1195</v>
      </c>
      <c r="AU170" s="67" t="s">
        <v>1341</v>
      </c>
      <c r="AW170" s="67" t="s">
        <v>823</v>
      </c>
      <c r="AX170" s="79" t="s">
        <v>106</v>
      </c>
      <c r="AY170" s="76">
        <v>94941</v>
      </c>
      <c r="AZ170" s="77" t="s">
        <v>1340</v>
      </c>
      <c r="BA170" s="317"/>
    </row>
    <row r="171" spans="1:53" ht="14.15" customHeight="1" x14ac:dyDescent="0.4">
      <c r="A171" s="256" t="s">
        <v>1350</v>
      </c>
      <c r="B171" s="67" t="s">
        <v>98</v>
      </c>
      <c r="C171" s="109" t="s">
        <v>99</v>
      </c>
      <c r="D171" s="112"/>
      <c r="E171" s="119" t="s">
        <v>100</v>
      </c>
      <c r="F171" s="83"/>
      <c r="G171" s="209"/>
      <c r="H171" s="88" t="s">
        <v>100</v>
      </c>
      <c r="I171" s="89"/>
      <c r="J171" s="98"/>
      <c r="K171" s="101">
        <v>43691</v>
      </c>
      <c r="L171" s="329"/>
      <c r="M171" s="105">
        <v>45783</v>
      </c>
      <c r="N171" s="112" t="s">
        <v>1351</v>
      </c>
      <c r="O171" s="112" t="s">
        <v>1352</v>
      </c>
      <c r="P171" s="198" t="s">
        <v>1353</v>
      </c>
      <c r="Q171" s="132">
        <v>8.7499999999999994E-2</v>
      </c>
      <c r="R171" s="132">
        <v>0.08</v>
      </c>
      <c r="S171" s="63" t="s">
        <v>1354</v>
      </c>
      <c r="T171" s="198" t="s">
        <v>1355</v>
      </c>
      <c r="U171" s="198" t="s">
        <v>1356</v>
      </c>
      <c r="V171" s="112" t="s">
        <v>106</v>
      </c>
      <c r="W171" s="205">
        <v>92395</v>
      </c>
      <c r="X171" s="141" t="s">
        <v>1357</v>
      </c>
      <c r="Y171" s="205"/>
      <c r="Z171" s="205"/>
      <c r="AA171" s="203"/>
      <c r="AB171" s="205"/>
      <c r="AC171" s="206"/>
      <c r="AD171" s="203"/>
      <c r="AE171" s="205"/>
      <c r="AF171" s="205"/>
      <c r="AG171" s="205"/>
      <c r="AH171" s="205"/>
      <c r="AI171" s="205"/>
      <c r="AK171" s="318"/>
      <c r="AL171" s="290" t="s">
        <v>149</v>
      </c>
      <c r="AM171" s="290">
        <v>15741</v>
      </c>
      <c r="AN171" s="290"/>
      <c r="AO171" s="290"/>
      <c r="AP171" s="290"/>
      <c r="AQ171" s="290"/>
      <c r="AR171" s="290"/>
      <c r="AS171" s="207" t="s">
        <v>132</v>
      </c>
      <c r="AT171" s="116" t="s">
        <v>1195</v>
      </c>
      <c r="AU171" s="198" t="s">
        <v>1355</v>
      </c>
      <c r="AV171" s="39" t="s">
        <v>0</v>
      </c>
      <c r="AW171" s="198" t="s">
        <v>1356</v>
      </c>
      <c r="AX171" s="112" t="s">
        <v>106</v>
      </c>
      <c r="AY171" s="205">
        <v>92395</v>
      </c>
      <c r="AZ171" s="198" t="s">
        <v>1352</v>
      </c>
      <c r="BA171" s="317"/>
    </row>
    <row r="172" spans="1:53" s="251" customFormat="1" ht="14.25" customHeight="1" x14ac:dyDescent="0.4">
      <c r="A172" s="256" t="s">
        <v>1358</v>
      </c>
      <c r="B172" s="67" t="s">
        <v>98</v>
      </c>
      <c r="C172" s="109" t="s">
        <v>99</v>
      </c>
      <c r="D172" s="79"/>
      <c r="E172" s="120" t="s">
        <v>100</v>
      </c>
      <c r="F172" s="82"/>
      <c r="G172" s="84"/>
      <c r="H172" s="90" t="s">
        <v>100</v>
      </c>
      <c r="I172" s="91"/>
      <c r="J172" s="97"/>
      <c r="K172" s="102">
        <v>45070</v>
      </c>
      <c r="L172" s="327"/>
      <c r="M172" s="106"/>
      <c r="N172" s="128" t="s">
        <v>1351</v>
      </c>
      <c r="O172" s="128" t="s">
        <v>1359</v>
      </c>
      <c r="P172" s="59"/>
      <c r="Q172" s="131">
        <v>8.2500000000000004E-2</v>
      </c>
      <c r="R172" s="131"/>
      <c r="S172" s="63" t="s">
        <v>226</v>
      </c>
      <c r="T172" s="67" t="s">
        <v>1360</v>
      </c>
      <c r="U172" s="67" t="s">
        <v>228</v>
      </c>
      <c r="V172" s="79" t="s">
        <v>106</v>
      </c>
      <c r="W172" s="76">
        <v>94901</v>
      </c>
      <c r="X172" s="147"/>
      <c r="Y172" s="236"/>
      <c r="Z172" s="234"/>
      <c r="AA172" s="79"/>
      <c r="AB172" s="135"/>
      <c r="AC172" s="136"/>
      <c r="AD172" s="79"/>
      <c r="AE172" s="128"/>
      <c r="AF172" s="128"/>
      <c r="AG172" s="128"/>
      <c r="AH172" s="128"/>
      <c r="AI172" s="135"/>
      <c r="AJ172" s="135"/>
      <c r="AK172" s="58"/>
      <c r="AL172" s="287">
        <v>15741</v>
      </c>
      <c r="AM172" s="288"/>
      <c r="AN172" s="288"/>
      <c r="AO172" s="288"/>
      <c r="AP172" s="288"/>
      <c r="AQ172" s="288"/>
      <c r="AR172" s="288"/>
      <c r="AS172" s="207"/>
      <c r="AT172" s="116"/>
      <c r="AU172" s="67" t="s">
        <v>1361</v>
      </c>
      <c r="AV172" s="66"/>
      <c r="AW172" s="67" t="s">
        <v>228</v>
      </c>
      <c r="AX172" s="79" t="s">
        <v>106</v>
      </c>
      <c r="AY172" s="76">
        <v>94901</v>
      </c>
      <c r="AZ172" s="77" t="s">
        <v>1359</v>
      </c>
      <c r="BA172" s="75"/>
    </row>
    <row r="173" spans="1:53" s="251" customFormat="1" ht="14.15" customHeight="1" x14ac:dyDescent="0.4">
      <c r="A173" s="256" t="s">
        <v>1362</v>
      </c>
      <c r="B173" s="67" t="s">
        <v>98</v>
      </c>
      <c r="C173" s="111" t="s">
        <v>99</v>
      </c>
      <c r="D173" s="113"/>
      <c r="E173" s="120" t="s">
        <v>100</v>
      </c>
      <c r="F173" s="82"/>
      <c r="G173" s="84"/>
      <c r="H173" s="90" t="s">
        <v>100</v>
      </c>
      <c r="I173" s="91"/>
      <c r="J173" s="97"/>
      <c r="K173" s="102">
        <v>45999</v>
      </c>
      <c r="L173" s="327"/>
      <c r="M173" s="106"/>
      <c r="N173" s="113" t="s">
        <v>731</v>
      </c>
      <c r="O173" s="113" t="s">
        <v>1363</v>
      </c>
      <c r="P173" s="57"/>
      <c r="Q173" s="132">
        <v>9.2499999999999999E-2</v>
      </c>
      <c r="R173" s="132">
        <v>0.08</v>
      </c>
      <c r="S173" s="63" t="s">
        <v>1364</v>
      </c>
      <c r="T173" s="67" t="s">
        <v>1365</v>
      </c>
      <c r="U173" s="67" t="s">
        <v>1366</v>
      </c>
      <c r="V173" s="113" t="s">
        <v>106</v>
      </c>
      <c r="W173" s="222">
        <v>92703</v>
      </c>
      <c r="X173" s="142"/>
      <c r="Y173" s="143" t="s">
        <v>6420</v>
      </c>
      <c r="Z173" s="143"/>
      <c r="AA173" s="200"/>
      <c r="AB173" s="130"/>
      <c r="AC173" s="202"/>
      <c r="AD173" s="200"/>
      <c r="AE173" s="113"/>
      <c r="AF173" s="113"/>
      <c r="AG173" s="113"/>
      <c r="AH173" s="113"/>
      <c r="AI173" s="130" t="s">
        <v>0</v>
      </c>
      <c r="AJ173" s="135" t="s">
        <v>116</v>
      </c>
      <c r="AK173" s="57"/>
      <c r="AL173" s="287" t="s">
        <v>289</v>
      </c>
      <c r="AM173" s="288">
        <v>13305</v>
      </c>
      <c r="AN173" s="288" t="s">
        <v>1367</v>
      </c>
      <c r="AO173" s="288">
        <v>62245</v>
      </c>
      <c r="AP173" s="288"/>
      <c r="AQ173" s="288"/>
      <c r="AR173" s="288"/>
      <c r="AS173" s="207" t="s">
        <v>132</v>
      </c>
      <c r="AT173" s="116" t="s">
        <v>1195</v>
      </c>
      <c r="AU173" s="67" t="s">
        <v>1365</v>
      </c>
      <c r="AW173" s="67" t="s">
        <v>1366</v>
      </c>
      <c r="AX173" s="113" t="s">
        <v>106</v>
      </c>
      <c r="AY173" s="222">
        <v>92703</v>
      </c>
      <c r="AZ173" s="199" t="s">
        <v>1363</v>
      </c>
      <c r="BA173" s="317"/>
    </row>
    <row r="174" spans="1:53" ht="14.15" customHeight="1" x14ac:dyDescent="0.4">
      <c r="A174" s="256" t="s">
        <v>1368</v>
      </c>
      <c r="B174" s="67" t="s">
        <v>125</v>
      </c>
      <c r="C174" s="111" t="s">
        <v>99</v>
      </c>
      <c r="D174" s="115" t="s">
        <v>1369</v>
      </c>
      <c r="E174" s="120" t="s">
        <v>100</v>
      </c>
      <c r="F174" s="82"/>
      <c r="G174" s="84"/>
      <c r="H174" s="90" t="s">
        <v>100</v>
      </c>
      <c r="I174" s="91"/>
      <c r="J174" s="97"/>
      <c r="K174" s="102"/>
      <c r="L174" s="327"/>
      <c r="M174" s="106">
        <v>44432</v>
      </c>
      <c r="N174" s="113" t="s">
        <v>394</v>
      </c>
      <c r="O174" s="113" t="s">
        <v>1370</v>
      </c>
      <c r="P174" s="57"/>
      <c r="Q174" s="132">
        <v>0.10249999999999999</v>
      </c>
      <c r="R174" s="132"/>
      <c r="S174" s="63" t="s">
        <v>6340</v>
      </c>
      <c r="T174" s="67" t="s">
        <v>1371</v>
      </c>
      <c r="U174" s="67" t="s">
        <v>1372</v>
      </c>
      <c r="V174" s="113" t="s">
        <v>106</v>
      </c>
      <c r="W174" s="222">
        <v>95472</v>
      </c>
      <c r="X174" s="141"/>
      <c r="Z174" s="236"/>
      <c r="AA174" s="200"/>
      <c r="AB174" s="130"/>
      <c r="AC174" s="202"/>
      <c r="AD174" s="200"/>
      <c r="AE174" s="113"/>
      <c r="AF174" s="113"/>
      <c r="AG174" s="113"/>
      <c r="AH174" s="113"/>
      <c r="AI174" s="130"/>
      <c r="AK174" s="57"/>
      <c r="AS174" s="207"/>
      <c r="AU174" s="67" t="s">
        <v>1371</v>
      </c>
      <c r="AV174" s="251"/>
      <c r="AW174" s="67" t="s">
        <v>1372</v>
      </c>
      <c r="AX174" s="113" t="s">
        <v>106</v>
      </c>
      <c r="AY174" s="222">
        <v>95472</v>
      </c>
      <c r="AZ174" s="199" t="s">
        <v>1370</v>
      </c>
      <c r="BA174" s="317"/>
    </row>
    <row r="175" spans="1:53" ht="14.15" customHeight="1" x14ac:dyDescent="0.4">
      <c r="A175" s="256" t="s">
        <v>1373</v>
      </c>
      <c r="B175" s="67" t="s">
        <v>125</v>
      </c>
      <c r="C175" s="109" t="s">
        <v>99</v>
      </c>
      <c r="E175" s="120" t="s">
        <v>100</v>
      </c>
      <c r="F175" s="82"/>
      <c r="G175" s="84"/>
      <c r="H175" s="90" t="s">
        <v>100</v>
      </c>
      <c r="I175" s="91"/>
      <c r="J175" s="97"/>
      <c r="K175" s="102"/>
      <c r="L175" s="327"/>
      <c r="M175" s="106">
        <v>45243</v>
      </c>
      <c r="N175" s="128" t="s">
        <v>144</v>
      </c>
      <c r="O175" s="128" t="s">
        <v>1374</v>
      </c>
      <c r="Q175" s="131">
        <v>9.7500000000000003E-2</v>
      </c>
      <c r="S175" s="63" t="s">
        <v>205</v>
      </c>
      <c r="T175" s="67" t="s">
        <v>1375</v>
      </c>
      <c r="U175" s="67" t="s">
        <v>553</v>
      </c>
      <c r="V175" s="79" t="s">
        <v>106</v>
      </c>
      <c r="W175" s="76">
        <v>94801</v>
      </c>
      <c r="AS175" s="207"/>
    </row>
    <row r="176" spans="1:53" ht="14.15" customHeight="1" x14ac:dyDescent="0.25">
      <c r="A176" s="256" t="s">
        <v>1376</v>
      </c>
      <c r="B176" s="67" t="s">
        <v>108</v>
      </c>
      <c r="C176" s="109" t="s">
        <v>109</v>
      </c>
      <c r="D176" s="79" t="s">
        <v>1377</v>
      </c>
      <c r="E176" s="118" t="s">
        <v>100</v>
      </c>
      <c r="F176" s="80"/>
      <c r="G176" s="81"/>
      <c r="H176" s="92" t="s">
        <v>100</v>
      </c>
      <c r="I176" s="86"/>
      <c r="J176" s="96"/>
      <c r="K176" s="100"/>
      <c r="L176" s="328"/>
      <c r="M176" s="104">
        <v>44230</v>
      </c>
      <c r="N176" s="128" t="s">
        <v>1378</v>
      </c>
      <c r="O176" s="128" t="s">
        <v>1379</v>
      </c>
      <c r="Q176" s="132">
        <v>0.10249999999999999</v>
      </c>
      <c r="S176" s="63" t="s">
        <v>113</v>
      </c>
      <c r="T176" s="67" t="s">
        <v>1380</v>
      </c>
      <c r="U176" s="67" t="s">
        <v>641</v>
      </c>
      <c r="V176" s="79" t="s">
        <v>106</v>
      </c>
      <c r="W176" s="76">
        <v>94702</v>
      </c>
      <c r="AL176" s="290"/>
      <c r="AM176" s="290"/>
      <c r="AN176" s="290"/>
      <c r="AO176" s="290"/>
      <c r="AP176" s="290"/>
      <c r="AQ176" s="290"/>
      <c r="AR176" s="290"/>
      <c r="AS176" s="207" t="s">
        <v>132</v>
      </c>
      <c r="AT176" s="116" t="s">
        <v>1195</v>
      </c>
      <c r="AU176" s="67" t="s">
        <v>1380</v>
      </c>
      <c r="AW176" s="67" t="s">
        <v>641</v>
      </c>
      <c r="AX176" s="79" t="s">
        <v>106</v>
      </c>
      <c r="AY176" s="76">
        <v>94702</v>
      </c>
      <c r="AZ176" s="77" t="s">
        <v>1379</v>
      </c>
      <c r="BA176" s="317"/>
    </row>
    <row r="177" spans="1:53" ht="14.15" customHeight="1" x14ac:dyDescent="0.25">
      <c r="A177" s="256" t="s">
        <v>1381</v>
      </c>
      <c r="B177" s="67" t="s">
        <v>108</v>
      </c>
      <c r="C177" s="109" t="s">
        <v>109</v>
      </c>
      <c r="D177" s="79" t="s">
        <v>1377</v>
      </c>
      <c r="E177" s="118" t="s">
        <v>100</v>
      </c>
      <c r="F177" s="80"/>
      <c r="G177" s="81"/>
      <c r="H177" s="92" t="s">
        <v>100</v>
      </c>
      <c r="I177" s="86"/>
      <c r="J177" s="96"/>
      <c r="K177" s="100">
        <v>45800</v>
      </c>
      <c r="L177" s="328"/>
      <c r="M177" s="104">
        <v>45797</v>
      </c>
      <c r="N177" s="128" t="s">
        <v>1382</v>
      </c>
      <c r="O177" s="128" t="s">
        <v>1383</v>
      </c>
      <c r="Q177" s="132">
        <v>8.6249999999999993E-2</v>
      </c>
      <c r="R177" s="131">
        <v>8.7499999999999994E-2</v>
      </c>
      <c r="S177" s="63" t="s">
        <v>103</v>
      </c>
      <c r="T177" s="67" t="s">
        <v>1384</v>
      </c>
      <c r="U177" s="67" t="s">
        <v>105</v>
      </c>
      <c r="V177" s="79" t="s">
        <v>106</v>
      </c>
      <c r="W177" s="76">
        <v>94124</v>
      </c>
      <c r="AA177" s="79" t="s">
        <v>1032</v>
      </c>
      <c r="AL177" s="290">
        <v>15185</v>
      </c>
      <c r="AM177" s="290">
        <v>15157</v>
      </c>
      <c r="AN177" s="290"/>
      <c r="AO177" s="290"/>
      <c r="AP177" s="290"/>
      <c r="AQ177" s="290"/>
      <c r="AR177" s="290"/>
      <c r="AS177" s="207" t="s">
        <v>132</v>
      </c>
      <c r="AT177" s="116" t="s">
        <v>1195</v>
      </c>
      <c r="AU177" s="67" t="s">
        <v>1384</v>
      </c>
      <c r="AW177" s="67" t="s">
        <v>105</v>
      </c>
      <c r="AX177" s="79" t="s">
        <v>106</v>
      </c>
      <c r="AY177" s="76">
        <v>94124</v>
      </c>
      <c r="AZ177" s="198" t="s">
        <v>1383</v>
      </c>
      <c r="BA177" s="317"/>
    </row>
    <row r="178" spans="1:53" s="251" customFormat="1" ht="14.15" customHeight="1" x14ac:dyDescent="0.4">
      <c r="A178" s="256" t="s">
        <v>1385</v>
      </c>
      <c r="B178" s="67" t="s">
        <v>125</v>
      </c>
      <c r="C178" s="111" t="s">
        <v>99</v>
      </c>
      <c r="D178" s="115"/>
      <c r="E178" s="120" t="s">
        <v>100</v>
      </c>
      <c r="F178" s="82"/>
      <c r="G178" s="84"/>
      <c r="H178" s="90" t="s">
        <v>100</v>
      </c>
      <c r="I178" s="91"/>
      <c r="J178" s="97"/>
      <c r="K178" s="102">
        <v>44594</v>
      </c>
      <c r="L178" s="327"/>
      <c r="M178" s="106"/>
      <c r="N178" s="113" t="s">
        <v>1386</v>
      </c>
      <c r="O178" s="113" t="s">
        <v>1387</v>
      </c>
      <c r="P178" s="57"/>
      <c r="Q178" s="132">
        <v>8.1250000000000003E-2</v>
      </c>
      <c r="R178" s="132"/>
      <c r="S178" s="63" t="s">
        <v>303</v>
      </c>
      <c r="T178" s="67" t="s">
        <v>1388</v>
      </c>
      <c r="U178" s="67" t="s">
        <v>1389</v>
      </c>
      <c r="V178" s="113" t="s">
        <v>106</v>
      </c>
      <c r="W178" s="222">
        <v>94571</v>
      </c>
      <c r="X178" s="141"/>
      <c r="Y178" s="236"/>
      <c r="Z178" s="236"/>
      <c r="AA178" s="200"/>
      <c r="AB178" s="130"/>
      <c r="AC178" s="202"/>
      <c r="AD178" s="200"/>
      <c r="AE178" s="113"/>
      <c r="AF178" s="113"/>
      <c r="AG178" s="113"/>
      <c r="AH178" s="113"/>
      <c r="AI178" s="130"/>
      <c r="AJ178" s="135"/>
      <c r="AK178" s="57"/>
      <c r="AL178" s="287" t="s">
        <v>251</v>
      </c>
      <c r="AM178" s="288"/>
      <c r="AN178" s="288"/>
      <c r="AO178" s="288"/>
      <c r="AP178" s="288"/>
      <c r="AQ178" s="288"/>
      <c r="AR178" s="288"/>
      <c r="AS178" s="207"/>
      <c r="AT178" s="116"/>
      <c r="AU178" s="67" t="s">
        <v>1388</v>
      </c>
      <c r="AW178" s="67" t="s">
        <v>1389</v>
      </c>
      <c r="AX178" s="113" t="s">
        <v>106</v>
      </c>
      <c r="AY178" s="222">
        <v>94571</v>
      </c>
      <c r="AZ178" s="199" t="s">
        <v>1387</v>
      </c>
      <c r="BA178" s="317"/>
    </row>
    <row r="179" spans="1:53" s="251" customFormat="1" ht="14.15" customHeight="1" x14ac:dyDescent="0.4">
      <c r="A179" s="256" t="s">
        <v>1390</v>
      </c>
      <c r="B179" s="67" t="s">
        <v>174</v>
      </c>
      <c r="C179" s="111" t="s">
        <v>963</v>
      </c>
      <c r="D179" s="115"/>
      <c r="E179" s="120" t="s">
        <v>253</v>
      </c>
      <c r="F179" s="82"/>
      <c r="G179" s="84"/>
      <c r="H179" s="90" t="s">
        <v>253</v>
      </c>
      <c r="I179" s="91"/>
      <c r="J179" s="97"/>
      <c r="K179" s="102">
        <v>45123</v>
      </c>
      <c r="L179" s="327"/>
      <c r="M179" s="106">
        <v>45131</v>
      </c>
      <c r="N179" s="113" t="s">
        <v>1391</v>
      </c>
      <c r="O179" s="113" t="s">
        <v>1392</v>
      </c>
      <c r="P179" s="57"/>
      <c r="Q179" s="132">
        <v>9.2499999999999999E-2</v>
      </c>
      <c r="R179" s="132"/>
      <c r="S179" s="63" t="s">
        <v>507</v>
      </c>
      <c r="T179" s="67" t="s">
        <v>1393</v>
      </c>
      <c r="U179" s="67" t="s">
        <v>509</v>
      </c>
      <c r="V179" s="113" t="s">
        <v>106</v>
      </c>
      <c r="W179" s="222">
        <v>94965</v>
      </c>
      <c r="X179" s="141"/>
      <c r="Y179" s="236"/>
      <c r="Z179" s="236"/>
      <c r="AA179" s="200"/>
      <c r="AB179" s="130"/>
      <c r="AC179" s="202"/>
      <c r="AD179" s="200"/>
      <c r="AE179" s="113"/>
      <c r="AF179" s="113"/>
      <c r="AG179" s="113"/>
      <c r="AH179" s="113"/>
      <c r="AI179" s="130"/>
      <c r="AJ179" s="135"/>
      <c r="AK179" s="57"/>
      <c r="AL179" s="287" t="s">
        <v>251</v>
      </c>
      <c r="AM179" s="288">
        <v>13305</v>
      </c>
      <c r="AN179" s="288" t="s">
        <v>257</v>
      </c>
      <c r="AO179" s="288">
        <v>62245</v>
      </c>
      <c r="AP179" s="288"/>
      <c r="AQ179" s="288"/>
      <c r="AR179" s="288"/>
      <c r="AS179" s="207"/>
      <c r="AT179" s="116" t="s">
        <v>589</v>
      </c>
      <c r="AU179" s="67" t="s">
        <v>1393</v>
      </c>
      <c r="AW179" s="67" t="s">
        <v>509</v>
      </c>
      <c r="AX179" s="113" t="s">
        <v>106</v>
      </c>
      <c r="AY179" s="222">
        <v>94965</v>
      </c>
      <c r="AZ179" s="199" t="s">
        <v>1392</v>
      </c>
      <c r="BA179" s="317"/>
    </row>
    <row r="180" spans="1:53" s="251" customFormat="1" ht="14.15" customHeight="1" x14ac:dyDescent="0.4">
      <c r="A180" s="256" t="s">
        <v>1394</v>
      </c>
      <c r="B180" s="67" t="s">
        <v>98</v>
      </c>
      <c r="C180" s="111" t="s">
        <v>563</v>
      </c>
      <c r="D180" s="113"/>
      <c r="E180" s="120" t="s">
        <v>100</v>
      </c>
      <c r="F180" s="82"/>
      <c r="G180" s="84"/>
      <c r="H180" s="90" t="s">
        <v>100</v>
      </c>
      <c r="I180" s="91"/>
      <c r="J180" s="97"/>
      <c r="K180" s="102">
        <v>45721</v>
      </c>
      <c r="L180" s="327"/>
      <c r="M180" s="106"/>
      <c r="N180" s="113" t="s">
        <v>1395</v>
      </c>
      <c r="O180" s="113" t="s">
        <v>1396</v>
      </c>
      <c r="P180" s="57"/>
      <c r="Q180" s="132">
        <v>9.7500000000000003E-2</v>
      </c>
      <c r="R180" s="132">
        <v>0.09</v>
      </c>
      <c r="S180" s="63" t="s">
        <v>1397</v>
      </c>
      <c r="T180" s="67" t="s">
        <v>1398</v>
      </c>
      <c r="U180" s="67" t="s">
        <v>1399</v>
      </c>
      <c r="V180" s="113" t="s">
        <v>106</v>
      </c>
      <c r="W180" s="222">
        <v>90049</v>
      </c>
      <c r="X180" s="141" t="s">
        <v>1400</v>
      </c>
      <c r="Y180" s="139" t="s">
        <v>1400</v>
      </c>
      <c r="Z180" s="139" t="s">
        <v>1400</v>
      </c>
      <c r="AA180" s="200" t="s">
        <v>1401</v>
      </c>
      <c r="AB180" s="130"/>
      <c r="AC180" s="202"/>
      <c r="AD180" s="200"/>
      <c r="AE180" s="113"/>
      <c r="AF180" s="113"/>
      <c r="AG180" s="113"/>
      <c r="AH180" s="113"/>
      <c r="AI180" s="130" t="s">
        <v>1402</v>
      </c>
      <c r="AJ180" s="135" t="s">
        <v>116</v>
      </c>
      <c r="AK180" s="57"/>
      <c r="AL180" s="290" t="s">
        <v>149</v>
      </c>
      <c r="AM180" s="290"/>
      <c r="AN180" s="290"/>
      <c r="AO180" s="290"/>
      <c r="AP180" s="290"/>
      <c r="AQ180" s="290"/>
      <c r="AR180" s="290"/>
      <c r="AS180" s="207" t="s">
        <v>132</v>
      </c>
      <c r="AT180" s="116" t="s">
        <v>1195</v>
      </c>
      <c r="AU180" s="67" t="s">
        <v>1398</v>
      </c>
      <c r="AW180" s="67" t="s">
        <v>1399</v>
      </c>
      <c r="AX180" s="113" t="s">
        <v>106</v>
      </c>
      <c r="AY180" s="222">
        <v>90049</v>
      </c>
      <c r="AZ180" s="199" t="s">
        <v>1396</v>
      </c>
      <c r="BA180" s="317"/>
    </row>
    <row r="181" spans="1:53" s="251" customFormat="1" ht="14.15" customHeight="1" x14ac:dyDescent="0.4">
      <c r="A181" s="256" t="s">
        <v>1403</v>
      </c>
      <c r="B181" s="67" t="s">
        <v>98</v>
      </c>
      <c r="C181" s="111" t="s">
        <v>99</v>
      </c>
      <c r="D181" s="113"/>
      <c r="E181" s="120" t="s">
        <v>100</v>
      </c>
      <c r="F181" s="82"/>
      <c r="G181" s="362"/>
      <c r="H181" s="90" t="s">
        <v>100</v>
      </c>
      <c r="I181" s="91"/>
      <c r="J181" s="97"/>
      <c r="K181" s="102">
        <v>45897</v>
      </c>
      <c r="L181" s="327"/>
      <c r="M181" s="106"/>
      <c r="N181" s="113" t="s">
        <v>1404</v>
      </c>
      <c r="O181" s="113" t="s">
        <v>1405</v>
      </c>
      <c r="P181" s="57"/>
      <c r="Q181" s="132">
        <v>0.10249999999999999</v>
      </c>
      <c r="R181" s="132">
        <v>9.5000000000000001E-2</v>
      </c>
      <c r="S181" s="63" t="s">
        <v>113</v>
      </c>
      <c r="T181" s="67" t="s">
        <v>1406</v>
      </c>
      <c r="U181" s="67" t="s">
        <v>641</v>
      </c>
      <c r="V181" s="113" t="s">
        <v>106</v>
      </c>
      <c r="W181" s="222">
        <v>94704</v>
      </c>
      <c r="X181" s="147"/>
      <c r="Y181" s="236"/>
      <c r="Z181" s="236"/>
      <c r="AA181" s="200"/>
      <c r="AB181" s="130"/>
      <c r="AC181" s="202"/>
      <c r="AD181" s="200"/>
      <c r="AE181" s="113"/>
      <c r="AF181" s="113"/>
      <c r="AG181" s="113"/>
      <c r="AH181" s="113"/>
      <c r="AI181" s="130"/>
      <c r="AJ181" s="135"/>
      <c r="AK181" s="57"/>
      <c r="AL181" s="287" t="s">
        <v>149</v>
      </c>
      <c r="AM181" s="288">
        <v>13305</v>
      </c>
      <c r="AN181" s="288" t="s">
        <v>290</v>
      </c>
      <c r="AO181" s="288"/>
      <c r="AP181" s="288">
        <v>67240</v>
      </c>
      <c r="AQ181" s="288"/>
      <c r="AR181" s="288"/>
      <c r="AS181" s="207" t="s">
        <v>132</v>
      </c>
      <c r="AT181" s="116" t="s">
        <v>1195</v>
      </c>
      <c r="AU181" s="67" t="s">
        <v>1406</v>
      </c>
      <c r="AW181" s="67" t="s">
        <v>641</v>
      </c>
      <c r="AX181" s="113" t="s">
        <v>106</v>
      </c>
      <c r="AY181" s="222">
        <v>94704</v>
      </c>
      <c r="AZ181" s="199" t="s">
        <v>1405</v>
      </c>
      <c r="BA181" s="317"/>
    </row>
    <row r="182" spans="1:53" s="210" customFormat="1" ht="14.15" customHeight="1" x14ac:dyDescent="0.4">
      <c r="A182" s="256" t="s">
        <v>1407</v>
      </c>
      <c r="B182" s="67" t="s">
        <v>98</v>
      </c>
      <c r="C182" s="111" t="s">
        <v>99</v>
      </c>
      <c r="D182" s="113"/>
      <c r="E182" s="120" t="s">
        <v>100</v>
      </c>
      <c r="F182" s="82"/>
      <c r="G182" s="84"/>
      <c r="H182" s="90" t="s">
        <v>100</v>
      </c>
      <c r="I182" s="91"/>
      <c r="J182" s="97"/>
      <c r="K182" s="102">
        <v>44488</v>
      </c>
      <c r="L182" s="327"/>
      <c r="M182" s="106"/>
      <c r="N182" s="113" t="s">
        <v>1408</v>
      </c>
      <c r="O182" s="113" t="s">
        <v>1405</v>
      </c>
      <c r="P182" s="57" t="s">
        <v>1409</v>
      </c>
      <c r="Q182" s="132">
        <v>0.10249999999999999</v>
      </c>
      <c r="R182" s="132"/>
      <c r="S182" s="63" t="s">
        <v>113</v>
      </c>
      <c r="T182" s="67" t="s">
        <v>1410</v>
      </c>
      <c r="U182" s="67" t="s">
        <v>641</v>
      </c>
      <c r="V182" s="113" t="s">
        <v>106</v>
      </c>
      <c r="W182" s="222">
        <v>94704</v>
      </c>
      <c r="X182" s="147"/>
      <c r="Y182" s="236"/>
      <c r="Z182" s="236"/>
      <c r="AA182" s="200"/>
      <c r="AB182" s="130"/>
      <c r="AC182" s="202"/>
      <c r="AD182" s="200"/>
      <c r="AE182" s="113"/>
      <c r="AF182" s="113"/>
      <c r="AG182" s="113"/>
      <c r="AH182" s="113"/>
      <c r="AI182" s="130"/>
      <c r="AJ182" s="135"/>
      <c r="AK182" s="57"/>
      <c r="AL182" s="287" t="s">
        <v>149</v>
      </c>
      <c r="AM182" s="288">
        <v>13305</v>
      </c>
      <c r="AN182" s="288">
        <v>15303</v>
      </c>
      <c r="AO182" s="288"/>
      <c r="AP182" s="288">
        <v>67240</v>
      </c>
      <c r="AQ182" s="288"/>
      <c r="AR182" s="288"/>
      <c r="AS182" s="207" t="s">
        <v>132</v>
      </c>
      <c r="AT182" s="116" t="s">
        <v>1195</v>
      </c>
      <c r="AU182" s="67" t="s">
        <v>1410</v>
      </c>
      <c r="AV182" s="251"/>
      <c r="AW182" s="67" t="s">
        <v>641</v>
      </c>
      <c r="AX182" s="113" t="s">
        <v>106</v>
      </c>
      <c r="AY182" s="222">
        <v>94704</v>
      </c>
      <c r="AZ182" s="199" t="s">
        <v>1405</v>
      </c>
      <c r="BA182" s="317"/>
    </row>
    <row r="183" spans="1:53" s="251" customFormat="1" ht="14.15" customHeight="1" x14ac:dyDescent="0.4">
      <c r="A183" s="256" t="s">
        <v>1411</v>
      </c>
      <c r="B183" s="67" t="s">
        <v>244</v>
      </c>
      <c r="C183" s="111" t="s">
        <v>1412</v>
      </c>
      <c r="D183" s="115"/>
      <c r="E183" s="120" t="s">
        <v>173</v>
      </c>
      <c r="F183" s="82" t="s">
        <v>174</v>
      </c>
      <c r="G183" s="84"/>
      <c r="H183" s="90"/>
      <c r="I183" s="91"/>
      <c r="J183" s="97"/>
      <c r="K183" s="102">
        <v>46010</v>
      </c>
      <c r="L183" s="327"/>
      <c r="M183" s="106"/>
      <c r="N183" s="130" t="s">
        <v>1413</v>
      </c>
      <c r="O183" s="130" t="s">
        <v>1414</v>
      </c>
      <c r="P183" s="252" t="s">
        <v>1415</v>
      </c>
      <c r="Q183" s="132">
        <v>0.1</v>
      </c>
      <c r="R183" s="132"/>
      <c r="S183" s="63" t="s">
        <v>186</v>
      </c>
      <c r="T183" s="57" t="s">
        <v>1416</v>
      </c>
      <c r="U183" s="67" t="s">
        <v>188</v>
      </c>
      <c r="V183" s="113" t="s">
        <v>106</v>
      </c>
      <c r="W183" s="222">
        <v>95403</v>
      </c>
      <c r="X183" s="141" t="s">
        <v>1417</v>
      </c>
      <c r="Y183" s="141" t="s">
        <v>1418</v>
      </c>
      <c r="Z183" s="141" t="s">
        <v>1417</v>
      </c>
      <c r="AA183" s="200"/>
      <c r="AB183" s="130"/>
      <c r="AC183" s="202"/>
      <c r="AD183" s="200"/>
      <c r="AE183" s="113"/>
      <c r="AF183" s="113"/>
      <c r="AG183" s="113"/>
      <c r="AH183" s="113"/>
      <c r="AI183" s="130"/>
      <c r="AJ183" s="135"/>
      <c r="AK183" s="57"/>
      <c r="AL183" s="287" t="s">
        <v>251</v>
      </c>
      <c r="AM183" s="288">
        <v>15741</v>
      </c>
      <c r="AN183" s="288"/>
      <c r="AO183" s="288">
        <v>62245</v>
      </c>
      <c r="AP183" s="288"/>
      <c r="AQ183" s="288"/>
      <c r="AR183" s="288"/>
      <c r="AS183" s="207"/>
      <c r="AT183" s="116"/>
      <c r="AU183" s="67" t="s">
        <v>1416</v>
      </c>
      <c r="AW183" s="67" t="s">
        <v>188</v>
      </c>
      <c r="AX183" s="113" t="s">
        <v>106</v>
      </c>
      <c r="AY183" s="222">
        <v>95403</v>
      </c>
      <c r="AZ183" s="57" t="s">
        <v>1414</v>
      </c>
      <c r="BA183" s="317"/>
    </row>
    <row r="184" spans="1:53" s="251" customFormat="1" ht="14.15" customHeight="1" x14ac:dyDescent="0.25">
      <c r="A184" s="256" t="s">
        <v>1419</v>
      </c>
      <c r="B184" s="67" t="s">
        <v>98</v>
      </c>
      <c r="C184" s="109" t="s">
        <v>99</v>
      </c>
      <c r="D184" s="79"/>
      <c r="E184" s="118" t="s">
        <v>100</v>
      </c>
      <c r="F184" s="80"/>
      <c r="G184" s="81"/>
      <c r="H184" s="92" t="s">
        <v>100</v>
      </c>
      <c r="I184" s="86"/>
      <c r="J184" s="96"/>
      <c r="K184" s="100">
        <v>45916</v>
      </c>
      <c r="L184" s="328"/>
      <c r="M184" s="104"/>
      <c r="N184" s="128" t="s">
        <v>1420</v>
      </c>
      <c r="O184" s="128" t="s">
        <v>1421</v>
      </c>
      <c r="P184" s="59"/>
      <c r="Q184" s="132">
        <v>8.6249999999999993E-2</v>
      </c>
      <c r="R184" s="132">
        <v>8.7499999999999994E-2</v>
      </c>
      <c r="S184" s="63" t="s">
        <v>103</v>
      </c>
      <c r="T184" s="67" t="s">
        <v>1422</v>
      </c>
      <c r="U184" s="67" t="s">
        <v>105</v>
      </c>
      <c r="V184" s="79" t="s">
        <v>106</v>
      </c>
      <c r="W184" s="76">
        <v>94110</v>
      </c>
      <c r="X184" s="139" t="s">
        <v>1423</v>
      </c>
      <c r="Y184" s="139" t="s">
        <v>6466</v>
      </c>
      <c r="Z184" s="139" t="s">
        <v>1423</v>
      </c>
      <c r="AA184" s="79"/>
      <c r="AB184" s="135"/>
      <c r="AC184" s="136"/>
      <c r="AD184" s="79"/>
      <c r="AE184" s="128"/>
      <c r="AF184" s="128"/>
      <c r="AG184" s="128"/>
      <c r="AH184" s="128"/>
      <c r="AI184" s="135"/>
      <c r="AJ184" s="135"/>
      <c r="AK184" s="54"/>
      <c r="AL184" s="289" t="s">
        <v>149</v>
      </c>
      <c r="AM184" s="289">
        <v>13305</v>
      </c>
      <c r="AN184" s="289"/>
      <c r="AO184" s="289">
        <v>62245</v>
      </c>
      <c r="AP184" s="289"/>
      <c r="AQ184" s="289"/>
      <c r="AR184" s="289"/>
      <c r="AS184" s="207" t="s">
        <v>132</v>
      </c>
      <c r="AT184" s="116" t="s">
        <v>1195</v>
      </c>
      <c r="AU184" s="67" t="s">
        <v>1422</v>
      </c>
      <c r="AV184" s="66"/>
      <c r="AW184" s="67" t="s">
        <v>105</v>
      </c>
      <c r="AX184" s="79" t="s">
        <v>106</v>
      </c>
      <c r="AY184" s="76">
        <v>94110</v>
      </c>
      <c r="AZ184" s="77" t="s">
        <v>1421</v>
      </c>
      <c r="BA184" s="75"/>
    </row>
    <row r="185" spans="1:53" s="251" customFormat="1" ht="14.15" customHeight="1" x14ac:dyDescent="0.4">
      <c r="A185" s="256" t="s">
        <v>1424</v>
      </c>
      <c r="B185" s="67" t="s">
        <v>98</v>
      </c>
      <c r="C185" s="109" t="s">
        <v>99</v>
      </c>
      <c r="D185" s="79"/>
      <c r="E185" s="120" t="s">
        <v>100</v>
      </c>
      <c r="F185" s="82"/>
      <c r="G185" s="84"/>
      <c r="H185" s="90" t="s">
        <v>100</v>
      </c>
      <c r="I185" s="91"/>
      <c r="J185" s="97"/>
      <c r="K185" s="102">
        <v>46022</v>
      </c>
      <c r="L185" s="327"/>
      <c r="M185" s="106"/>
      <c r="N185" s="128" t="s">
        <v>1425</v>
      </c>
      <c r="O185" s="128" t="s">
        <v>1426</v>
      </c>
      <c r="P185" s="59"/>
      <c r="Q185" s="131">
        <v>8.6249999999999993E-2</v>
      </c>
      <c r="R185" s="131"/>
      <c r="S185" s="63" t="s">
        <v>103</v>
      </c>
      <c r="T185" s="67" t="s">
        <v>1427</v>
      </c>
      <c r="U185" s="67" t="s">
        <v>105</v>
      </c>
      <c r="V185" s="79" t="s">
        <v>106</v>
      </c>
      <c r="W185" s="76">
        <v>94110</v>
      </c>
      <c r="X185" s="147"/>
      <c r="Y185" s="236"/>
      <c r="Z185" s="234"/>
      <c r="AA185" s="79"/>
      <c r="AB185" s="135"/>
      <c r="AC185" s="136"/>
      <c r="AD185" s="79"/>
      <c r="AE185" s="128"/>
      <c r="AF185" s="128"/>
      <c r="AG185" s="128"/>
      <c r="AH185" s="128"/>
      <c r="AI185" s="135"/>
      <c r="AJ185" s="135"/>
      <c r="AK185" s="58"/>
      <c r="AL185" s="287"/>
      <c r="AM185" s="288">
        <v>13305</v>
      </c>
      <c r="AN185" s="288"/>
      <c r="AO185" s="288">
        <v>62245</v>
      </c>
      <c r="AP185" s="288"/>
      <c r="AQ185" s="288"/>
      <c r="AR185" s="288"/>
      <c r="AS185" s="207" t="s">
        <v>132</v>
      </c>
      <c r="AT185" s="116" t="s">
        <v>539</v>
      </c>
      <c r="AU185" s="67" t="s">
        <v>1427</v>
      </c>
      <c r="AV185" s="66"/>
      <c r="AW185" s="67" t="s">
        <v>105</v>
      </c>
      <c r="AX185" s="79" t="s">
        <v>106</v>
      </c>
      <c r="AY185" s="76">
        <v>94110</v>
      </c>
      <c r="AZ185" s="77" t="s">
        <v>1426</v>
      </c>
      <c r="BA185" s="75"/>
    </row>
    <row r="186" spans="1:53" s="251" customFormat="1" ht="14.15" customHeight="1" x14ac:dyDescent="0.4">
      <c r="A186" s="256" t="s">
        <v>1428</v>
      </c>
      <c r="B186" s="67" t="s">
        <v>98</v>
      </c>
      <c r="C186" s="111" t="s">
        <v>99</v>
      </c>
      <c r="D186" s="115"/>
      <c r="E186" s="120" t="s">
        <v>100</v>
      </c>
      <c r="F186" s="82"/>
      <c r="G186" s="84"/>
      <c r="H186" s="90" t="s">
        <v>100</v>
      </c>
      <c r="I186" s="91"/>
      <c r="J186" s="97"/>
      <c r="K186" s="102">
        <v>44326</v>
      </c>
      <c r="L186" s="327"/>
      <c r="M186" s="106"/>
      <c r="N186" s="113" t="s">
        <v>1429</v>
      </c>
      <c r="O186" s="113" t="s">
        <v>1430</v>
      </c>
      <c r="P186" s="57" t="s">
        <v>1431</v>
      </c>
      <c r="Q186" s="132">
        <v>9.7500000000000003E-2</v>
      </c>
      <c r="R186" s="132">
        <v>0.09</v>
      </c>
      <c r="S186" s="63" t="s">
        <v>138</v>
      </c>
      <c r="T186" s="67" t="s">
        <v>1432</v>
      </c>
      <c r="U186" s="67" t="s">
        <v>138</v>
      </c>
      <c r="V186" s="113" t="s">
        <v>106</v>
      </c>
      <c r="W186" s="222">
        <v>94520</v>
      </c>
      <c r="X186" s="147"/>
      <c r="Y186" s="236"/>
      <c r="Z186" s="236"/>
      <c r="AA186" s="200" t="s">
        <v>1433</v>
      </c>
      <c r="AB186" s="130" t="s">
        <v>1434</v>
      </c>
      <c r="AC186" s="202"/>
      <c r="AD186" s="200"/>
      <c r="AE186" s="113"/>
      <c r="AF186" s="113"/>
      <c r="AG186" s="113"/>
      <c r="AH186" s="113"/>
      <c r="AI186" s="130" t="s">
        <v>1435</v>
      </c>
      <c r="AJ186" s="135"/>
      <c r="AK186" s="57"/>
      <c r="AL186" s="289" t="s">
        <v>289</v>
      </c>
      <c r="AM186" s="289"/>
      <c r="AN186" s="289" t="s">
        <v>290</v>
      </c>
      <c r="AO186" s="289"/>
      <c r="AP186" s="289"/>
      <c r="AQ186" s="289"/>
      <c r="AR186" s="289"/>
      <c r="AS186" s="207" t="s">
        <v>132</v>
      </c>
      <c r="AT186" s="116" t="s">
        <v>1429</v>
      </c>
      <c r="AU186" s="67" t="s">
        <v>1436</v>
      </c>
      <c r="AW186" s="67" t="s">
        <v>138</v>
      </c>
      <c r="AX186" s="113" t="s">
        <v>106</v>
      </c>
      <c r="AY186" s="222">
        <v>94521</v>
      </c>
      <c r="AZ186" s="113" t="s">
        <v>1431</v>
      </c>
      <c r="BA186" s="318"/>
    </row>
    <row r="187" spans="1:53" s="251" customFormat="1" ht="14.15" customHeight="1" x14ac:dyDescent="0.4">
      <c r="A187" s="256" t="s">
        <v>1437</v>
      </c>
      <c r="B187" s="67" t="s">
        <v>1295</v>
      </c>
      <c r="C187" s="111" t="s">
        <v>435</v>
      </c>
      <c r="D187" s="113" t="s">
        <v>1438</v>
      </c>
      <c r="E187" s="120" t="s">
        <v>100</v>
      </c>
      <c r="F187" s="82"/>
      <c r="G187" s="84"/>
      <c r="H187" s="90" t="s">
        <v>100</v>
      </c>
      <c r="I187" s="91"/>
      <c r="J187" s="97"/>
      <c r="K187" s="102">
        <v>43315</v>
      </c>
      <c r="L187" s="327"/>
      <c r="M187" s="106">
        <v>44523</v>
      </c>
      <c r="N187" s="113" t="s">
        <v>1439</v>
      </c>
      <c r="O187" s="113" t="s">
        <v>1440</v>
      </c>
      <c r="P187" s="57" t="s">
        <v>1441</v>
      </c>
      <c r="Q187" s="132">
        <v>8.2500000000000004E-2</v>
      </c>
      <c r="R187" s="132">
        <v>7.4999999999999997E-2</v>
      </c>
      <c r="S187" s="63" t="s">
        <v>1045</v>
      </c>
      <c r="T187" s="67" t="s">
        <v>1442</v>
      </c>
      <c r="U187" s="67" t="s">
        <v>1443</v>
      </c>
      <c r="V187" s="113" t="s">
        <v>106</v>
      </c>
      <c r="W187" s="222">
        <v>93561</v>
      </c>
      <c r="X187" s="141" t="s">
        <v>1444</v>
      </c>
      <c r="Y187" s="236"/>
      <c r="Z187" s="236"/>
      <c r="AA187" s="200" t="s">
        <v>1445</v>
      </c>
      <c r="AB187" s="130" t="s">
        <v>1446</v>
      </c>
      <c r="AC187" s="202"/>
      <c r="AD187" s="200"/>
      <c r="AE187" s="113"/>
      <c r="AF187" s="113"/>
      <c r="AG187" s="113"/>
      <c r="AH187" s="113"/>
      <c r="AI187" s="130"/>
      <c r="AJ187" s="135"/>
      <c r="AK187" s="57"/>
      <c r="AL187" s="289" t="s">
        <v>289</v>
      </c>
      <c r="AM187" s="289">
        <v>13305</v>
      </c>
      <c r="AN187" s="289">
        <v>15303</v>
      </c>
      <c r="AO187" s="289">
        <v>62245</v>
      </c>
      <c r="AP187" s="289"/>
      <c r="AQ187" s="289"/>
      <c r="AR187" s="289"/>
      <c r="AS187" s="207" t="s">
        <v>132</v>
      </c>
      <c r="AT187" s="116" t="s">
        <v>670</v>
      </c>
      <c r="AU187" s="67" t="s">
        <v>1447</v>
      </c>
      <c r="AW187" s="67" t="s">
        <v>1443</v>
      </c>
      <c r="AX187" s="113" t="s">
        <v>106</v>
      </c>
      <c r="AY187" s="222">
        <v>93561</v>
      </c>
      <c r="AZ187" s="113" t="s">
        <v>1441</v>
      </c>
      <c r="BA187" s="318"/>
    </row>
    <row r="188" spans="1:53" s="251" customFormat="1" ht="14.15" customHeight="1" x14ac:dyDescent="0.4">
      <c r="A188" s="256" t="s">
        <v>1448</v>
      </c>
      <c r="B188" s="67" t="s">
        <v>244</v>
      </c>
      <c r="C188" s="111" t="s">
        <v>109</v>
      </c>
      <c r="D188" s="115"/>
      <c r="E188" s="120" t="s">
        <v>173</v>
      </c>
      <c r="F188" s="82" t="s">
        <v>174</v>
      </c>
      <c r="G188" s="84"/>
      <c r="H188" s="90"/>
      <c r="I188" s="91"/>
      <c r="J188" s="97"/>
      <c r="K188" s="102">
        <v>45323</v>
      </c>
      <c r="L188" s="327"/>
      <c r="M188" s="106"/>
      <c r="N188" s="113" t="s">
        <v>694</v>
      </c>
      <c r="O188" s="113" t="s">
        <v>1449</v>
      </c>
      <c r="P188" s="57"/>
      <c r="Q188" s="132">
        <v>9.8799999999999999E-2</v>
      </c>
      <c r="R188" s="132"/>
      <c r="S188" s="63" t="s">
        <v>522</v>
      </c>
      <c r="T188" s="67" t="s">
        <v>1450</v>
      </c>
      <c r="U188" s="67" t="s">
        <v>524</v>
      </c>
      <c r="V188" s="113" t="s">
        <v>106</v>
      </c>
      <c r="W188" s="222">
        <v>94063</v>
      </c>
      <c r="X188" s="141" t="s">
        <v>1451</v>
      </c>
      <c r="Y188" s="236"/>
      <c r="Z188" s="236"/>
      <c r="AA188" s="200"/>
      <c r="AB188" s="130"/>
      <c r="AC188" s="202"/>
      <c r="AD188" s="200"/>
      <c r="AE188" s="113"/>
      <c r="AF188" s="113"/>
      <c r="AG188" s="113"/>
      <c r="AH188" s="113"/>
      <c r="AI188" s="130"/>
      <c r="AJ188" s="135"/>
      <c r="AK188" s="57"/>
      <c r="AL188" s="287" t="s">
        <v>251</v>
      </c>
      <c r="AM188" s="288"/>
      <c r="AN188" s="288"/>
      <c r="AO188" s="288"/>
      <c r="AP188" s="288"/>
      <c r="AQ188" s="288"/>
      <c r="AR188" s="288"/>
      <c r="AS188" s="207"/>
      <c r="AT188" s="116" t="s">
        <v>406</v>
      </c>
      <c r="AU188" s="67" t="s">
        <v>1450</v>
      </c>
      <c r="AW188" s="67" t="s">
        <v>524</v>
      </c>
      <c r="AX188" s="113" t="s">
        <v>106</v>
      </c>
      <c r="AY188" s="222">
        <v>94063</v>
      </c>
      <c r="AZ188" s="113" t="s">
        <v>1449</v>
      </c>
      <c r="BA188" s="321"/>
    </row>
    <row r="189" spans="1:53" s="251" customFormat="1" ht="14.15" customHeight="1" x14ac:dyDescent="0.4">
      <c r="A189" s="256" t="s">
        <v>1452</v>
      </c>
      <c r="B189" s="67" t="s">
        <v>1453</v>
      </c>
      <c r="C189" s="109" t="s">
        <v>1262</v>
      </c>
      <c r="D189" s="113"/>
      <c r="E189" s="120" t="s">
        <v>100</v>
      </c>
      <c r="F189" s="82"/>
      <c r="G189" s="84"/>
      <c r="H189" s="90" t="s">
        <v>100</v>
      </c>
      <c r="I189" s="91"/>
      <c r="J189" s="97"/>
      <c r="K189" s="102">
        <v>45687</v>
      </c>
      <c r="L189" s="327"/>
      <c r="M189" s="106">
        <v>44888</v>
      </c>
      <c r="N189" s="113" t="s">
        <v>1454</v>
      </c>
      <c r="O189" s="113" t="s">
        <v>1455</v>
      </c>
      <c r="P189" s="57"/>
      <c r="Q189" s="132">
        <v>9.2499999999999999E-2</v>
      </c>
      <c r="R189" s="132">
        <v>0.09</v>
      </c>
      <c r="S189" s="63" t="s">
        <v>1456</v>
      </c>
      <c r="T189" s="67" t="s">
        <v>1457</v>
      </c>
      <c r="U189" s="67" t="s">
        <v>1458</v>
      </c>
      <c r="V189" s="113" t="s">
        <v>106</v>
      </c>
      <c r="W189" s="222">
        <v>94523</v>
      </c>
      <c r="X189" s="141"/>
      <c r="Y189" s="236"/>
      <c r="Z189" s="236"/>
      <c r="AA189" s="200"/>
      <c r="AB189" s="130"/>
      <c r="AC189" s="202"/>
      <c r="AD189" s="200"/>
      <c r="AE189" s="113"/>
      <c r="AF189" s="113"/>
      <c r="AG189" s="113"/>
      <c r="AH189" s="113"/>
      <c r="AI189" s="130"/>
      <c r="AJ189" s="135"/>
      <c r="AK189" s="57"/>
      <c r="AL189" s="289" t="s">
        <v>251</v>
      </c>
      <c r="AM189" s="289"/>
      <c r="AN189" s="289"/>
      <c r="AO189" s="289"/>
      <c r="AP189" s="289"/>
      <c r="AQ189" s="289"/>
      <c r="AR189" s="289"/>
      <c r="AS189" s="207" t="s">
        <v>132</v>
      </c>
      <c r="AT189" s="116" t="s">
        <v>670</v>
      </c>
      <c r="AU189" s="67" t="s">
        <v>1457</v>
      </c>
      <c r="AW189" s="67" t="s">
        <v>1458</v>
      </c>
      <c r="AX189" s="113" t="s">
        <v>106</v>
      </c>
      <c r="AY189" s="222">
        <v>94523</v>
      </c>
      <c r="AZ189" s="199" t="s">
        <v>1455</v>
      </c>
      <c r="BA189" s="207"/>
    </row>
    <row r="190" spans="1:53" s="251" customFormat="1" ht="14.15" customHeight="1" x14ac:dyDescent="0.4">
      <c r="A190" s="256" t="s">
        <v>1459</v>
      </c>
      <c r="B190" s="67" t="s">
        <v>125</v>
      </c>
      <c r="C190" s="111" t="s">
        <v>99</v>
      </c>
      <c r="D190" s="113" t="s">
        <v>1460</v>
      </c>
      <c r="E190" s="120" t="s">
        <v>100</v>
      </c>
      <c r="F190" s="82"/>
      <c r="G190" s="84"/>
      <c r="H190" s="90" t="s">
        <v>100</v>
      </c>
      <c r="I190" s="91"/>
      <c r="J190" s="97"/>
      <c r="K190" s="102">
        <v>44566</v>
      </c>
      <c r="L190" s="327"/>
      <c r="M190" s="106">
        <v>43724</v>
      </c>
      <c r="N190" s="113" t="s">
        <v>1461</v>
      </c>
      <c r="O190" s="113" t="s">
        <v>1462</v>
      </c>
      <c r="P190" s="57"/>
      <c r="Q190" s="132">
        <v>0.10249999999999999</v>
      </c>
      <c r="R190" s="132">
        <v>9.5000000000000001E-2</v>
      </c>
      <c r="S190" s="63" t="s">
        <v>113</v>
      </c>
      <c r="T190" s="67" t="s">
        <v>1463</v>
      </c>
      <c r="U190" s="67" t="s">
        <v>1464</v>
      </c>
      <c r="V190" s="113" t="s">
        <v>106</v>
      </c>
      <c r="W190" s="222">
        <v>94550</v>
      </c>
      <c r="X190" s="141"/>
      <c r="Y190" s="236"/>
      <c r="Z190" s="236"/>
      <c r="AA190" s="200"/>
      <c r="AB190" s="130"/>
      <c r="AC190" s="202"/>
      <c r="AD190" s="200"/>
      <c r="AE190" s="113"/>
      <c r="AF190" s="113"/>
      <c r="AG190" s="113"/>
      <c r="AH190" s="113"/>
      <c r="AI190" s="130"/>
      <c r="AJ190" s="135"/>
      <c r="AK190" s="57"/>
      <c r="AL190" s="287">
        <v>15157</v>
      </c>
      <c r="AM190" s="288"/>
      <c r="AN190" s="288"/>
      <c r="AO190" s="288"/>
      <c r="AP190" s="288"/>
      <c r="AQ190" s="288"/>
      <c r="AR190" s="288"/>
      <c r="AS190" s="207" t="s">
        <v>132</v>
      </c>
      <c r="AT190" s="116" t="s">
        <v>670</v>
      </c>
      <c r="AU190" s="67" t="s">
        <v>1463</v>
      </c>
      <c r="AW190" s="67" t="s">
        <v>1464</v>
      </c>
      <c r="AX190" s="113" t="s">
        <v>106</v>
      </c>
      <c r="AY190" s="222">
        <v>94550</v>
      </c>
      <c r="AZ190" s="199" t="s">
        <v>1462</v>
      </c>
      <c r="BA190" s="207"/>
    </row>
    <row r="191" spans="1:53" s="251" customFormat="1" ht="14.15" customHeight="1" x14ac:dyDescent="0.4">
      <c r="A191" s="256" t="s">
        <v>1465</v>
      </c>
      <c r="B191" s="67" t="s">
        <v>98</v>
      </c>
      <c r="C191" s="111" t="s">
        <v>99</v>
      </c>
      <c r="D191" s="115"/>
      <c r="E191" s="120" t="s">
        <v>100</v>
      </c>
      <c r="F191" s="82"/>
      <c r="G191" s="84"/>
      <c r="H191" s="90" t="s">
        <v>100</v>
      </c>
      <c r="I191" s="91"/>
      <c r="J191" s="97"/>
      <c r="K191" s="102">
        <v>45496</v>
      </c>
      <c r="L191" s="327"/>
      <c r="M191" s="106"/>
      <c r="N191" s="113" t="s">
        <v>1466</v>
      </c>
      <c r="O191" s="113" t="s">
        <v>1467</v>
      </c>
      <c r="P191" s="57"/>
      <c r="Q191" s="132">
        <v>8.6249999999999993E-2</v>
      </c>
      <c r="R191" s="132"/>
      <c r="S191" s="63" t="s">
        <v>103</v>
      </c>
      <c r="T191" s="67" t="s">
        <v>1468</v>
      </c>
      <c r="U191" s="67" t="s">
        <v>105</v>
      </c>
      <c r="V191" s="113" t="s">
        <v>106</v>
      </c>
      <c r="W191" s="222">
        <v>94110</v>
      </c>
      <c r="X191" s="141" t="s">
        <v>6338</v>
      </c>
      <c r="Y191" s="236" t="s">
        <v>6338</v>
      </c>
      <c r="Z191" s="236" t="s">
        <v>6338</v>
      </c>
      <c r="AA191" s="200"/>
      <c r="AB191" s="130"/>
      <c r="AC191" s="202"/>
      <c r="AD191" s="200"/>
      <c r="AE191" s="113"/>
      <c r="AF191" s="113"/>
      <c r="AG191" s="113"/>
      <c r="AH191" s="113"/>
      <c r="AI191" s="130"/>
      <c r="AJ191" s="135"/>
      <c r="AK191" s="57" t="s">
        <v>1469</v>
      </c>
      <c r="AL191" s="287"/>
      <c r="AM191" s="288">
        <v>15741</v>
      </c>
      <c r="AN191" s="288"/>
      <c r="AO191" s="288"/>
      <c r="AP191" s="288"/>
      <c r="AQ191" s="288"/>
      <c r="AR191" s="288"/>
      <c r="AS191" s="207"/>
      <c r="AT191" s="116" t="s">
        <v>589</v>
      </c>
      <c r="AU191" s="67" t="s">
        <v>1468</v>
      </c>
      <c r="AW191" s="67" t="s">
        <v>105</v>
      </c>
      <c r="AX191" s="113" t="s">
        <v>106</v>
      </c>
      <c r="AY191" s="222">
        <v>94110</v>
      </c>
      <c r="AZ191" s="199" t="s">
        <v>1467</v>
      </c>
      <c r="BA191" s="317"/>
    </row>
    <row r="192" spans="1:53" s="251" customFormat="1" ht="14.15" customHeight="1" x14ac:dyDescent="0.4">
      <c r="A192" s="256" t="s">
        <v>1470</v>
      </c>
      <c r="B192" s="67" t="s">
        <v>125</v>
      </c>
      <c r="C192" s="111" t="s">
        <v>99</v>
      </c>
      <c r="D192" s="113" t="s">
        <v>1471</v>
      </c>
      <c r="E192" s="120" t="s">
        <v>100</v>
      </c>
      <c r="F192" s="82"/>
      <c r="G192" s="84"/>
      <c r="H192" s="90" t="s">
        <v>100</v>
      </c>
      <c r="I192" s="91"/>
      <c r="J192" s="97"/>
      <c r="K192" s="102">
        <v>43675</v>
      </c>
      <c r="L192" s="327"/>
      <c r="M192" s="106">
        <v>43181</v>
      </c>
      <c r="N192" s="113" t="s">
        <v>1472</v>
      </c>
      <c r="O192" s="113" t="s">
        <v>1473</v>
      </c>
      <c r="P192" s="57"/>
      <c r="Q192" s="132">
        <v>9.8750000000000004E-2</v>
      </c>
      <c r="R192" s="132">
        <v>8.7499999999999994E-2</v>
      </c>
      <c r="S192" s="63" t="s">
        <v>1265</v>
      </c>
      <c r="T192" s="67" t="s">
        <v>1474</v>
      </c>
      <c r="U192" s="67" t="s">
        <v>1267</v>
      </c>
      <c r="V192" s="113" t="s">
        <v>106</v>
      </c>
      <c r="W192" s="222">
        <v>94080</v>
      </c>
      <c r="X192" s="147"/>
      <c r="Y192" s="236"/>
      <c r="Z192" s="236"/>
      <c r="AA192" s="200" t="s">
        <v>1475</v>
      </c>
      <c r="AB192" s="130"/>
      <c r="AC192" s="202"/>
      <c r="AD192" s="200"/>
      <c r="AE192" s="113"/>
      <c r="AF192" s="113"/>
      <c r="AG192" s="113"/>
      <c r="AH192" s="113"/>
      <c r="AI192" s="130"/>
      <c r="AJ192" s="135"/>
      <c r="AK192" s="53"/>
      <c r="AL192" s="287">
        <v>15741</v>
      </c>
      <c r="AM192" s="288"/>
      <c r="AN192" s="288"/>
      <c r="AO192" s="288"/>
      <c r="AP192" s="288"/>
      <c r="AQ192" s="288"/>
      <c r="AR192" s="288"/>
      <c r="AS192" s="207" t="s">
        <v>132</v>
      </c>
      <c r="AT192" s="116" t="s">
        <v>670</v>
      </c>
      <c r="AU192" s="67" t="s">
        <v>1474</v>
      </c>
      <c r="AW192" s="67" t="s">
        <v>1267</v>
      </c>
      <c r="AX192" s="113" t="s">
        <v>106</v>
      </c>
      <c r="AY192" s="222">
        <v>94080</v>
      </c>
      <c r="AZ192" s="199" t="s">
        <v>1473</v>
      </c>
      <c r="BA192" s="75"/>
    </row>
    <row r="193" spans="1:53" s="251" customFormat="1" ht="14.15" customHeight="1" x14ac:dyDescent="0.4">
      <c r="A193" s="256" t="s">
        <v>1476</v>
      </c>
      <c r="B193" s="67" t="s">
        <v>125</v>
      </c>
      <c r="C193" s="111" t="s">
        <v>99</v>
      </c>
      <c r="D193" s="115"/>
      <c r="E193" s="120" t="s">
        <v>100</v>
      </c>
      <c r="F193" s="82"/>
      <c r="G193" s="84"/>
      <c r="H193" s="90" t="s">
        <v>100</v>
      </c>
      <c r="I193" s="91"/>
      <c r="J193" s="97"/>
      <c r="K193" s="102">
        <v>45250</v>
      </c>
      <c r="L193" s="327"/>
      <c r="M193" s="106">
        <v>45932</v>
      </c>
      <c r="N193" s="113" t="s">
        <v>1477</v>
      </c>
      <c r="O193" s="113"/>
      <c r="P193" s="57"/>
      <c r="Q193" s="132">
        <v>0.10249999999999999</v>
      </c>
      <c r="R193" s="132"/>
      <c r="S193" s="63" t="s">
        <v>653</v>
      </c>
      <c r="T193" s="67" t="s">
        <v>1478</v>
      </c>
      <c r="U193" s="67" t="s">
        <v>653</v>
      </c>
      <c r="V193" s="113" t="s">
        <v>106</v>
      </c>
      <c r="W193" s="222">
        <v>94952</v>
      </c>
      <c r="X193" s="141"/>
      <c r="Y193" s="236"/>
      <c r="Z193" s="236"/>
      <c r="AA193" s="200"/>
      <c r="AB193" s="130"/>
      <c r="AC193" s="202"/>
      <c r="AD193" s="200"/>
      <c r="AE193" s="113"/>
      <c r="AF193" s="113"/>
      <c r="AG193" s="113"/>
      <c r="AH193" s="113"/>
      <c r="AI193" s="130"/>
      <c r="AJ193" s="135"/>
      <c r="AK193" s="57"/>
      <c r="AL193" s="287"/>
      <c r="AM193" s="288"/>
      <c r="AN193" s="288"/>
      <c r="AO193" s="288"/>
      <c r="AP193" s="288"/>
      <c r="AQ193" s="288"/>
      <c r="AR193" s="288"/>
      <c r="AS193" s="207"/>
      <c r="AT193" s="116"/>
      <c r="AU193" s="67" t="s">
        <v>1479</v>
      </c>
      <c r="AW193" s="67" t="s">
        <v>653</v>
      </c>
      <c r="AX193" s="113" t="s">
        <v>106</v>
      </c>
      <c r="AY193" s="222">
        <v>94952</v>
      </c>
      <c r="AZ193" s="199" t="s">
        <v>1480</v>
      </c>
      <c r="BA193" s="317"/>
    </row>
    <row r="194" spans="1:53" s="251" customFormat="1" ht="14.15" customHeight="1" x14ac:dyDescent="0.4">
      <c r="A194" s="256" t="s">
        <v>1481</v>
      </c>
      <c r="B194" s="67" t="s">
        <v>98</v>
      </c>
      <c r="C194" s="110" t="s">
        <v>99</v>
      </c>
      <c r="D194" s="115"/>
      <c r="E194" s="120" t="s">
        <v>100</v>
      </c>
      <c r="F194" s="82"/>
      <c r="G194" s="84"/>
      <c r="H194" s="90" t="s">
        <v>100</v>
      </c>
      <c r="I194" s="91"/>
      <c r="J194" s="97"/>
      <c r="K194" s="102">
        <v>45833</v>
      </c>
      <c r="L194" s="327"/>
      <c r="M194" s="106">
        <v>44235</v>
      </c>
      <c r="N194" s="113" t="s">
        <v>468</v>
      </c>
      <c r="O194" s="113" t="s">
        <v>1482</v>
      </c>
      <c r="P194" s="57"/>
      <c r="Q194" s="132">
        <v>8.6249999999999993E-2</v>
      </c>
      <c r="R194" s="132">
        <v>8.7499999999999994E-2</v>
      </c>
      <c r="S194" s="63" t="s">
        <v>103</v>
      </c>
      <c r="T194" s="67" t="s">
        <v>1483</v>
      </c>
      <c r="U194" s="67" t="s">
        <v>105</v>
      </c>
      <c r="V194" s="113" t="s">
        <v>106</v>
      </c>
      <c r="W194" s="222">
        <v>94114</v>
      </c>
      <c r="X194" s="141" t="s">
        <v>1484</v>
      </c>
      <c r="Y194" s="139" t="s">
        <v>6466</v>
      </c>
      <c r="Z194" s="139" t="s">
        <v>1423</v>
      </c>
      <c r="AA194" s="200"/>
      <c r="AB194" s="130"/>
      <c r="AC194" s="202"/>
      <c r="AD194" s="200"/>
      <c r="AE194" s="113"/>
      <c r="AF194" s="113"/>
      <c r="AG194" s="113"/>
      <c r="AH194" s="113"/>
      <c r="AI194" s="130"/>
      <c r="AJ194" s="135"/>
      <c r="AK194" s="57"/>
      <c r="AL194" s="287" t="s">
        <v>149</v>
      </c>
      <c r="AM194" s="288">
        <v>13305</v>
      </c>
      <c r="AN194" s="288"/>
      <c r="AO194" s="288">
        <v>62245</v>
      </c>
      <c r="AP194" s="288"/>
      <c r="AQ194" s="288"/>
      <c r="AR194" s="288"/>
      <c r="AS194" s="207" t="s">
        <v>132</v>
      </c>
      <c r="AT194" s="116" t="s">
        <v>670</v>
      </c>
      <c r="AU194" s="67" t="s">
        <v>1483</v>
      </c>
      <c r="AW194" s="67" t="s">
        <v>105</v>
      </c>
      <c r="AX194" s="113" t="s">
        <v>106</v>
      </c>
      <c r="AY194" s="222">
        <v>94114</v>
      </c>
      <c r="AZ194" s="199" t="s">
        <v>1482</v>
      </c>
      <c r="BA194" s="75"/>
    </row>
    <row r="195" spans="1:53" s="251" customFormat="1" ht="14.15" customHeight="1" x14ac:dyDescent="0.4">
      <c r="A195" s="256" t="s">
        <v>1485</v>
      </c>
      <c r="B195" s="67" t="s">
        <v>125</v>
      </c>
      <c r="C195" s="111" t="s">
        <v>99</v>
      </c>
      <c r="D195" s="115" t="s">
        <v>1486</v>
      </c>
      <c r="E195" s="120" t="s">
        <v>100</v>
      </c>
      <c r="F195" s="82"/>
      <c r="G195" s="84"/>
      <c r="H195" s="90" t="s">
        <v>100</v>
      </c>
      <c r="I195" s="91"/>
      <c r="J195" s="97"/>
      <c r="K195" s="102">
        <v>44553</v>
      </c>
      <c r="L195" s="327"/>
      <c r="M195" s="106">
        <v>45533</v>
      </c>
      <c r="N195" s="113" t="s">
        <v>1487</v>
      </c>
      <c r="O195" s="113" t="s">
        <v>1482</v>
      </c>
      <c r="P195" s="57"/>
      <c r="Q195" s="132">
        <v>8.6249999999999993E-2</v>
      </c>
      <c r="R195" s="132"/>
      <c r="S195" s="63" t="s">
        <v>103</v>
      </c>
      <c r="T195" s="67" t="s">
        <v>1483</v>
      </c>
      <c r="U195" s="67" t="s">
        <v>105</v>
      </c>
      <c r="V195" s="113" t="s">
        <v>106</v>
      </c>
      <c r="W195" s="222">
        <v>94114</v>
      </c>
      <c r="X195" s="141"/>
      <c r="Y195" s="236"/>
      <c r="Z195" s="236"/>
      <c r="AA195" s="200"/>
      <c r="AB195" s="130"/>
      <c r="AC195" s="202"/>
      <c r="AD195" s="200"/>
      <c r="AE195" s="113"/>
      <c r="AF195" s="113"/>
      <c r="AG195" s="113"/>
      <c r="AH195" s="113"/>
      <c r="AI195" s="130"/>
      <c r="AJ195" s="135"/>
      <c r="AK195" s="57"/>
      <c r="AL195" s="287">
        <v>15157</v>
      </c>
      <c r="AM195" s="288"/>
      <c r="AN195" s="288"/>
      <c r="AO195" s="288"/>
      <c r="AP195" s="288"/>
      <c r="AQ195" s="288"/>
      <c r="AR195" s="288"/>
      <c r="AS195" s="207" t="s">
        <v>132</v>
      </c>
      <c r="AT195" s="116" t="s">
        <v>670</v>
      </c>
      <c r="AU195" s="67" t="s">
        <v>1483</v>
      </c>
      <c r="AW195" s="67" t="s">
        <v>105</v>
      </c>
      <c r="AX195" s="113" t="s">
        <v>106</v>
      </c>
      <c r="AY195" s="222">
        <v>94114</v>
      </c>
      <c r="AZ195" s="199" t="s">
        <v>1482</v>
      </c>
      <c r="BA195" s="317"/>
    </row>
    <row r="196" spans="1:53" s="251" customFormat="1" ht="14.15" customHeight="1" x14ac:dyDescent="0.4">
      <c r="A196" s="256" t="s">
        <v>1488</v>
      </c>
      <c r="B196" s="67" t="s">
        <v>98</v>
      </c>
      <c r="C196" s="109" t="s">
        <v>99</v>
      </c>
      <c r="D196" s="79"/>
      <c r="E196" s="120" t="s">
        <v>100</v>
      </c>
      <c r="F196" s="82"/>
      <c r="G196" s="84"/>
      <c r="H196" s="90" t="s">
        <v>100</v>
      </c>
      <c r="I196" s="91"/>
      <c r="J196" s="97"/>
      <c r="K196" s="102">
        <v>45307</v>
      </c>
      <c r="L196" s="327"/>
      <c r="M196" s="106"/>
      <c r="N196" s="128" t="s">
        <v>1489</v>
      </c>
      <c r="O196" s="128" t="s">
        <v>1490</v>
      </c>
      <c r="P196" s="59" t="s">
        <v>1491</v>
      </c>
      <c r="Q196" s="131">
        <v>8.7499999999999994E-2</v>
      </c>
      <c r="R196" s="131"/>
      <c r="S196" s="63" t="s">
        <v>1492</v>
      </c>
      <c r="T196" s="67" t="s">
        <v>1493</v>
      </c>
      <c r="U196" s="67" t="s">
        <v>1492</v>
      </c>
      <c r="V196" s="79" t="s">
        <v>106</v>
      </c>
      <c r="W196" s="76">
        <v>94559</v>
      </c>
      <c r="X196" s="147"/>
      <c r="Y196" s="236"/>
      <c r="Z196" s="234"/>
      <c r="AA196" s="79"/>
      <c r="AB196" s="135"/>
      <c r="AC196" s="136"/>
      <c r="AD196" s="79"/>
      <c r="AE196" s="128"/>
      <c r="AF196" s="128"/>
      <c r="AG196" s="128"/>
      <c r="AH196" s="128"/>
      <c r="AI196" s="135"/>
      <c r="AJ196" s="135"/>
      <c r="AK196" s="58"/>
      <c r="AL196" s="287"/>
      <c r="AM196" s="288"/>
      <c r="AN196" s="288"/>
      <c r="AO196" s="288"/>
      <c r="AP196" s="288"/>
      <c r="AQ196" s="288"/>
      <c r="AR196" s="288"/>
      <c r="AS196" s="207"/>
      <c r="AT196" s="116"/>
      <c r="AU196" s="67"/>
      <c r="AV196" s="66"/>
      <c r="AW196" s="67"/>
      <c r="AX196" s="79"/>
      <c r="AY196" s="76"/>
      <c r="AZ196" s="77"/>
      <c r="BA196" s="75"/>
    </row>
    <row r="197" spans="1:53" s="251" customFormat="1" ht="14.15" customHeight="1" x14ac:dyDescent="0.4">
      <c r="A197" s="256" t="s">
        <v>1494</v>
      </c>
      <c r="B197" s="67" t="s">
        <v>269</v>
      </c>
      <c r="C197" s="111" t="s">
        <v>99</v>
      </c>
      <c r="D197" s="113"/>
      <c r="E197" s="120" t="s">
        <v>100</v>
      </c>
      <c r="F197" s="82"/>
      <c r="G197" s="84"/>
      <c r="H197" s="90" t="s">
        <v>100</v>
      </c>
      <c r="I197" s="91"/>
      <c r="J197" s="97"/>
      <c r="K197" s="102"/>
      <c r="L197" s="327"/>
      <c r="M197" s="106">
        <v>45476</v>
      </c>
      <c r="N197" s="113" t="s">
        <v>1495</v>
      </c>
      <c r="O197" s="113" t="s">
        <v>1496</v>
      </c>
      <c r="P197" s="57"/>
      <c r="Q197" s="132">
        <v>0.1075</v>
      </c>
      <c r="R197" s="132"/>
      <c r="S197" s="63" t="s">
        <v>113</v>
      </c>
      <c r="T197" s="67" t="s">
        <v>1497</v>
      </c>
      <c r="U197" s="67" t="s">
        <v>324</v>
      </c>
      <c r="V197" s="113" t="s">
        <v>106</v>
      </c>
      <c r="W197" s="222">
        <v>94501</v>
      </c>
      <c r="X197" s="229"/>
      <c r="Y197" s="340"/>
      <c r="Z197" s="229"/>
      <c r="AA197" s="200"/>
      <c r="AB197" s="130"/>
      <c r="AC197" s="202"/>
      <c r="AD197" s="200"/>
      <c r="AE197" s="113"/>
      <c r="AF197" s="113"/>
      <c r="AG197" s="113"/>
      <c r="AH197" s="113"/>
      <c r="AI197" s="130"/>
      <c r="AJ197" s="135"/>
      <c r="AK197" s="57"/>
      <c r="AL197" s="290"/>
      <c r="AM197" s="290"/>
      <c r="AN197" s="290"/>
      <c r="AO197" s="290"/>
      <c r="AP197" s="290"/>
      <c r="AQ197" s="290"/>
      <c r="AR197" s="290"/>
      <c r="AS197" s="207"/>
      <c r="AT197" s="116" t="s">
        <v>1498</v>
      </c>
      <c r="AU197" s="67" t="s">
        <v>1497</v>
      </c>
      <c r="AW197" s="67" t="s">
        <v>324</v>
      </c>
      <c r="AX197" s="113" t="s">
        <v>106</v>
      </c>
      <c r="AY197" s="222">
        <v>94501</v>
      </c>
      <c r="AZ197" s="199" t="s">
        <v>1496</v>
      </c>
      <c r="BA197" s="317"/>
    </row>
    <row r="198" spans="1:53" s="251" customFormat="1" ht="14.15" customHeight="1" x14ac:dyDescent="0.4">
      <c r="A198" s="256" t="s">
        <v>1499</v>
      </c>
      <c r="B198" s="67" t="s">
        <v>98</v>
      </c>
      <c r="C198" s="109" t="s">
        <v>99</v>
      </c>
      <c r="D198" s="79"/>
      <c r="E198" s="120" t="s">
        <v>100</v>
      </c>
      <c r="F198" s="82"/>
      <c r="G198" s="84"/>
      <c r="H198" s="90" t="s">
        <v>100</v>
      </c>
      <c r="I198" s="91"/>
      <c r="J198" s="97"/>
      <c r="K198" s="102">
        <v>45175</v>
      </c>
      <c r="L198" s="327"/>
      <c r="M198" s="106">
        <v>45798</v>
      </c>
      <c r="N198" s="128" t="s">
        <v>1500</v>
      </c>
      <c r="O198" s="128" t="s">
        <v>1501</v>
      </c>
      <c r="P198" s="59"/>
      <c r="Q198" s="131"/>
      <c r="R198" s="131"/>
      <c r="S198" s="63" t="s">
        <v>943</v>
      </c>
      <c r="T198" s="67" t="s">
        <v>1502</v>
      </c>
      <c r="U198" s="67" t="s">
        <v>1503</v>
      </c>
      <c r="V198" s="79" t="s">
        <v>1504</v>
      </c>
      <c r="W198" s="76">
        <v>78840</v>
      </c>
      <c r="X198" s="147"/>
      <c r="Y198" s="236"/>
      <c r="Z198" s="234"/>
      <c r="AA198" s="79"/>
      <c r="AB198" s="135"/>
      <c r="AC198" s="136"/>
      <c r="AD198" s="79"/>
      <c r="AE198" s="128"/>
      <c r="AF198" s="128"/>
      <c r="AG198" s="128"/>
      <c r="AH198" s="128"/>
      <c r="AI198" s="135"/>
      <c r="AJ198" s="135"/>
      <c r="AK198" s="58"/>
      <c r="AL198" s="287"/>
      <c r="AM198" s="288"/>
      <c r="AN198" s="288"/>
      <c r="AO198" s="288">
        <v>62235</v>
      </c>
      <c r="AP198" s="288"/>
      <c r="AQ198" s="288"/>
      <c r="AR198" s="288"/>
      <c r="AS198" s="207"/>
      <c r="AT198" s="116"/>
      <c r="AU198" s="67" t="s">
        <v>1505</v>
      </c>
      <c r="AV198" s="66"/>
      <c r="AW198" s="67" t="s">
        <v>1503</v>
      </c>
      <c r="AX198" s="79" t="s">
        <v>1504</v>
      </c>
      <c r="AY198" s="76">
        <v>78840</v>
      </c>
      <c r="AZ198" s="77" t="s">
        <v>1501</v>
      </c>
      <c r="BA198" s="75"/>
    </row>
    <row r="199" spans="1:53" s="251" customFormat="1" ht="14.15" customHeight="1" x14ac:dyDescent="0.4">
      <c r="A199" s="256" t="s">
        <v>1506</v>
      </c>
      <c r="B199" s="67" t="s">
        <v>98</v>
      </c>
      <c r="C199" s="111" t="s">
        <v>99</v>
      </c>
      <c r="D199" s="115"/>
      <c r="E199" s="120" t="s">
        <v>100</v>
      </c>
      <c r="F199" s="82"/>
      <c r="G199" s="84"/>
      <c r="H199" s="90" t="s">
        <v>100</v>
      </c>
      <c r="I199" s="91"/>
      <c r="J199" s="97"/>
      <c r="K199" s="102">
        <v>45204</v>
      </c>
      <c r="L199" s="327"/>
      <c r="M199" s="106"/>
      <c r="N199" s="113" t="s">
        <v>1507</v>
      </c>
      <c r="O199" s="260" t="s">
        <v>1508</v>
      </c>
      <c r="P199" s="57" t="s">
        <v>1509</v>
      </c>
      <c r="Q199" s="132">
        <v>0.10249999999999999</v>
      </c>
      <c r="R199" s="132"/>
      <c r="S199" s="63" t="s">
        <v>653</v>
      </c>
      <c r="T199" s="67" t="s">
        <v>1510</v>
      </c>
      <c r="U199" s="67" t="s">
        <v>653</v>
      </c>
      <c r="V199" s="113" t="s">
        <v>106</v>
      </c>
      <c r="W199" s="222">
        <v>94952</v>
      </c>
      <c r="X199" s="141" t="s">
        <v>1511</v>
      </c>
      <c r="Y199" s="141" t="s">
        <v>1511</v>
      </c>
      <c r="Z199" s="141" t="s">
        <v>1511</v>
      </c>
      <c r="AA199" s="200"/>
      <c r="AB199" s="130"/>
      <c r="AC199" s="202"/>
      <c r="AD199" s="200"/>
      <c r="AE199" s="113"/>
      <c r="AF199" s="113"/>
      <c r="AG199" s="113"/>
      <c r="AH199" s="113"/>
      <c r="AI199" s="130"/>
      <c r="AJ199" s="135"/>
      <c r="AK199" s="57"/>
      <c r="AL199" s="287" t="s">
        <v>251</v>
      </c>
      <c r="AM199" s="288">
        <v>13305</v>
      </c>
      <c r="AN199" s="288" t="s">
        <v>198</v>
      </c>
      <c r="AO199" s="288">
        <v>62245</v>
      </c>
      <c r="AP199" s="288"/>
      <c r="AQ199" s="288"/>
      <c r="AR199" s="288"/>
      <c r="AS199" s="207"/>
      <c r="AT199" s="116"/>
      <c r="AU199" s="67" t="s">
        <v>1510</v>
      </c>
      <c r="AW199" s="67" t="s">
        <v>653</v>
      </c>
      <c r="AX199" s="113" t="s">
        <v>106</v>
      </c>
      <c r="AY199" s="222">
        <v>94952</v>
      </c>
      <c r="AZ199" s="199" t="s">
        <v>1512</v>
      </c>
      <c r="BA199" s="317"/>
    </row>
    <row r="200" spans="1:53" s="251" customFormat="1" ht="14.15" customHeight="1" x14ac:dyDescent="0.4">
      <c r="A200" s="256" t="s">
        <v>1513</v>
      </c>
      <c r="B200" s="67" t="s">
        <v>98</v>
      </c>
      <c r="C200" s="111" t="s">
        <v>99</v>
      </c>
      <c r="D200" s="79"/>
      <c r="E200" s="118" t="s">
        <v>100</v>
      </c>
      <c r="F200" s="80"/>
      <c r="G200" s="81"/>
      <c r="H200" s="92" t="s">
        <v>100</v>
      </c>
      <c r="I200" s="86"/>
      <c r="J200" s="96"/>
      <c r="K200" s="100">
        <v>44712</v>
      </c>
      <c r="L200" s="328"/>
      <c r="M200" s="106"/>
      <c r="N200" s="128" t="s">
        <v>1053</v>
      </c>
      <c r="O200" s="128" t="s">
        <v>1514</v>
      </c>
      <c r="P200" s="59"/>
      <c r="Q200" s="132">
        <v>0.10249999999999999</v>
      </c>
      <c r="R200" s="132">
        <v>9.5000000000000001E-2</v>
      </c>
      <c r="S200" s="63" t="s">
        <v>113</v>
      </c>
      <c r="T200" s="67" t="s">
        <v>1515</v>
      </c>
      <c r="U200" s="67" t="s">
        <v>398</v>
      </c>
      <c r="V200" s="79" t="s">
        <v>106</v>
      </c>
      <c r="W200" s="76">
        <v>94588</v>
      </c>
      <c r="X200" s="141" t="s">
        <v>1516</v>
      </c>
      <c r="Y200" s="139"/>
      <c r="Z200" s="226"/>
      <c r="AA200" s="79" t="s">
        <v>1517</v>
      </c>
      <c r="AB200" s="135" t="s">
        <v>1518</v>
      </c>
      <c r="AC200" s="136"/>
      <c r="AD200" s="79"/>
      <c r="AE200" s="128"/>
      <c r="AF200" s="128"/>
      <c r="AG200" s="128"/>
      <c r="AH200" s="128"/>
      <c r="AI200" s="135" t="s">
        <v>1519</v>
      </c>
      <c r="AJ200" s="135"/>
      <c r="AK200" s="54"/>
      <c r="AL200" s="287" t="s">
        <v>149</v>
      </c>
      <c r="AM200" s="288">
        <v>13305</v>
      </c>
      <c r="AN200" s="288"/>
      <c r="AO200" s="288">
        <v>62245</v>
      </c>
      <c r="AP200" s="288" t="s">
        <v>1520</v>
      </c>
      <c r="AQ200" s="288"/>
      <c r="AR200" s="288"/>
      <c r="AS200" s="207" t="s">
        <v>132</v>
      </c>
      <c r="AT200" s="116" t="s">
        <v>670</v>
      </c>
      <c r="AU200" s="67" t="s">
        <v>1515</v>
      </c>
      <c r="AV200" s="66"/>
      <c r="AW200" s="67" t="s">
        <v>398</v>
      </c>
      <c r="AX200" s="79" t="s">
        <v>106</v>
      </c>
      <c r="AY200" s="76">
        <v>94588</v>
      </c>
      <c r="AZ200" s="77" t="s">
        <v>1514</v>
      </c>
      <c r="BA200" s="75"/>
    </row>
    <row r="201" spans="1:53" s="251" customFormat="1" ht="14.15" customHeight="1" x14ac:dyDescent="0.4">
      <c r="A201" s="256" t="s">
        <v>1521</v>
      </c>
      <c r="B201" s="67" t="s">
        <v>125</v>
      </c>
      <c r="C201" s="109" t="s">
        <v>99</v>
      </c>
      <c r="D201" s="113" t="s">
        <v>1522</v>
      </c>
      <c r="E201" s="120" t="s">
        <v>100</v>
      </c>
      <c r="F201" s="82"/>
      <c r="G201" s="84"/>
      <c r="H201" s="90" t="s">
        <v>100</v>
      </c>
      <c r="I201" s="91"/>
      <c r="J201" s="97"/>
      <c r="K201" s="102">
        <v>43377</v>
      </c>
      <c r="L201" s="327"/>
      <c r="M201" s="106">
        <v>44673</v>
      </c>
      <c r="N201" s="113" t="s">
        <v>1523</v>
      </c>
      <c r="O201" s="113" t="s">
        <v>1524</v>
      </c>
      <c r="P201" s="57" t="s">
        <v>1525</v>
      </c>
      <c r="Q201" s="132">
        <v>0.10249999999999999</v>
      </c>
      <c r="R201" s="132">
        <v>9.5000000000000001E-2</v>
      </c>
      <c r="S201" s="63" t="s">
        <v>113</v>
      </c>
      <c r="T201" s="67" t="s">
        <v>1526</v>
      </c>
      <c r="U201" s="67" t="s">
        <v>1527</v>
      </c>
      <c r="V201" s="113" t="s">
        <v>106</v>
      </c>
      <c r="W201" s="222">
        <v>94546</v>
      </c>
      <c r="X201" s="141" t="s">
        <v>1528</v>
      </c>
      <c r="Y201" s="141" t="s">
        <v>1528</v>
      </c>
      <c r="Z201" s="141" t="s">
        <v>1528</v>
      </c>
      <c r="AA201" s="200"/>
      <c r="AB201" s="130"/>
      <c r="AC201" s="202"/>
      <c r="AD201" s="200"/>
      <c r="AE201" s="113"/>
      <c r="AF201" s="113"/>
      <c r="AG201" s="113"/>
      <c r="AH201" s="113"/>
      <c r="AI201" s="130"/>
      <c r="AJ201" s="135"/>
      <c r="AK201" s="57"/>
      <c r="AL201" s="287">
        <v>15157</v>
      </c>
      <c r="AM201" s="288"/>
      <c r="AN201" s="288"/>
      <c r="AO201" s="288"/>
      <c r="AP201" s="288"/>
      <c r="AQ201" s="288"/>
      <c r="AR201" s="288"/>
      <c r="AS201" s="207" t="s">
        <v>132</v>
      </c>
      <c r="AT201" s="116" t="s">
        <v>608</v>
      </c>
      <c r="AU201" s="67" t="s">
        <v>1526</v>
      </c>
      <c r="AW201" s="67" t="s">
        <v>1527</v>
      </c>
      <c r="AX201" s="113" t="s">
        <v>106</v>
      </c>
      <c r="AY201" s="222">
        <v>94546</v>
      </c>
      <c r="AZ201" s="199" t="s">
        <v>1525</v>
      </c>
      <c r="BA201" s="75"/>
    </row>
    <row r="202" spans="1:53" s="251" customFormat="1" ht="14.15" customHeight="1" x14ac:dyDescent="0.4">
      <c r="A202" s="256" t="s">
        <v>6460</v>
      </c>
      <c r="B202" s="67" t="s">
        <v>98</v>
      </c>
      <c r="C202" s="109" t="s">
        <v>99</v>
      </c>
      <c r="D202" s="113"/>
      <c r="E202" s="120" t="s">
        <v>100</v>
      </c>
      <c r="F202" s="82"/>
      <c r="G202" s="84"/>
      <c r="H202" s="90" t="s">
        <v>100</v>
      </c>
      <c r="I202" s="91"/>
      <c r="J202" s="97"/>
      <c r="K202" s="102">
        <v>45833</v>
      </c>
      <c r="L202" s="327"/>
      <c r="M202" s="106"/>
      <c r="N202" s="113" t="s">
        <v>2173</v>
      </c>
      <c r="O202" s="113" t="s">
        <v>6462</v>
      </c>
      <c r="P202" s="57"/>
      <c r="Q202" s="132">
        <v>7.7499999999999999E-2</v>
      </c>
      <c r="R202" s="132"/>
      <c r="S202" s="63" t="s">
        <v>907</v>
      </c>
      <c r="T202" s="67" t="s">
        <v>6463</v>
      </c>
      <c r="U202" s="67" t="s">
        <v>909</v>
      </c>
      <c r="V202" s="113" t="s">
        <v>106</v>
      </c>
      <c r="W202" s="222">
        <v>94515</v>
      </c>
      <c r="X202" s="141"/>
      <c r="Y202" s="141" t="s">
        <v>6461</v>
      </c>
      <c r="Z202" s="141"/>
      <c r="AA202" s="200"/>
      <c r="AB202" s="130"/>
      <c r="AC202" s="202"/>
      <c r="AD202" s="200"/>
      <c r="AE202" s="113"/>
      <c r="AF202" s="113"/>
      <c r="AG202" s="113"/>
      <c r="AH202" s="113"/>
      <c r="AI202" s="130"/>
      <c r="AJ202" s="135"/>
      <c r="AK202" s="57"/>
      <c r="AL202" s="287" t="s">
        <v>251</v>
      </c>
      <c r="AM202" s="288" t="s">
        <v>545</v>
      </c>
      <c r="AN202" s="288" t="s">
        <v>916</v>
      </c>
      <c r="AO202" s="288">
        <v>62245</v>
      </c>
      <c r="AP202" s="288"/>
      <c r="AQ202" s="288"/>
      <c r="AR202" s="288"/>
      <c r="AS202" s="207"/>
      <c r="AT202" s="116"/>
      <c r="AU202" s="67" t="s">
        <v>6464</v>
      </c>
      <c r="AW202" s="67" t="s">
        <v>6465</v>
      </c>
      <c r="AX202" s="113" t="s">
        <v>106</v>
      </c>
      <c r="AY202" s="222">
        <v>95467</v>
      </c>
      <c r="AZ202" s="199" t="s">
        <v>6462</v>
      </c>
      <c r="BA202" s="75"/>
    </row>
    <row r="203" spans="1:53" s="251" customFormat="1" ht="14.15" customHeight="1" x14ac:dyDescent="0.4">
      <c r="A203" s="256" t="s">
        <v>1529</v>
      </c>
      <c r="B203" s="67" t="s">
        <v>125</v>
      </c>
      <c r="C203" s="111" t="s">
        <v>99</v>
      </c>
      <c r="D203" s="79"/>
      <c r="E203" s="118" t="s">
        <v>100</v>
      </c>
      <c r="F203" s="80"/>
      <c r="G203" s="81"/>
      <c r="H203" s="92" t="s">
        <v>100</v>
      </c>
      <c r="I203" s="86"/>
      <c r="J203" s="96"/>
      <c r="K203" s="100">
        <v>44356</v>
      </c>
      <c r="L203" s="328"/>
      <c r="M203" s="104">
        <v>43913</v>
      </c>
      <c r="N203" s="128" t="s">
        <v>1530</v>
      </c>
      <c r="O203" s="128" t="s">
        <v>1531</v>
      </c>
      <c r="P203" s="59"/>
      <c r="Q203" s="132">
        <v>9.2499999999999999E-2</v>
      </c>
      <c r="R203" s="131">
        <v>8.6300000000000002E-2</v>
      </c>
      <c r="S203" s="63" t="s">
        <v>303</v>
      </c>
      <c r="T203" s="67" t="s">
        <v>1532</v>
      </c>
      <c r="U203" s="67" t="s">
        <v>1533</v>
      </c>
      <c r="V203" s="79" t="s">
        <v>106</v>
      </c>
      <c r="W203" s="76">
        <v>94590</v>
      </c>
      <c r="X203" s="141" t="s">
        <v>1534</v>
      </c>
      <c r="Y203" s="139" t="s">
        <v>1535</v>
      </c>
      <c r="Z203" s="226" t="s">
        <v>1536</v>
      </c>
      <c r="AA203" s="79"/>
      <c r="AB203" s="135"/>
      <c r="AC203" s="136"/>
      <c r="AD203" s="79"/>
      <c r="AE203" s="128"/>
      <c r="AF203" s="128"/>
      <c r="AG203" s="128"/>
      <c r="AH203" s="128"/>
      <c r="AI203" s="135"/>
      <c r="AJ203" s="135"/>
      <c r="AK203" s="58"/>
      <c r="AL203" s="290" t="s">
        <v>149</v>
      </c>
      <c r="AM203" s="290">
        <v>13305</v>
      </c>
      <c r="AN203" s="290"/>
      <c r="AO203" s="290">
        <v>62245</v>
      </c>
      <c r="AP203" s="290"/>
      <c r="AQ203" s="290"/>
      <c r="AR203" s="290"/>
      <c r="AS203" s="207" t="s">
        <v>132</v>
      </c>
      <c r="AT203" s="116" t="s">
        <v>608</v>
      </c>
      <c r="AU203" s="67" t="s">
        <v>1532</v>
      </c>
      <c r="AV203" s="66"/>
      <c r="AW203" s="67" t="s">
        <v>1533</v>
      </c>
      <c r="AX203" s="79" t="s">
        <v>106</v>
      </c>
      <c r="AY203" s="76">
        <v>94590</v>
      </c>
      <c r="AZ203" s="77" t="s">
        <v>1531</v>
      </c>
      <c r="BA203" s="75"/>
    </row>
    <row r="204" spans="1:53" s="251" customFormat="1" ht="14.15" customHeight="1" x14ac:dyDescent="0.4">
      <c r="A204" s="256" t="s">
        <v>1537</v>
      </c>
      <c r="B204" s="67" t="s">
        <v>98</v>
      </c>
      <c r="C204" s="111" t="s">
        <v>99</v>
      </c>
      <c r="D204" s="115"/>
      <c r="E204" s="120" t="s">
        <v>100</v>
      </c>
      <c r="F204" s="82"/>
      <c r="G204" s="84"/>
      <c r="H204" s="90" t="s">
        <v>100</v>
      </c>
      <c r="I204" s="91"/>
      <c r="J204" s="97"/>
      <c r="K204" s="102">
        <v>44662</v>
      </c>
      <c r="L204" s="327"/>
      <c r="M204" s="106">
        <v>44585</v>
      </c>
      <c r="N204" s="113" t="s">
        <v>1538</v>
      </c>
      <c r="O204" s="113" t="s">
        <v>1539</v>
      </c>
      <c r="P204" s="57"/>
      <c r="Q204" s="132">
        <v>9.7500000000000003E-2</v>
      </c>
      <c r="R204" s="132"/>
      <c r="S204" s="63" t="s">
        <v>1540</v>
      </c>
      <c r="T204" s="67" t="s">
        <v>1541</v>
      </c>
      <c r="U204" s="67" t="s">
        <v>1542</v>
      </c>
      <c r="V204" s="113" t="s">
        <v>106</v>
      </c>
      <c r="W204" s="222">
        <v>94805</v>
      </c>
      <c r="X204" s="141"/>
      <c r="Y204" s="236"/>
      <c r="Z204" s="236"/>
      <c r="AA204" s="200"/>
      <c r="AB204" s="130"/>
      <c r="AC204" s="202"/>
      <c r="AD204" s="200"/>
      <c r="AE204" s="113"/>
      <c r="AF204" s="113"/>
      <c r="AG204" s="113"/>
      <c r="AH204" s="113"/>
      <c r="AI204" s="130"/>
      <c r="AJ204" s="135"/>
      <c r="AK204" s="57"/>
      <c r="AL204" s="287"/>
      <c r="AM204" s="288"/>
      <c r="AN204" s="288"/>
      <c r="AO204" s="288">
        <v>62245</v>
      </c>
      <c r="AP204" s="288"/>
      <c r="AQ204" s="288"/>
      <c r="AR204" s="288"/>
      <c r="AS204" s="207"/>
      <c r="AT204" s="116"/>
      <c r="AU204" s="67" t="s">
        <v>1541</v>
      </c>
      <c r="AW204" s="67" t="s">
        <v>553</v>
      </c>
      <c r="AX204" s="113" t="s">
        <v>106</v>
      </c>
      <c r="AY204" s="222">
        <v>94805</v>
      </c>
      <c r="AZ204" s="199" t="s">
        <v>1539</v>
      </c>
      <c r="BA204" s="317"/>
    </row>
    <row r="205" spans="1:53" s="251" customFormat="1" ht="14.15" customHeight="1" x14ac:dyDescent="0.4">
      <c r="A205" s="256" t="s">
        <v>1543</v>
      </c>
      <c r="B205" s="67" t="s">
        <v>98</v>
      </c>
      <c r="C205" s="111" t="s">
        <v>99</v>
      </c>
      <c r="D205" s="79"/>
      <c r="E205" s="118" t="s">
        <v>100</v>
      </c>
      <c r="F205" s="80"/>
      <c r="G205" s="81"/>
      <c r="H205" s="92" t="s">
        <v>100</v>
      </c>
      <c r="I205" s="86"/>
      <c r="J205" s="96"/>
      <c r="K205" s="100"/>
      <c r="L205" s="328"/>
      <c r="M205" s="104">
        <v>44293</v>
      </c>
      <c r="N205" s="128" t="s">
        <v>988</v>
      </c>
      <c r="O205" s="128" t="s">
        <v>1544</v>
      </c>
      <c r="P205" s="59"/>
      <c r="Q205" s="132">
        <v>0.10249999999999999</v>
      </c>
      <c r="R205" s="132">
        <v>9.5000000000000001E-2</v>
      </c>
      <c r="S205" s="63" t="s">
        <v>113</v>
      </c>
      <c r="T205" s="67" t="s">
        <v>1545</v>
      </c>
      <c r="U205" s="67" t="s">
        <v>115</v>
      </c>
      <c r="V205" s="79" t="s">
        <v>106</v>
      </c>
      <c r="W205" s="76">
        <v>94611</v>
      </c>
      <c r="X205" s="142"/>
      <c r="Y205" s="139"/>
      <c r="Z205" s="226"/>
      <c r="AA205" s="79"/>
      <c r="AB205" s="135"/>
      <c r="AC205" s="136"/>
      <c r="AD205" s="79"/>
      <c r="AE205" s="128"/>
      <c r="AF205" s="128"/>
      <c r="AG205" s="128"/>
      <c r="AH205" s="128"/>
      <c r="AI205" s="135"/>
      <c r="AJ205" s="135"/>
      <c r="AK205" s="54"/>
      <c r="AL205" s="287"/>
      <c r="AM205" s="288"/>
      <c r="AN205" s="288"/>
      <c r="AO205" s="288"/>
      <c r="AP205" s="288"/>
      <c r="AQ205" s="288"/>
      <c r="AR205" s="288"/>
      <c r="AS205" s="207" t="s">
        <v>132</v>
      </c>
      <c r="AT205" s="116" t="s">
        <v>608</v>
      </c>
      <c r="AU205" s="67" t="s">
        <v>1545</v>
      </c>
      <c r="AV205" s="66"/>
      <c r="AW205" s="67" t="s">
        <v>115</v>
      </c>
      <c r="AX205" s="79" t="s">
        <v>106</v>
      </c>
      <c r="AY205" s="76">
        <v>94611</v>
      </c>
      <c r="AZ205" s="77" t="s">
        <v>1544</v>
      </c>
      <c r="BA205" s="317"/>
    </row>
    <row r="206" spans="1:53" s="251" customFormat="1" ht="14.15" customHeight="1" x14ac:dyDescent="0.4">
      <c r="A206" s="256" t="s">
        <v>1546</v>
      </c>
      <c r="B206" s="67" t="s">
        <v>269</v>
      </c>
      <c r="C206" s="111" t="s">
        <v>99</v>
      </c>
      <c r="D206" s="115"/>
      <c r="E206" s="120" t="s">
        <v>100</v>
      </c>
      <c r="F206" s="249" t="s">
        <v>143</v>
      </c>
      <c r="G206" s="84"/>
      <c r="H206" s="254" t="s">
        <v>100</v>
      </c>
      <c r="I206" s="253" t="s">
        <v>143</v>
      </c>
      <c r="J206" s="97"/>
      <c r="K206" s="102">
        <v>44258</v>
      </c>
      <c r="L206" s="327"/>
      <c r="M206" s="106">
        <v>44300</v>
      </c>
      <c r="N206" s="113" t="s">
        <v>1547</v>
      </c>
      <c r="O206" s="113" t="s">
        <v>1548</v>
      </c>
      <c r="P206" s="57" t="s">
        <v>1549</v>
      </c>
      <c r="Q206" s="132">
        <v>9.375E-2</v>
      </c>
      <c r="R206" s="132"/>
      <c r="S206" s="63" t="s">
        <v>146</v>
      </c>
      <c r="T206" s="67" t="s">
        <v>1550</v>
      </c>
      <c r="U206" s="67" t="s">
        <v>148</v>
      </c>
      <c r="V206" s="113" t="s">
        <v>106</v>
      </c>
      <c r="W206" s="222">
        <v>95110</v>
      </c>
      <c r="X206" s="141" t="s">
        <v>1551</v>
      </c>
      <c r="Y206" s="139" t="s">
        <v>1551</v>
      </c>
      <c r="Z206" s="139" t="s">
        <v>1551</v>
      </c>
      <c r="AA206" s="200"/>
      <c r="AB206" s="130"/>
      <c r="AC206" s="202"/>
      <c r="AD206" s="200"/>
      <c r="AE206" s="113"/>
      <c r="AF206" s="113"/>
      <c r="AG206" s="113"/>
      <c r="AH206" s="113"/>
      <c r="AI206" s="130"/>
      <c r="AJ206" s="135"/>
      <c r="AK206" s="57"/>
      <c r="AL206" s="287"/>
      <c r="AM206" s="288"/>
      <c r="AN206" s="288"/>
      <c r="AO206" s="288"/>
      <c r="AP206" s="288"/>
      <c r="AQ206" s="288"/>
      <c r="AR206" s="288"/>
      <c r="AS206" s="207"/>
      <c r="AT206" s="116"/>
      <c r="AU206" s="67" t="s">
        <v>1550</v>
      </c>
      <c r="AW206" s="67" t="s">
        <v>148</v>
      </c>
      <c r="AX206" s="113" t="s">
        <v>106</v>
      </c>
      <c r="AY206" s="222">
        <v>95110</v>
      </c>
      <c r="AZ206" s="199" t="s">
        <v>1552</v>
      </c>
      <c r="BA206" s="317"/>
    </row>
    <row r="207" spans="1:53" s="251" customFormat="1" ht="14.15" customHeight="1" x14ac:dyDescent="0.4">
      <c r="A207" s="256" t="s">
        <v>1553</v>
      </c>
      <c r="B207" s="67" t="s">
        <v>98</v>
      </c>
      <c r="C207" s="111" t="s">
        <v>99</v>
      </c>
      <c r="D207" s="79"/>
      <c r="E207" s="118" t="s">
        <v>100</v>
      </c>
      <c r="F207" s="80"/>
      <c r="G207" s="81"/>
      <c r="H207" s="92" t="s">
        <v>100</v>
      </c>
      <c r="I207" s="86"/>
      <c r="J207" s="96"/>
      <c r="K207" s="100">
        <v>45790</v>
      </c>
      <c r="L207" s="328"/>
      <c r="M207" s="104">
        <v>44229</v>
      </c>
      <c r="N207" s="128" t="s">
        <v>1554</v>
      </c>
      <c r="O207" s="128" t="s">
        <v>1555</v>
      </c>
      <c r="P207" s="77" t="s">
        <v>1556</v>
      </c>
      <c r="Q207" s="132">
        <v>8.7499999999999994E-2</v>
      </c>
      <c r="R207" s="132">
        <v>8.5000000000000006E-2</v>
      </c>
      <c r="S207" s="63" t="s">
        <v>205</v>
      </c>
      <c r="T207" s="67" t="s">
        <v>1557</v>
      </c>
      <c r="U207" s="67" t="s">
        <v>1558</v>
      </c>
      <c r="V207" s="79" t="s">
        <v>106</v>
      </c>
      <c r="W207" s="76">
        <v>94513</v>
      </c>
      <c r="X207" s="141" t="s">
        <v>1559</v>
      </c>
      <c r="Y207" s="139"/>
      <c r="Z207" s="226"/>
      <c r="AA207" s="79"/>
      <c r="AB207" s="135"/>
      <c r="AC207" s="136"/>
      <c r="AD207" s="79"/>
      <c r="AE207" s="128"/>
      <c r="AF207" s="128"/>
      <c r="AG207" s="128"/>
      <c r="AH207" s="128"/>
      <c r="AI207" s="135"/>
      <c r="AJ207" s="135"/>
      <c r="AK207" s="54"/>
      <c r="AL207" s="290" t="s">
        <v>289</v>
      </c>
      <c r="AM207" s="290">
        <v>13305</v>
      </c>
      <c r="AN207" s="290">
        <v>62245</v>
      </c>
      <c r="AO207" s="290"/>
      <c r="AP207" s="290"/>
      <c r="AQ207" s="290"/>
      <c r="AR207" s="290"/>
      <c r="AS207" s="207" t="s">
        <v>132</v>
      </c>
      <c r="AT207" s="116" t="s">
        <v>608</v>
      </c>
      <c r="AU207" s="67" t="s">
        <v>1557</v>
      </c>
      <c r="AV207" s="66"/>
      <c r="AW207" s="67" t="s">
        <v>1558</v>
      </c>
      <c r="AX207" s="79" t="s">
        <v>106</v>
      </c>
      <c r="AY207" s="76">
        <v>94513</v>
      </c>
      <c r="AZ207" s="77" t="s">
        <v>1556</v>
      </c>
      <c r="BA207" s="317"/>
    </row>
    <row r="208" spans="1:53" s="251" customFormat="1" ht="14.15" customHeight="1" x14ac:dyDescent="0.4">
      <c r="A208" s="256" t="s">
        <v>1560</v>
      </c>
      <c r="B208" s="67" t="s">
        <v>253</v>
      </c>
      <c r="C208" s="111" t="s">
        <v>99</v>
      </c>
      <c r="D208" s="115"/>
      <c r="E208" s="120" t="s">
        <v>174</v>
      </c>
      <c r="F208" s="82"/>
      <c r="G208" s="84"/>
      <c r="H208" s="90" t="s">
        <v>174</v>
      </c>
      <c r="I208" s="91"/>
      <c r="J208" s="97"/>
      <c r="K208" s="102">
        <v>45961</v>
      </c>
      <c r="L208" s="327"/>
      <c r="M208" s="106"/>
      <c r="N208" s="113" t="s">
        <v>1561</v>
      </c>
      <c r="O208" s="113" t="s">
        <v>1562</v>
      </c>
      <c r="P208" s="57"/>
      <c r="Q208" s="132">
        <v>8.8749999999999996E-2</v>
      </c>
      <c r="R208" s="132"/>
      <c r="S208" s="63" t="s">
        <v>1563</v>
      </c>
      <c r="T208" s="67" t="s">
        <v>1564</v>
      </c>
      <c r="U208" s="67" t="s">
        <v>1565</v>
      </c>
      <c r="V208" s="113" t="s">
        <v>106</v>
      </c>
      <c r="W208" s="222">
        <v>95351</v>
      </c>
      <c r="X208" s="141"/>
      <c r="Y208" s="236"/>
      <c r="Z208" s="236"/>
      <c r="AA208" s="200"/>
      <c r="AB208" s="130"/>
      <c r="AC208" s="202"/>
      <c r="AD208" s="200"/>
      <c r="AE208" s="113"/>
      <c r="AF208" s="113"/>
      <c r="AG208" s="113"/>
      <c r="AH208" s="113"/>
      <c r="AI208" s="130"/>
      <c r="AJ208" s="135"/>
      <c r="AK208" s="57"/>
      <c r="AL208" s="287" t="s">
        <v>251</v>
      </c>
      <c r="AM208" s="288">
        <v>13305</v>
      </c>
      <c r="AN208" s="288"/>
      <c r="AO208" s="288">
        <v>62245</v>
      </c>
      <c r="AP208" s="288"/>
      <c r="AQ208" s="288"/>
      <c r="AR208" s="288"/>
      <c r="AS208" s="207"/>
      <c r="AT208" s="116" t="s">
        <v>589</v>
      </c>
      <c r="AU208" s="67" t="s">
        <v>1566</v>
      </c>
      <c r="AW208" s="67" t="s">
        <v>1565</v>
      </c>
      <c r="AX208" s="113" t="s">
        <v>106</v>
      </c>
      <c r="AY208" s="222">
        <v>95351</v>
      </c>
      <c r="AZ208" s="199" t="s">
        <v>1562</v>
      </c>
      <c r="BA208" s="317"/>
    </row>
    <row r="209" spans="1:53" s="210" customFormat="1" ht="14.15" customHeight="1" x14ac:dyDescent="0.4">
      <c r="A209" s="256" t="s">
        <v>1567</v>
      </c>
      <c r="B209" s="67" t="s">
        <v>174</v>
      </c>
      <c r="C209" s="109" t="s">
        <v>99</v>
      </c>
      <c r="D209" s="79"/>
      <c r="E209" s="120" t="s">
        <v>174</v>
      </c>
      <c r="F209" s="82" t="s">
        <v>1166</v>
      </c>
      <c r="G209" s="84"/>
      <c r="H209" s="90" t="s">
        <v>100</v>
      </c>
      <c r="I209" s="91"/>
      <c r="J209" s="97"/>
      <c r="K209" s="102"/>
      <c r="L209" s="327"/>
      <c r="M209" s="106"/>
      <c r="N209" s="128" t="s">
        <v>1568</v>
      </c>
      <c r="O209" s="128" t="s">
        <v>1569</v>
      </c>
      <c r="P209" s="59" t="s">
        <v>1570</v>
      </c>
      <c r="Q209" s="131">
        <v>8.6249999999999993E-2</v>
      </c>
      <c r="R209" s="131"/>
      <c r="S209" s="63" t="s">
        <v>103</v>
      </c>
      <c r="T209" s="67" t="s">
        <v>1571</v>
      </c>
      <c r="U209" s="67" t="s">
        <v>105</v>
      </c>
      <c r="V209" s="79" t="s">
        <v>106</v>
      </c>
      <c r="W209" s="76">
        <v>94103</v>
      </c>
      <c r="X209" s="141" t="s">
        <v>1572</v>
      </c>
      <c r="Y209" s="236"/>
      <c r="Z209" s="234"/>
      <c r="AA209" s="79"/>
      <c r="AB209" s="135"/>
      <c r="AC209" s="136"/>
      <c r="AD209" s="79"/>
      <c r="AE209" s="128"/>
      <c r="AF209" s="128"/>
      <c r="AG209" s="128"/>
      <c r="AH209" s="128"/>
      <c r="AI209" s="135"/>
      <c r="AJ209" s="135"/>
      <c r="AK209" s="58"/>
      <c r="AL209" s="287"/>
      <c r="AM209" s="288"/>
      <c r="AN209" s="288"/>
      <c r="AO209" s="288"/>
      <c r="AP209" s="288"/>
      <c r="AQ209" s="288"/>
      <c r="AR209" s="288"/>
      <c r="AS209" s="207"/>
      <c r="AT209" s="116"/>
      <c r="AU209" s="67"/>
      <c r="AV209" s="66"/>
      <c r="AW209" s="67"/>
      <c r="AX209" s="79"/>
      <c r="AY209" s="76"/>
      <c r="AZ209" s="77"/>
      <c r="BA209" s="75"/>
    </row>
    <row r="210" spans="1:53" s="210" customFormat="1" ht="14.15" customHeight="1" x14ac:dyDescent="0.4">
      <c r="A210" s="256" t="s">
        <v>1573</v>
      </c>
      <c r="B210" s="67" t="s">
        <v>174</v>
      </c>
      <c r="C210" s="109" t="s">
        <v>99</v>
      </c>
      <c r="D210" s="79"/>
      <c r="E210" s="120" t="s">
        <v>174</v>
      </c>
      <c r="F210" s="82" t="s">
        <v>1166</v>
      </c>
      <c r="G210" s="84"/>
      <c r="H210" s="90" t="s">
        <v>100</v>
      </c>
      <c r="I210" s="91"/>
      <c r="J210" s="97"/>
      <c r="K210" s="102"/>
      <c r="L210" s="327"/>
      <c r="M210" s="106"/>
      <c r="N210" s="128" t="s">
        <v>1568</v>
      </c>
      <c r="O210" s="128" t="s">
        <v>1574</v>
      </c>
      <c r="P210" s="59" t="s">
        <v>1570</v>
      </c>
      <c r="Q210" s="131">
        <v>8.6249999999999993E-2</v>
      </c>
      <c r="R210" s="131"/>
      <c r="S210" s="63" t="s">
        <v>103</v>
      </c>
      <c r="T210" s="67" t="s">
        <v>1575</v>
      </c>
      <c r="U210" s="67" t="s">
        <v>105</v>
      </c>
      <c r="V210" s="79" t="s">
        <v>106</v>
      </c>
      <c r="W210" s="76">
        <v>94109</v>
      </c>
      <c r="X210" s="141" t="s">
        <v>1572</v>
      </c>
      <c r="Y210" s="236"/>
      <c r="Z210" s="234"/>
      <c r="AA210" s="79"/>
      <c r="AB210" s="135"/>
      <c r="AC210" s="136"/>
      <c r="AD210" s="79"/>
      <c r="AE210" s="128"/>
      <c r="AF210" s="128"/>
      <c r="AG210" s="128"/>
      <c r="AH210" s="128"/>
      <c r="AI210" s="135"/>
      <c r="AJ210" s="135"/>
      <c r="AK210" s="58"/>
      <c r="AL210" s="287"/>
      <c r="AM210" s="288"/>
      <c r="AN210" s="288"/>
      <c r="AO210" s="288"/>
      <c r="AP210" s="288"/>
      <c r="AQ210" s="288"/>
      <c r="AR210" s="288"/>
      <c r="AS210" s="207"/>
      <c r="AT210" s="116"/>
      <c r="AU210" s="67"/>
      <c r="AV210" s="66"/>
      <c r="AW210" s="67"/>
      <c r="AX210" s="79"/>
      <c r="AY210" s="76"/>
      <c r="AZ210" s="77"/>
      <c r="BA210" s="75"/>
    </row>
    <row r="211" spans="1:53" s="251" customFormat="1" ht="14.15" customHeight="1" x14ac:dyDescent="0.25">
      <c r="A211" s="256" t="s">
        <v>1576</v>
      </c>
      <c r="B211" s="67" t="s">
        <v>269</v>
      </c>
      <c r="C211" s="109" t="s">
        <v>1577</v>
      </c>
      <c r="D211" s="79"/>
      <c r="E211" s="118" t="s">
        <v>100</v>
      </c>
      <c r="F211" s="80"/>
      <c r="G211" s="81"/>
      <c r="H211" s="92" t="s">
        <v>100</v>
      </c>
      <c r="I211" s="86"/>
      <c r="J211" s="96"/>
      <c r="K211" s="100">
        <v>42663</v>
      </c>
      <c r="L211" s="328"/>
      <c r="M211" s="106">
        <v>43661</v>
      </c>
      <c r="N211" s="128" t="s">
        <v>1578</v>
      </c>
      <c r="O211" s="128" t="s">
        <v>1579</v>
      </c>
      <c r="P211" s="59" t="s">
        <v>1580</v>
      </c>
      <c r="Q211" s="132">
        <v>0.1125</v>
      </c>
      <c r="R211" s="132">
        <v>0.09</v>
      </c>
      <c r="S211" s="63" t="s">
        <v>1581</v>
      </c>
      <c r="T211" s="67" t="s">
        <v>1582</v>
      </c>
      <c r="U211" s="67" t="s">
        <v>1581</v>
      </c>
      <c r="V211" s="79" t="s">
        <v>106</v>
      </c>
      <c r="W211" s="76">
        <v>93550</v>
      </c>
      <c r="X211" s="141" t="s">
        <v>1583</v>
      </c>
      <c r="Y211" s="139"/>
      <c r="Z211" s="226"/>
      <c r="AA211" s="79"/>
      <c r="AB211" s="135"/>
      <c r="AC211" s="136"/>
      <c r="AD211" s="79"/>
      <c r="AE211" s="128"/>
      <c r="AF211" s="128"/>
      <c r="AG211" s="128"/>
      <c r="AH211" s="128"/>
      <c r="AI211" s="135" t="s">
        <v>1579</v>
      </c>
      <c r="AJ211" s="135"/>
      <c r="AK211" s="54"/>
      <c r="AL211" s="290"/>
      <c r="AM211" s="290"/>
      <c r="AN211" s="290"/>
      <c r="AO211" s="290"/>
      <c r="AP211" s="290"/>
      <c r="AQ211" s="290"/>
      <c r="AR211" s="290"/>
      <c r="AS211" s="207" t="s">
        <v>132</v>
      </c>
      <c r="AT211" s="116" t="s">
        <v>608</v>
      </c>
      <c r="AU211" s="67" t="s">
        <v>1582</v>
      </c>
      <c r="AV211" s="66"/>
      <c r="AW211" s="67" t="s">
        <v>1581</v>
      </c>
      <c r="AX211" s="79" t="s">
        <v>106</v>
      </c>
      <c r="AY211" s="76">
        <v>93550</v>
      </c>
      <c r="AZ211" s="77" t="s">
        <v>1579</v>
      </c>
      <c r="BA211" s="317"/>
    </row>
    <row r="212" spans="1:53" s="251" customFormat="1" ht="14.15" customHeight="1" x14ac:dyDescent="0.25">
      <c r="A212" s="256" t="s">
        <v>1584</v>
      </c>
      <c r="B212" s="67" t="s">
        <v>108</v>
      </c>
      <c r="C212" s="109" t="s">
        <v>109</v>
      </c>
      <c r="D212" s="79" t="s">
        <v>1585</v>
      </c>
      <c r="E212" s="118" t="s">
        <v>100</v>
      </c>
      <c r="F212" s="80"/>
      <c r="G212" s="81"/>
      <c r="H212" s="92" t="s">
        <v>100</v>
      </c>
      <c r="I212" s="86"/>
      <c r="J212" s="96"/>
      <c r="K212" s="100">
        <v>45406</v>
      </c>
      <c r="L212" s="328"/>
      <c r="M212" s="106">
        <v>45138</v>
      </c>
      <c r="N212" s="128" t="s">
        <v>996</v>
      </c>
      <c r="O212" s="128" t="s">
        <v>1586</v>
      </c>
      <c r="P212" s="59" t="s">
        <v>1587</v>
      </c>
      <c r="Q212" s="132">
        <v>0.10249999999999999</v>
      </c>
      <c r="R212" s="132">
        <v>9.5000000000000001E-2</v>
      </c>
      <c r="S212" s="63" t="s">
        <v>113</v>
      </c>
      <c r="T212" s="67" t="s">
        <v>1588</v>
      </c>
      <c r="U212" s="67" t="s">
        <v>115</v>
      </c>
      <c r="V212" s="79" t="s">
        <v>106</v>
      </c>
      <c r="W212" s="76">
        <v>94601</v>
      </c>
      <c r="X212" s="141" t="s">
        <v>1589</v>
      </c>
      <c r="Y212" s="139" t="s">
        <v>1589</v>
      </c>
      <c r="Z212" s="226" t="s">
        <v>1589</v>
      </c>
      <c r="AA212" s="79"/>
      <c r="AB212" s="135"/>
      <c r="AC212" s="136"/>
      <c r="AD212" s="79"/>
      <c r="AE212" s="128"/>
      <c r="AF212" s="128"/>
      <c r="AG212" s="128"/>
      <c r="AH212" s="128"/>
      <c r="AI212" s="135"/>
      <c r="AJ212" s="135"/>
      <c r="AK212" s="54"/>
      <c r="AL212" s="290" t="s">
        <v>149</v>
      </c>
      <c r="AM212" s="290"/>
      <c r="AN212" s="290"/>
      <c r="AO212" s="290"/>
      <c r="AP212" s="290"/>
      <c r="AQ212" s="290"/>
      <c r="AR212" s="290"/>
      <c r="AS212" s="207" t="s">
        <v>132</v>
      </c>
      <c r="AT212" s="116" t="s">
        <v>608</v>
      </c>
      <c r="AU212" s="67" t="s">
        <v>1588</v>
      </c>
      <c r="AV212" s="66"/>
      <c r="AW212" s="67" t="s">
        <v>115</v>
      </c>
      <c r="AX212" s="79" t="s">
        <v>106</v>
      </c>
      <c r="AY212" s="76">
        <v>94601</v>
      </c>
      <c r="AZ212" s="77" t="s">
        <v>1586</v>
      </c>
      <c r="BA212" s="317"/>
    </row>
    <row r="213" spans="1:53" ht="14.15" customHeight="1" x14ac:dyDescent="0.4">
      <c r="A213" s="256" t="s">
        <v>1590</v>
      </c>
      <c r="B213" s="67" t="s">
        <v>244</v>
      </c>
      <c r="C213" s="110" t="s">
        <v>177</v>
      </c>
      <c r="D213" s="112"/>
      <c r="E213" s="120" t="s">
        <v>173</v>
      </c>
      <c r="F213" s="82" t="s">
        <v>174</v>
      </c>
      <c r="G213" s="209"/>
      <c r="H213" s="88"/>
      <c r="I213" s="89"/>
      <c r="J213" s="98"/>
      <c r="K213" s="101">
        <v>45973</v>
      </c>
      <c r="L213" s="329"/>
      <c r="M213" s="105">
        <v>43985</v>
      </c>
      <c r="N213" s="112" t="s">
        <v>1591</v>
      </c>
      <c r="O213" s="130" t="s">
        <v>1592</v>
      </c>
      <c r="P213" s="198" t="s">
        <v>1593</v>
      </c>
      <c r="Q213" s="132">
        <v>9.2499999999999999E-2</v>
      </c>
      <c r="R213" s="132">
        <v>0.09</v>
      </c>
      <c r="S213" s="63" t="s">
        <v>1594</v>
      </c>
      <c r="T213" s="198" t="s">
        <v>1595</v>
      </c>
      <c r="U213" s="198" t="s">
        <v>1596</v>
      </c>
      <c r="V213" s="112" t="s">
        <v>106</v>
      </c>
      <c r="W213" s="205">
        <v>94939</v>
      </c>
      <c r="X213" s="139" t="s">
        <v>1597</v>
      </c>
      <c r="Y213" s="141" t="s">
        <v>1598</v>
      </c>
      <c r="Z213" s="141"/>
      <c r="AA213" s="203" t="s">
        <v>1599</v>
      </c>
      <c r="AB213" s="205" t="s">
        <v>1600</v>
      </c>
      <c r="AC213" s="206" t="s">
        <v>1601</v>
      </c>
      <c r="AD213" s="203"/>
      <c r="AE213" s="205" t="s">
        <v>1602</v>
      </c>
      <c r="AF213" s="205"/>
      <c r="AG213" s="205"/>
      <c r="AH213" s="205"/>
      <c r="AI213" s="205"/>
      <c r="AK213" s="318"/>
      <c r="AL213" s="290" t="s">
        <v>289</v>
      </c>
      <c r="AM213" s="290">
        <v>13305</v>
      </c>
      <c r="AN213" s="290"/>
      <c r="AO213" s="290">
        <v>62245</v>
      </c>
      <c r="AP213" s="290"/>
      <c r="AQ213" s="290" t="s">
        <v>1603</v>
      </c>
      <c r="AR213" s="290"/>
      <c r="AS213" s="207" t="s">
        <v>132</v>
      </c>
      <c r="AT213" s="116" t="s">
        <v>253</v>
      </c>
      <c r="AU213" s="198" t="s">
        <v>1595</v>
      </c>
      <c r="AV213" s="39"/>
      <c r="AW213" s="198" t="s">
        <v>1596</v>
      </c>
      <c r="AX213" s="112" t="s">
        <v>106</v>
      </c>
      <c r="AY213" s="205">
        <v>94939</v>
      </c>
      <c r="AZ213" s="198" t="s">
        <v>1593</v>
      </c>
      <c r="BA213" s="317"/>
    </row>
    <row r="214" spans="1:53" ht="14.15" customHeight="1" x14ac:dyDescent="0.4">
      <c r="A214" s="256" t="s">
        <v>1604</v>
      </c>
      <c r="B214" s="67" t="s">
        <v>269</v>
      </c>
      <c r="C214" s="111" t="s">
        <v>119</v>
      </c>
      <c r="D214" s="115"/>
      <c r="E214" s="120" t="s">
        <v>100</v>
      </c>
      <c r="F214" s="249" t="s">
        <v>143</v>
      </c>
      <c r="G214" s="84"/>
      <c r="H214" s="90" t="s">
        <v>100</v>
      </c>
      <c r="I214" s="253" t="s">
        <v>143</v>
      </c>
      <c r="J214" s="97"/>
      <c r="K214" s="102"/>
      <c r="L214" s="327"/>
      <c r="M214" s="106">
        <v>44705</v>
      </c>
      <c r="N214" s="113" t="s">
        <v>1605</v>
      </c>
      <c r="O214" s="113" t="s">
        <v>1552</v>
      </c>
      <c r="P214" s="57"/>
      <c r="Q214" s="132">
        <v>9.375E-2</v>
      </c>
      <c r="R214" s="132"/>
      <c r="S214" s="63" t="s">
        <v>146</v>
      </c>
      <c r="T214" s="67" t="s">
        <v>1606</v>
      </c>
      <c r="U214" s="67" t="s">
        <v>148</v>
      </c>
      <c r="V214" s="113" t="s">
        <v>106</v>
      </c>
      <c r="W214" s="222">
        <v>95112</v>
      </c>
      <c r="X214" s="141"/>
      <c r="Z214" s="236"/>
      <c r="AA214" s="200"/>
      <c r="AB214" s="130"/>
      <c r="AC214" s="202"/>
      <c r="AD214" s="200"/>
      <c r="AE214" s="113"/>
      <c r="AF214" s="113"/>
      <c r="AG214" s="113"/>
      <c r="AH214" s="113"/>
      <c r="AI214" s="130"/>
      <c r="AK214" s="57"/>
      <c r="AS214" s="207"/>
      <c r="AU214" s="67" t="s">
        <v>1606</v>
      </c>
      <c r="AV214" s="251"/>
      <c r="AW214" s="67" t="s">
        <v>148</v>
      </c>
      <c r="AX214" s="113" t="s">
        <v>106</v>
      </c>
      <c r="AY214" s="222">
        <v>95112</v>
      </c>
      <c r="AZ214" s="199" t="s">
        <v>1552</v>
      </c>
      <c r="BA214" s="317"/>
    </row>
    <row r="215" spans="1:53" ht="14.15" customHeight="1" x14ac:dyDescent="0.4">
      <c r="A215" s="256" t="s">
        <v>1607</v>
      </c>
      <c r="B215" s="67" t="s">
        <v>125</v>
      </c>
      <c r="C215" s="111" t="s">
        <v>99</v>
      </c>
      <c r="D215" s="79" t="s">
        <v>135</v>
      </c>
      <c r="E215" s="118" t="s">
        <v>100</v>
      </c>
      <c r="F215" s="80"/>
      <c r="G215" s="81"/>
      <c r="H215" s="92" t="s">
        <v>100</v>
      </c>
      <c r="I215" s="86"/>
      <c r="J215" s="96"/>
      <c r="K215" s="100">
        <v>44617</v>
      </c>
      <c r="L215" s="328"/>
      <c r="M215" s="104">
        <v>44239</v>
      </c>
      <c r="N215" s="128" t="s">
        <v>1608</v>
      </c>
      <c r="O215" s="128" t="s">
        <v>1609</v>
      </c>
      <c r="Q215" s="132">
        <v>9.8750000000000004E-2</v>
      </c>
      <c r="R215" s="131">
        <v>0.09</v>
      </c>
      <c r="S215" s="63" t="s">
        <v>522</v>
      </c>
      <c r="T215" s="67" t="s">
        <v>1610</v>
      </c>
      <c r="U215" s="67" t="s">
        <v>524</v>
      </c>
      <c r="V215" s="79" t="s">
        <v>106</v>
      </c>
      <c r="W215" s="76">
        <v>94063</v>
      </c>
      <c r="AL215" s="287">
        <v>15157</v>
      </c>
      <c r="AS215" s="207" t="s">
        <v>132</v>
      </c>
      <c r="AT215" s="116" t="s">
        <v>608</v>
      </c>
      <c r="AU215" s="67" t="s">
        <v>1610</v>
      </c>
      <c r="AW215" s="67" t="s">
        <v>524</v>
      </c>
      <c r="AX215" s="79" t="s">
        <v>106</v>
      </c>
      <c r="AY215" s="76">
        <v>94063</v>
      </c>
      <c r="AZ215" s="77" t="s">
        <v>1609</v>
      </c>
    </row>
    <row r="216" spans="1:53" ht="14.15" customHeight="1" x14ac:dyDescent="0.4">
      <c r="A216" s="256" t="s">
        <v>1611</v>
      </c>
      <c r="B216" s="67" t="s">
        <v>125</v>
      </c>
      <c r="C216" s="111" t="s">
        <v>99</v>
      </c>
      <c r="D216" s="79" t="s">
        <v>1612</v>
      </c>
      <c r="E216" s="118" t="s">
        <v>100</v>
      </c>
      <c r="F216" s="80"/>
      <c r="G216" s="81"/>
      <c r="H216" s="92" t="s">
        <v>100</v>
      </c>
      <c r="I216" s="86"/>
      <c r="J216" s="96"/>
      <c r="K216" s="100">
        <v>45365</v>
      </c>
      <c r="L216" s="328"/>
      <c r="M216" s="104">
        <v>44847</v>
      </c>
      <c r="N216" s="128" t="s">
        <v>1613</v>
      </c>
      <c r="O216" s="128" t="s">
        <v>1614</v>
      </c>
      <c r="P216" s="59" t="s">
        <v>1615</v>
      </c>
      <c r="Q216" s="132">
        <v>8.1250000000000003E-2</v>
      </c>
      <c r="R216" s="132">
        <v>7.8750000000000001E-2</v>
      </c>
      <c r="S216" s="63" t="s">
        <v>1616</v>
      </c>
      <c r="T216" s="67" t="s">
        <v>1617</v>
      </c>
      <c r="U216" s="67" t="s">
        <v>1618</v>
      </c>
      <c r="V216" s="79" t="s">
        <v>106</v>
      </c>
      <c r="W216" s="76">
        <v>95688</v>
      </c>
      <c r="AI216" s="135" t="s">
        <v>0</v>
      </c>
      <c r="AJ216" s="135" t="s">
        <v>116</v>
      </c>
      <c r="AL216" s="287">
        <v>15157</v>
      </c>
      <c r="AM216" s="288">
        <v>15741</v>
      </c>
      <c r="AS216" s="207" t="s">
        <v>132</v>
      </c>
      <c r="AT216" s="116" t="s">
        <v>608</v>
      </c>
      <c r="AU216" s="67" t="str">
        <f>PROPER(AV216)</f>
        <v>506 Main Street</v>
      </c>
      <c r="AV216" s="66" t="s">
        <v>1619</v>
      </c>
      <c r="AW216" s="67" t="s">
        <v>1618</v>
      </c>
      <c r="AX216" s="79" t="s">
        <v>106</v>
      </c>
      <c r="AY216" s="76">
        <v>95688</v>
      </c>
      <c r="AZ216" s="77" t="s">
        <v>1614</v>
      </c>
      <c r="BA216" s="317"/>
    </row>
    <row r="217" spans="1:53" ht="14.15" customHeight="1" x14ac:dyDescent="0.4">
      <c r="A217" s="256" t="s">
        <v>1620</v>
      </c>
      <c r="B217" s="67" t="s">
        <v>98</v>
      </c>
      <c r="C217" s="111" t="s">
        <v>563</v>
      </c>
      <c r="E217" s="118" t="s">
        <v>100</v>
      </c>
      <c r="F217" s="80"/>
      <c r="G217" s="81"/>
      <c r="H217" s="92" t="s">
        <v>100</v>
      </c>
      <c r="I217" s="86"/>
      <c r="J217" s="96"/>
      <c r="K217" s="100">
        <v>45415</v>
      </c>
      <c r="L217" s="328"/>
      <c r="M217" s="104"/>
      <c r="N217" s="128" t="s">
        <v>1621</v>
      </c>
      <c r="O217" s="128" t="s">
        <v>1622</v>
      </c>
      <c r="Q217" s="132">
        <v>9.7500000000000003E-2</v>
      </c>
      <c r="R217" s="132">
        <v>0.09</v>
      </c>
      <c r="S217" s="63" t="s">
        <v>1397</v>
      </c>
      <c r="T217" s="67" t="s">
        <v>1623</v>
      </c>
      <c r="U217" s="67" t="s">
        <v>1624</v>
      </c>
      <c r="V217" s="79" t="s">
        <v>106</v>
      </c>
      <c r="W217" s="76">
        <v>90744</v>
      </c>
      <c r="AI217" s="135" t="s">
        <v>0</v>
      </c>
      <c r="AJ217" s="135" t="s">
        <v>116</v>
      </c>
      <c r="AL217" s="290" t="s">
        <v>149</v>
      </c>
      <c r="AM217" s="290"/>
      <c r="AN217" s="290"/>
      <c r="AO217" s="290"/>
      <c r="AP217" s="290"/>
      <c r="AQ217" s="290"/>
      <c r="AR217" s="290"/>
      <c r="AS217" s="207" t="s">
        <v>132</v>
      </c>
      <c r="AT217" s="116" t="s">
        <v>608</v>
      </c>
      <c r="AU217" s="67" t="s">
        <v>1623</v>
      </c>
      <c r="AW217" s="67" t="s">
        <v>1624</v>
      </c>
      <c r="AX217" s="79" t="s">
        <v>106</v>
      </c>
      <c r="AY217" s="76">
        <v>90744</v>
      </c>
      <c r="AZ217" s="77" t="s">
        <v>1622</v>
      </c>
    </row>
    <row r="218" spans="1:53" ht="14.15" customHeight="1" x14ac:dyDescent="0.4">
      <c r="A218" s="256" t="s">
        <v>6366</v>
      </c>
      <c r="B218" s="67" t="s">
        <v>98</v>
      </c>
      <c r="C218" s="111" t="s">
        <v>99</v>
      </c>
      <c r="E218" s="118" t="s">
        <v>100</v>
      </c>
      <c r="F218" s="80"/>
      <c r="G218" s="81"/>
      <c r="H218" s="92" t="s">
        <v>100</v>
      </c>
      <c r="I218" s="86"/>
      <c r="J218" s="96"/>
      <c r="K218" s="100">
        <v>45994</v>
      </c>
      <c r="L218" s="328"/>
      <c r="M218" s="104"/>
      <c r="N218" s="128" t="s">
        <v>6367</v>
      </c>
      <c r="O218" s="128" t="s">
        <v>6368</v>
      </c>
      <c r="Q218" s="132">
        <v>9.5000000000000001E-2</v>
      </c>
      <c r="R218" s="132"/>
      <c r="S218" s="63" t="s">
        <v>226</v>
      </c>
      <c r="T218" s="67" t="s">
        <v>6369</v>
      </c>
      <c r="U218" s="67" t="s">
        <v>228</v>
      </c>
      <c r="V218" s="79" t="s">
        <v>106</v>
      </c>
      <c r="W218" s="76">
        <v>94901</v>
      </c>
      <c r="X218" s="141" t="s">
        <v>6370</v>
      </c>
      <c r="Y218" s="236" t="s">
        <v>6370</v>
      </c>
      <c r="Z218" s="234" t="s">
        <v>6370</v>
      </c>
      <c r="AL218" s="290" t="s">
        <v>545</v>
      </c>
      <c r="AM218" s="290" t="s">
        <v>251</v>
      </c>
      <c r="AN218" s="290"/>
      <c r="AO218" s="290">
        <v>62245</v>
      </c>
      <c r="AP218" s="290"/>
      <c r="AQ218" s="290"/>
      <c r="AR218" s="290"/>
      <c r="AS218" s="207"/>
      <c r="AU218" s="67" t="s">
        <v>6369</v>
      </c>
      <c r="AW218" s="67" t="s">
        <v>228</v>
      </c>
      <c r="AX218" s="79" t="s">
        <v>106</v>
      </c>
      <c r="AY218" s="76">
        <v>94901</v>
      </c>
      <c r="AZ218" s="77" t="s">
        <v>6371</v>
      </c>
    </row>
    <row r="219" spans="1:53" ht="14.15" customHeight="1" x14ac:dyDescent="0.4">
      <c r="A219" s="256" t="s">
        <v>1625</v>
      </c>
      <c r="B219" s="67" t="s">
        <v>1626</v>
      </c>
      <c r="C219" s="111" t="s">
        <v>435</v>
      </c>
      <c r="D219" s="115"/>
      <c r="E219" s="120" t="s">
        <v>100</v>
      </c>
      <c r="F219" s="82"/>
      <c r="G219" s="84"/>
      <c r="H219" s="90" t="s">
        <v>100</v>
      </c>
      <c r="I219" s="91"/>
      <c r="J219" s="97"/>
      <c r="K219" s="102"/>
      <c r="L219" s="327"/>
      <c r="M219" s="106">
        <v>44288</v>
      </c>
      <c r="N219" s="113" t="s">
        <v>1627</v>
      </c>
      <c r="O219" s="113" t="s">
        <v>1628</v>
      </c>
      <c r="P219" s="57" t="s">
        <v>1629</v>
      </c>
      <c r="Q219" s="132">
        <v>9.2499999999999999E-2</v>
      </c>
      <c r="R219" s="132"/>
      <c r="S219" s="63" t="s">
        <v>420</v>
      </c>
      <c r="T219" s="67" t="s">
        <v>1630</v>
      </c>
      <c r="U219" s="67" t="s">
        <v>420</v>
      </c>
      <c r="V219" s="113" t="s">
        <v>106</v>
      </c>
      <c r="W219" s="222">
        <v>94945</v>
      </c>
      <c r="X219" s="141"/>
      <c r="Z219" s="236"/>
      <c r="AA219" s="200"/>
      <c r="AB219" s="130"/>
      <c r="AC219" s="202"/>
      <c r="AD219" s="200"/>
      <c r="AE219" s="113"/>
      <c r="AF219" s="113"/>
      <c r="AG219" s="113"/>
      <c r="AH219" s="113"/>
      <c r="AI219" s="130"/>
      <c r="AK219" s="57"/>
      <c r="AS219" s="207"/>
      <c r="AU219" s="67" t="s">
        <v>1630</v>
      </c>
      <c r="AV219" s="251"/>
      <c r="AW219" s="67" t="s">
        <v>420</v>
      </c>
      <c r="AX219" s="113" t="s">
        <v>106</v>
      </c>
      <c r="AY219" s="222">
        <v>94945</v>
      </c>
      <c r="AZ219" s="199" t="s">
        <v>1628</v>
      </c>
      <c r="BA219" s="317"/>
    </row>
    <row r="220" spans="1:53" s="210" customFormat="1" ht="14.15" customHeight="1" x14ac:dyDescent="0.4">
      <c r="A220" s="256" t="s">
        <v>1631</v>
      </c>
      <c r="B220" s="67" t="s">
        <v>98</v>
      </c>
      <c r="C220" s="111" t="s">
        <v>99</v>
      </c>
      <c r="D220" s="115"/>
      <c r="E220" s="120" t="s">
        <v>100</v>
      </c>
      <c r="F220" s="82"/>
      <c r="G220" s="84"/>
      <c r="H220" s="90" t="s">
        <v>100</v>
      </c>
      <c r="I220" s="91"/>
      <c r="J220" s="97"/>
      <c r="K220" s="102">
        <v>44938</v>
      </c>
      <c r="L220" s="327"/>
      <c r="M220" s="106"/>
      <c r="N220" s="113" t="s">
        <v>1632</v>
      </c>
      <c r="O220" s="113" t="s">
        <v>1633</v>
      </c>
      <c r="P220" s="57"/>
      <c r="Q220" s="132">
        <v>0.105</v>
      </c>
      <c r="R220" s="132"/>
      <c r="S220" s="63" t="s">
        <v>1634</v>
      </c>
      <c r="T220" s="67" t="s">
        <v>1635</v>
      </c>
      <c r="U220" s="67" t="s">
        <v>1634</v>
      </c>
      <c r="V220" s="113" t="s">
        <v>106</v>
      </c>
      <c r="W220" s="222">
        <v>91214</v>
      </c>
      <c r="X220" s="141"/>
      <c r="Y220" s="236"/>
      <c r="Z220" s="236"/>
      <c r="AA220" s="200"/>
      <c r="AB220" s="130"/>
      <c r="AC220" s="202"/>
      <c r="AD220" s="200"/>
      <c r="AE220" s="113"/>
      <c r="AF220" s="113"/>
      <c r="AG220" s="113"/>
      <c r="AH220" s="113"/>
      <c r="AI220" s="130"/>
      <c r="AJ220" s="135"/>
      <c r="AK220" s="57"/>
      <c r="AL220" s="287"/>
      <c r="AM220" s="288"/>
      <c r="AN220" s="288">
        <v>15741</v>
      </c>
      <c r="AO220" s="288"/>
      <c r="AP220" s="288"/>
      <c r="AQ220" s="288"/>
      <c r="AR220" s="288"/>
      <c r="AS220" s="207"/>
      <c r="AT220" s="116" t="s">
        <v>406</v>
      </c>
      <c r="AU220" s="67" t="s">
        <v>1635</v>
      </c>
      <c r="AV220" s="251"/>
      <c r="AW220" s="67" t="s">
        <v>1634</v>
      </c>
      <c r="AX220" s="113" t="s">
        <v>106</v>
      </c>
      <c r="AY220" s="222">
        <v>91214</v>
      </c>
      <c r="AZ220" s="199" t="s">
        <v>1633</v>
      </c>
      <c r="BA220" s="317"/>
    </row>
    <row r="221" spans="1:53" s="210" customFormat="1" ht="14.15" customHeight="1" x14ac:dyDescent="0.4">
      <c r="A221" s="256" t="s">
        <v>1636</v>
      </c>
      <c r="B221" s="67" t="s">
        <v>1637</v>
      </c>
      <c r="C221" s="109" t="s">
        <v>563</v>
      </c>
      <c r="D221" s="79"/>
      <c r="E221" s="120" t="s">
        <v>100</v>
      </c>
      <c r="F221" s="80"/>
      <c r="G221" s="81"/>
      <c r="H221" s="87" t="s">
        <v>100</v>
      </c>
      <c r="I221" s="86"/>
      <c r="J221" s="96"/>
      <c r="K221" s="100">
        <v>44271</v>
      </c>
      <c r="L221" s="328"/>
      <c r="M221" s="104">
        <v>44249</v>
      </c>
      <c r="N221" s="128" t="s">
        <v>191</v>
      </c>
      <c r="O221" s="128" t="s">
        <v>1638</v>
      </c>
      <c r="P221" s="59" t="s">
        <v>193</v>
      </c>
      <c r="Q221" s="132">
        <v>8.6249999999999993E-2</v>
      </c>
      <c r="R221" s="131"/>
      <c r="S221" s="63" t="s">
        <v>103</v>
      </c>
      <c r="T221" s="67" t="s">
        <v>1639</v>
      </c>
      <c r="U221" s="67" t="s">
        <v>105</v>
      </c>
      <c r="V221" s="79" t="s">
        <v>106</v>
      </c>
      <c r="W221" s="76">
        <v>94110</v>
      </c>
      <c r="X221" s="141" t="s">
        <v>1640</v>
      </c>
      <c r="Y221" s="236"/>
      <c r="Z221" s="226" t="s">
        <v>197</v>
      </c>
      <c r="AA221" s="79"/>
      <c r="AB221" s="135"/>
      <c r="AC221" s="136"/>
      <c r="AD221" s="79"/>
      <c r="AE221" s="128"/>
      <c r="AF221" s="128"/>
      <c r="AG221" s="128"/>
      <c r="AH221" s="128"/>
      <c r="AI221" s="135"/>
      <c r="AJ221" s="135"/>
      <c r="AK221" s="58"/>
      <c r="AL221" s="290" t="s">
        <v>149</v>
      </c>
      <c r="AM221" s="290">
        <v>13305</v>
      </c>
      <c r="AN221" s="290" t="s">
        <v>198</v>
      </c>
      <c r="AO221" s="290">
        <v>62245</v>
      </c>
      <c r="AP221" s="290"/>
      <c r="AQ221" s="290"/>
      <c r="AR221" s="290"/>
      <c r="AS221" s="207" t="s">
        <v>132</v>
      </c>
      <c r="AT221" s="116" t="s">
        <v>608</v>
      </c>
      <c r="AU221" s="67" t="s">
        <v>1641</v>
      </c>
      <c r="AV221" s="66"/>
      <c r="AW221" s="67" t="s">
        <v>105</v>
      </c>
      <c r="AX221" s="79" t="s">
        <v>106</v>
      </c>
      <c r="AY221" s="76">
        <v>94110</v>
      </c>
      <c r="AZ221" s="77" t="s">
        <v>200</v>
      </c>
      <c r="BA221" s="75"/>
    </row>
    <row r="222" spans="1:53" s="251" customFormat="1" ht="14.15" customHeight="1" x14ac:dyDescent="0.4">
      <c r="A222" s="256" t="s">
        <v>1642</v>
      </c>
      <c r="B222" s="67" t="s">
        <v>98</v>
      </c>
      <c r="C222" s="111" t="s">
        <v>99</v>
      </c>
      <c r="D222" s="115"/>
      <c r="E222" s="120" t="s">
        <v>100</v>
      </c>
      <c r="F222" s="82"/>
      <c r="G222" s="84"/>
      <c r="H222" s="90" t="s">
        <v>100</v>
      </c>
      <c r="I222" s="91"/>
      <c r="J222" s="97"/>
      <c r="K222" s="102">
        <v>44960</v>
      </c>
      <c r="L222" s="327"/>
      <c r="M222" s="106"/>
      <c r="N222" s="113" t="s">
        <v>1643</v>
      </c>
      <c r="O222" s="113" t="s">
        <v>1644</v>
      </c>
      <c r="P222" s="57"/>
      <c r="Q222" s="132">
        <v>8.6249999999999993E-2</v>
      </c>
      <c r="R222" s="132"/>
      <c r="S222" s="63" t="s">
        <v>103</v>
      </c>
      <c r="T222" s="67" t="s">
        <v>1645</v>
      </c>
      <c r="U222" s="67" t="s">
        <v>105</v>
      </c>
      <c r="V222" s="113" t="s">
        <v>106</v>
      </c>
      <c r="W222" s="222">
        <v>94127</v>
      </c>
      <c r="X222" s="141"/>
      <c r="Y222" s="236"/>
      <c r="Z222" s="236"/>
      <c r="AA222" s="200"/>
      <c r="AB222" s="130"/>
      <c r="AC222" s="202"/>
      <c r="AD222" s="200"/>
      <c r="AE222" s="113"/>
      <c r="AF222" s="113"/>
      <c r="AG222" s="113"/>
      <c r="AH222" s="113"/>
      <c r="AI222" s="130"/>
      <c r="AJ222" s="135"/>
      <c r="AK222" s="57"/>
      <c r="AL222" s="287" t="s">
        <v>251</v>
      </c>
      <c r="AM222" s="288">
        <v>13305</v>
      </c>
      <c r="AN222" s="288"/>
      <c r="AO222" s="288">
        <v>67240</v>
      </c>
      <c r="AP222" s="288"/>
      <c r="AQ222" s="288"/>
      <c r="AR222" s="288"/>
      <c r="AS222" s="207"/>
      <c r="AT222" s="116" t="s">
        <v>589</v>
      </c>
      <c r="AU222" s="67" t="s">
        <v>1646</v>
      </c>
      <c r="AW222" s="67" t="s">
        <v>105</v>
      </c>
      <c r="AX222" s="113" t="s">
        <v>106</v>
      </c>
      <c r="AY222" s="222">
        <v>94127</v>
      </c>
      <c r="AZ222" s="199" t="s">
        <v>1644</v>
      </c>
      <c r="BA222" s="317"/>
    </row>
    <row r="223" spans="1:53" s="251" customFormat="1" ht="14.15" customHeight="1" x14ac:dyDescent="0.4">
      <c r="A223" s="256" t="s">
        <v>1647</v>
      </c>
      <c r="B223" s="67" t="s">
        <v>98</v>
      </c>
      <c r="C223" s="109" t="s">
        <v>99</v>
      </c>
      <c r="D223" s="79"/>
      <c r="E223" s="120" t="s">
        <v>1648</v>
      </c>
      <c r="F223" s="82" t="s">
        <v>174</v>
      </c>
      <c r="G223" s="84"/>
      <c r="H223" s="90" t="s">
        <v>100</v>
      </c>
      <c r="I223" s="91"/>
      <c r="J223" s="97"/>
      <c r="K223" s="102">
        <v>45273</v>
      </c>
      <c r="L223" s="327"/>
      <c r="M223" s="106"/>
      <c r="N223" s="128" t="s">
        <v>1649</v>
      </c>
      <c r="O223" s="128" t="s">
        <v>1650</v>
      </c>
      <c r="P223" s="59"/>
      <c r="Q223" s="131"/>
      <c r="R223" s="131"/>
      <c r="S223" s="63" t="s">
        <v>943</v>
      </c>
      <c r="T223" s="67" t="s">
        <v>1651</v>
      </c>
      <c r="U223" s="67" t="s">
        <v>1652</v>
      </c>
      <c r="V223" s="79" t="s">
        <v>1653</v>
      </c>
      <c r="W223" s="76">
        <v>98444</v>
      </c>
      <c r="X223" s="147"/>
      <c r="Y223" s="236"/>
      <c r="Z223" s="234"/>
      <c r="AA223" s="79"/>
      <c r="AB223" s="135"/>
      <c r="AC223" s="136"/>
      <c r="AD223" s="79"/>
      <c r="AE223" s="128"/>
      <c r="AF223" s="128"/>
      <c r="AG223" s="128"/>
      <c r="AH223" s="128"/>
      <c r="AI223" s="135"/>
      <c r="AJ223" s="135"/>
      <c r="AK223" s="58"/>
      <c r="AL223" s="287" t="s">
        <v>251</v>
      </c>
      <c r="AM223" s="288"/>
      <c r="AN223" s="288" t="s">
        <v>198</v>
      </c>
      <c r="AO223" s="288" t="s">
        <v>180</v>
      </c>
      <c r="AP223" s="288"/>
      <c r="AQ223" s="288"/>
      <c r="AR223" s="288"/>
      <c r="AS223" s="207"/>
      <c r="AT223" s="116"/>
      <c r="AU223" s="67" t="s">
        <v>1651</v>
      </c>
      <c r="AV223" s="66"/>
      <c r="AW223" s="67" t="s">
        <v>1652</v>
      </c>
      <c r="AX223" s="79" t="s">
        <v>1653</v>
      </c>
      <c r="AY223" s="76">
        <v>98444</v>
      </c>
      <c r="AZ223" s="77" t="s">
        <v>1650</v>
      </c>
      <c r="BA223" s="75"/>
    </row>
    <row r="224" spans="1:53" s="251" customFormat="1" ht="14.15" customHeight="1" x14ac:dyDescent="0.25">
      <c r="A224" s="256" t="s">
        <v>1654</v>
      </c>
      <c r="B224" s="67" t="s">
        <v>98</v>
      </c>
      <c r="C224" s="109" t="s">
        <v>99</v>
      </c>
      <c r="D224" s="79"/>
      <c r="E224" s="118" t="s">
        <v>100</v>
      </c>
      <c r="F224" s="80"/>
      <c r="G224" s="81"/>
      <c r="H224" s="87" t="s">
        <v>100</v>
      </c>
      <c r="I224" s="86"/>
      <c r="J224" s="96"/>
      <c r="K224" s="100">
        <v>45866</v>
      </c>
      <c r="L224" s="328"/>
      <c r="M224" s="104"/>
      <c r="N224" s="128" t="s">
        <v>1655</v>
      </c>
      <c r="O224" s="128" t="s">
        <v>1656</v>
      </c>
      <c r="P224" s="59"/>
      <c r="Q224" s="132">
        <v>8.6249999999999993E-2</v>
      </c>
      <c r="R224" s="132"/>
      <c r="S224" s="63" t="s">
        <v>103</v>
      </c>
      <c r="T224" s="67" t="s">
        <v>1657</v>
      </c>
      <c r="U224" s="67" t="s">
        <v>105</v>
      </c>
      <c r="V224" s="79" t="s">
        <v>106</v>
      </c>
      <c r="W224" s="76">
        <v>94110</v>
      </c>
      <c r="X224" s="141" t="s">
        <v>1658</v>
      </c>
      <c r="Y224" s="236"/>
      <c r="Z224" s="234"/>
      <c r="AA224" s="79" t="s">
        <v>1659</v>
      </c>
      <c r="AB224" s="135"/>
      <c r="AC224" s="136"/>
      <c r="AD224" s="79"/>
      <c r="AE224" s="128"/>
      <c r="AF224" s="128"/>
      <c r="AG224" s="128"/>
      <c r="AH224" s="128"/>
      <c r="AI224" s="135"/>
      <c r="AJ224" s="135"/>
      <c r="AK224" s="58"/>
      <c r="AL224" s="290" t="s">
        <v>289</v>
      </c>
      <c r="AM224" s="290"/>
      <c r="AN224" s="290"/>
      <c r="AO224" s="290"/>
      <c r="AP224" s="290"/>
      <c r="AQ224" s="290"/>
      <c r="AR224" s="290"/>
      <c r="AS224" s="207" t="s">
        <v>132</v>
      </c>
      <c r="AT224" s="116" t="s">
        <v>608</v>
      </c>
      <c r="AU224" s="67" t="s">
        <v>1657</v>
      </c>
      <c r="AV224" s="66"/>
      <c r="AW224" s="67" t="s">
        <v>105</v>
      </c>
      <c r="AX224" s="79" t="s">
        <v>106</v>
      </c>
      <c r="AY224" s="76">
        <v>94110</v>
      </c>
      <c r="AZ224" s="77" t="s">
        <v>1656</v>
      </c>
      <c r="BA224" s="317"/>
    </row>
    <row r="225" spans="1:53" s="251" customFormat="1" ht="14.15" customHeight="1" x14ac:dyDescent="0.4">
      <c r="A225" s="256" t="s">
        <v>1660</v>
      </c>
      <c r="B225" s="67" t="s">
        <v>125</v>
      </c>
      <c r="C225" s="111" t="s">
        <v>99</v>
      </c>
      <c r="D225" s="79"/>
      <c r="E225" s="118" t="s">
        <v>100</v>
      </c>
      <c r="F225" s="80"/>
      <c r="G225" s="81"/>
      <c r="H225" s="87" t="s">
        <v>100</v>
      </c>
      <c r="I225" s="86"/>
      <c r="J225" s="96"/>
      <c r="K225" s="100">
        <v>44606</v>
      </c>
      <c r="L225" s="328"/>
      <c r="M225" s="104"/>
      <c r="N225" s="128" t="s">
        <v>1661</v>
      </c>
      <c r="O225" s="128" t="s">
        <v>1662</v>
      </c>
      <c r="P225" s="59"/>
      <c r="Q225" s="132">
        <v>9.5000000000000001E-2</v>
      </c>
      <c r="R225" s="132">
        <v>8.7499999999999994E-2</v>
      </c>
      <c r="S225" s="63" t="s">
        <v>6341</v>
      </c>
      <c r="T225" s="67" t="s">
        <v>1663</v>
      </c>
      <c r="U225" s="67" t="s">
        <v>869</v>
      </c>
      <c r="V225" s="79" t="s">
        <v>106</v>
      </c>
      <c r="W225" s="76">
        <v>95476</v>
      </c>
      <c r="X225" s="141"/>
      <c r="Y225" s="236"/>
      <c r="Z225" s="234"/>
      <c r="AA225" s="79"/>
      <c r="AB225" s="135"/>
      <c r="AC225" s="136"/>
      <c r="AD225" s="79"/>
      <c r="AE225" s="128"/>
      <c r="AF225" s="128"/>
      <c r="AG225" s="128"/>
      <c r="AH225" s="128"/>
      <c r="AI225" s="135"/>
      <c r="AJ225" s="135"/>
      <c r="AK225" s="58"/>
      <c r="AL225" s="287">
        <v>63544</v>
      </c>
      <c r="AM225" s="288"/>
      <c r="AN225" s="288">
        <v>44150</v>
      </c>
      <c r="AO225" s="288">
        <v>62285</v>
      </c>
      <c r="AP225" s="288"/>
      <c r="AQ225" s="288"/>
      <c r="AR225" s="288"/>
      <c r="AS225" s="207" t="s">
        <v>132</v>
      </c>
      <c r="AT225" s="116" t="s">
        <v>608</v>
      </c>
      <c r="AU225" s="67" t="s">
        <v>1663</v>
      </c>
      <c r="AV225" s="66"/>
      <c r="AW225" s="67" t="s">
        <v>869</v>
      </c>
      <c r="AX225" s="79" t="s">
        <v>106</v>
      </c>
      <c r="AY225" s="76">
        <v>95476</v>
      </c>
      <c r="AZ225" s="77" t="s">
        <v>1662</v>
      </c>
      <c r="BA225" s="75"/>
    </row>
    <row r="226" spans="1:53" s="251" customFormat="1" ht="14.15" customHeight="1" x14ac:dyDescent="0.4">
      <c r="A226" s="256" t="s">
        <v>1664</v>
      </c>
      <c r="B226" s="67" t="s">
        <v>98</v>
      </c>
      <c r="C226" s="109" t="s">
        <v>99</v>
      </c>
      <c r="D226" s="79"/>
      <c r="E226" s="120" t="s">
        <v>100</v>
      </c>
      <c r="F226" s="82"/>
      <c r="G226" s="84"/>
      <c r="H226" s="90" t="s">
        <v>100</v>
      </c>
      <c r="I226" s="91"/>
      <c r="J226" s="97"/>
      <c r="K226" s="102">
        <v>45729</v>
      </c>
      <c r="L226" s="327"/>
      <c r="M226" s="106"/>
      <c r="N226" s="128" t="s">
        <v>1665</v>
      </c>
      <c r="O226" s="128" t="s">
        <v>1666</v>
      </c>
      <c r="P226" s="59"/>
      <c r="Q226" s="131">
        <v>9.2499999999999999E-2</v>
      </c>
      <c r="R226" s="131"/>
      <c r="S226" s="63" t="s">
        <v>226</v>
      </c>
      <c r="T226" s="67" t="s">
        <v>1667</v>
      </c>
      <c r="U226" s="67" t="s">
        <v>228</v>
      </c>
      <c r="V226" s="79" t="s">
        <v>106</v>
      </c>
      <c r="W226" s="76">
        <v>94901</v>
      </c>
      <c r="X226" s="147"/>
      <c r="Y226" s="236"/>
      <c r="Z226" s="234"/>
      <c r="AA226" s="79"/>
      <c r="AB226" s="135"/>
      <c r="AC226" s="136"/>
      <c r="AD226" s="79"/>
      <c r="AE226" s="128"/>
      <c r="AF226" s="128"/>
      <c r="AG226" s="128"/>
      <c r="AH226" s="128"/>
      <c r="AI226" s="135"/>
      <c r="AJ226" s="135"/>
      <c r="AK226" s="58"/>
      <c r="AL226" s="287" t="s">
        <v>180</v>
      </c>
      <c r="AM226" s="288"/>
      <c r="AN226" s="288"/>
      <c r="AO226" s="288"/>
      <c r="AP226" s="288"/>
      <c r="AQ226" s="288"/>
      <c r="AR226" s="288"/>
      <c r="AS226" s="207"/>
      <c r="AT226" s="116" t="s">
        <v>539</v>
      </c>
      <c r="AU226" s="67" t="s">
        <v>1667</v>
      </c>
      <c r="AV226" s="66"/>
      <c r="AW226" s="67" t="s">
        <v>228</v>
      </c>
      <c r="AX226" s="79" t="s">
        <v>106</v>
      </c>
      <c r="AY226" s="76">
        <v>94901</v>
      </c>
      <c r="AZ226" s="77" t="s">
        <v>1666</v>
      </c>
      <c r="BA226" s="75"/>
    </row>
    <row r="227" spans="1:53" s="251" customFormat="1" ht="14.15" customHeight="1" x14ac:dyDescent="0.4">
      <c r="A227" s="256" t="s">
        <v>1668</v>
      </c>
      <c r="B227" s="67" t="s">
        <v>98</v>
      </c>
      <c r="C227" s="111" t="s">
        <v>99</v>
      </c>
      <c r="D227" s="113"/>
      <c r="E227" s="120" t="s">
        <v>100</v>
      </c>
      <c r="F227" s="82"/>
      <c r="G227" s="84"/>
      <c r="H227" s="90" t="s">
        <v>100</v>
      </c>
      <c r="I227" s="91"/>
      <c r="J227" s="97"/>
      <c r="K227" s="102">
        <v>45944</v>
      </c>
      <c r="L227" s="327"/>
      <c r="M227" s="106"/>
      <c r="N227" s="113" t="s">
        <v>1669</v>
      </c>
      <c r="O227" s="113" t="s">
        <v>1670</v>
      </c>
      <c r="P227" s="57"/>
      <c r="Q227" s="132">
        <v>8.6249999999999993E-2</v>
      </c>
      <c r="R227" s="132">
        <v>8.7499999999999994E-2</v>
      </c>
      <c r="S227" s="63" t="s">
        <v>103</v>
      </c>
      <c r="T227" s="67" t="s">
        <v>1671</v>
      </c>
      <c r="U227" s="67" t="s">
        <v>105</v>
      </c>
      <c r="V227" s="113" t="s">
        <v>106</v>
      </c>
      <c r="W227" s="222">
        <v>94105</v>
      </c>
      <c r="X227" s="141" t="s">
        <v>1672</v>
      </c>
      <c r="Y227" s="236"/>
      <c r="Z227" s="236"/>
      <c r="AA227" s="200" t="s">
        <v>1673</v>
      </c>
      <c r="AB227" s="130"/>
      <c r="AC227" s="202"/>
      <c r="AD227" s="200"/>
      <c r="AE227" s="113"/>
      <c r="AF227" s="113"/>
      <c r="AG227" s="113"/>
      <c r="AH227" s="113"/>
      <c r="AI227" s="130" t="s">
        <v>1674</v>
      </c>
      <c r="AJ227" s="135" t="s">
        <v>116</v>
      </c>
      <c r="AK227" s="57"/>
      <c r="AL227" s="290">
        <v>54230</v>
      </c>
      <c r="AM227" s="290">
        <v>13305</v>
      </c>
      <c r="AN227" s="290" t="s">
        <v>257</v>
      </c>
      <c r="AO227" s="290">
        <v>62245</v>
      </c>
      <c r="AP227" s="290"/>
      <c r="AQ227" s="290"/>
      <c r="AR227" s="290"/>
      <c r="AS227" s="207" t="s">
        <v>132</v>
      </c>
      <c r="AT227" s="116" t="s">
        <v>608</v>
      </c>
      <c r="AU227" s="67" t="s">
        <v>1675</v>
      </c>
      <c r="AW227" s="67" t="s">
        <v>105</v>
      </c>
      <c r="AX227" s="113" t="s">
        <v>106</v>
      </c>
      <c r="AY227" s="222">
        <v>94105</v>
      </c>
      <c r="AZ227" s="199" t="s">
        <v>1670</v>
      </c>
      <c r="BA227" s="317"/>
    </row>
    <row r="228" spans="1:53" s="251" customFormat="1" ht="14.15" customHeight="1" x14ac:dyDescent="0.4">
      <c r="A228" s="256" t="s">
        <v>1676</v>
      </c>
      <c r="B228" s="67" t="s">
        <v>98</v>
      </c>
      <c r="C228" s="111" t="s">
        <v>99</v>
      </c>
      <c r="D228" s="115"/>
      <c r="E228" s="120" t="s">
        <v>100</v>
      </c>
      <c r="F228" s="82"/>
      <c r="G228" s="84"/>
      <c r="H228" s="90" t="s">
        <v>100</v>
      </c>
      <c r="I228" s="91"/>
      <c r="J228" s="97"/>
      <c r="K228" s="102">
        <v>45916</v>
      </c>
      <c r="L228" s="327"/>
      <c r="M228" s="106"/>
      <c r="N228" s="113" t="s">
        <v>1677</v>
      </c>
      <c r="O228" s="113" t="s">
        <v>1678</v>
      </c>
      <c r="P228" s="57"/>
      <c r="Q228" s="132">
        <v>8.6249999999999993E-2</v>
      </c>
      <c r="R228" s="132"/>
      <c r="S228" s="63" t="s">
        <v>103</v>
      </c>
      <c r="T228" s="67" t="s">
        <v>1679</v>
      </c>
      <c r="U228" s="67" t="s">
        <v>105</v>
      </c>
      <c r="V228" s="113" t="s">
        <v>106</v>
      </c>
      <c r="W228" s="222">
        <v>94110</v>
      </c>
      <c r="X228" s="141" t="s">
        <v>1680</v>
      </c>
      <c r="Y228" s="141" t="s">
        <v>1680</v>
      </c>
      <c r="Z228" s="141" t="s">
        <v>1680</v>
      </c>
      <c r="AA228" s="200"/>
      <c r="AB228" s="130"/>
      <c r="AC228" s="202"/>
      <c r="AD228" s="200"/>
      <c r="AE228" s="113"/>
      <c r="AF228" s="113"/>
      <c r="AG228" s="113"/>
      <c r="AH228" s="113"/>
      <c r="AI228" s="130"/>
      <c r="AJ228" s="135"/>
      <c r="AK228" s="57"/>
      <c r="AL228" s="287" t="s">
        <v>149</v>
      </c>
      <c r="AM228" s="288">
        <v>13305</v>
      </c>
      <c r="AN228" s="288"/>
      <c r="AO228" s="288">
        <v>62245</v>
      </c>
      <c r="AP228" s="288"/>
      <c r="AQ228" s="288"/>
      <c r="AR228" s="288"/>
      <c r="AS228" s="207"/>
      <c r="AT228" s="116" t="s">
        <v>1498</v>
      </c>
      <c r="AU228" s="67" t="s">
        <v>1681</v>
      </c>
      <c r="AW228" s="67" t="s">
        <v>105</v>
      </c>
      <c r="AX228" s="113" t="s">
        <v>106</v>
      </c>
      <c r="AY228" s="222">
        <v>94110</v>
      </c>
      <c r="AZ228" s="199" t="s">
        <v>1678</v>
      </c>
      <c r="BA228" s="317"/>
    </row>
    <row r="229" spans="1:53" s="251" customFormat="1" ht="14.15" customHeight="1" x14ac:dyDescent="0.4">
      <c r="A229" s="256" t="s">
        <v>1682</v>
      </c>
      <c r="B229" s="67" t="s">
        <v>108</v>
      </c>
      <c r="C229" s="109" t="s">
        <v>109</v>
      </c>
      <c r="D229" s="113"/>
      <c r="E229" s="120" t="s">
        <v>100</v>
      </c>
      <c r="F229" s="82"/>
      <c r="G229" s="84"/>
      <c r="H229" s="90" t="s">
        <v>100</v>
      </c>
      <c r="I229" s="91"/>
      <c r="J229" s="97"/>
      <c r="K229" s="102"/>
      <c r="L229" s="327"/>
      <c r="M229" s="106">
        <v>42781</v>
      </c>
      <c r="N229" s="113" t="s">
        <v>1683</v>
      </c>
      <c r="O229" s="113" t="s">
        <v>1684</v>
      </c>
      <c r="P229" s="57"/>
      <c r="Q229" s="132">
        <v>9.8750000000000004E-2</v>
      </c>
      <c r="R229" s="132"/>
      <c r="S229" s="63" t="s">
        <v>1685</v>
      </c>
      <c r="T229" s="67" t="s">
        <v>1686</v>
      </c>
      <c r="U229" s="67" t="s">
        <v>1687</v>
      </c>
      <c r="V229" s="113" t="s">
        <v>106</v>
      </c>
      <c r="W229" s="222">
        <v>94044</v>
      </c>
      <c r="X229" s="147"/>
      <c r="Y229" s="236"/>
      <c r="Z229" s="236"/>
      <c r="AA229" s="200"/>
      <c r="AB229" s="130"/>
      <c r="AC229" s="202"/>
      <c r="AD229" s="200"/>
      <c r="AE229" s="113"/>
      <c r="AF229" s="113"/>
      <c r="AG229" s="113"/>
      <c r="AH229" s="113"/>
      <c r="AI229" s="130"/>
      <c r="AJ229" s="135"/>
      <c r="AK229" s="57"/>
      <c r="AL229" s="287"/>
      <c r="AM229" s="289"/>
      <c r="AN229" s="288"/>
      <c r="AO229" s="288"/>
      <c r="AP229" s="288"/>
      <c r="AQ229" s="288"/>
      <c r="AR229" s="288"/>
      <c r="AS229" s="207" t="s">
        <v>132</v>
      </c>
      <c r="AT229" s="116" t="s">
        <v>447</v>
      </c>
      <c r="AU229" s="67" t="s">
        <v>1686</v>
      </c>
      <c r="AW229" s="67" t="s">
        <v>1687</v>
      </c>
      <c r="AX229" s="113" t="s">
        <v>106</v>
      </c>
      <c r="AY229" s="222">
        <v>94044</v>
      </c>
      <c r="AZ229" s="199" t="s">
        <v>1684</v>
      </c>
      <c r="BA229" s="317"/>
    </row>
    <row r="230" spans="1:53" s="251" customFormat="1" ht="14.15" customHeight="1" x14ac:dyDescent="0.4">
      <c r="A230" s="256" t="s">
        <v>1688</v>
      </c>
      <c r="B230" s="67" t="s">
        <v>269</v>
      </c>
      <c r="C230" s="111" t="s">
        <v>1076</v>
      </c>
      <c r="D230" s="113" t="s">
        <v>1689</v>
      </c>
      <c r="E230" s="120" t="s">
        <v>100</v>
      </c>
      <c r="F230" s="82"/>
      <c r="G230" s="84"/>
      <c r="H230" s="90" t="s">
        <v>100</v>
      </c>
      <c r="I230" s="91"/>
      <c r="J230" s="97"/>
      <c r="K230" s="102">
        <v>46003</v>
      </c>
      <c r="L230" s="327"/>
      <c r="M230" s="106">
        <v>45463</v>
      </c>
      <c r="N230" s="113" t="s">
        <v>1690</v>
      </c>
      <c r="O230" s="113" t="s">
        <v>1691</v>
      </c>
      <c r="P230" s="57"/>
      <c r="Q230" s="132">
        <v>9.2499999999999999E-2</v>
      </c>
      <c r="R230" s="132">
        <v>8.2500000000000004E-2</v>
      </c>
      <c r="S230" s="63" t="s">
        <v>262</v>
      </c>
      <c r="T230" s="67" t="s">
        <v>1692</v>
      </c>
      <c r="U230" s="67" t="s">
        <v>1693</v>
      </c>
      <c r="V230" s="113" t="s">
        <v>106</v>
      </c>
      <c r="W230" s="222">
        <v>95492</v>
      </c>
      <c r="X230" s="143" t="s">
        <v>1694</v>
      </c>
      <c r="Y230" s="143" t="s">
        <v>1694</v>
      </c>
      <c r="Z230" s="143" t="s">
        <v>1694</v>
      </c>
      <c r="AA230" s="200"/>
      <c r="AB230" s="130"/>
      <c r="AC230" s="202" t="s">
        <v>1695</v>
      </c>
      <c r="AD230" s="200" t="s">
        <v>1696</v>
      </c>
      <c r="AE230" s="113"/>
      <c r="AF230" s="113"/>
      <c r="AG230" s="113"/>
      <c r="AH230" s="113"/>
      <c r="AI230" s="130" t="s">
        <v>0</v>
      </c>
      <c r="AJ230" s="135" t="s">
        <v>116</v>
      </c>
      <c r="AK230" s="57"/>
      <c r="AL230" s="287" t="s">
        <v>149</v>
      </c>
      <c r="AM230" s="288"/>
      <c r="AN230" s="288"/>
      <c r="AO230" s="288"/>
      <c r="AP230" s="288"/>
      <c r="AQ230" s="288" t="s">
        <v>1697</v>
      </c>
      <c r="AR230" s="288"/>
      <c r="AS230" s="207" t="s">
        <v>132</v>
      </c>
      <c r="AT230" s="116" t="s">
        <v>1698</v>
      </c>
      <c r="AU230" s="67" t="str">
        <f>PROPER(AV230)</f>
        <v>10351 Old Redwood Hwy #100</v>
      </c>
      <c r="AV230" s="251" t="s">
        <v>1699</v>
      </c>
      <c r="AW230" s="67" t="s">
        <v>1693</v>
      </c>
      <c r="AX230" s="113" t="s">
        <v>106</v>
      </c>
      <c r="AY230" s="222">
        <v>95492</v>
      </c>
      <c r="AZ230" s="199" t="s">
        <v>1691</v>
      </c>
      <c r="BA230" s="317"/>
    </row>
    <row r="231" spans="1:53" s="251" customFormat="1" ht="14.15" customHeight="1" x14ac:dyDescent="0.4">
      <c r="A231" s="256" t="s">
        <v>1700</v>
      </c>
      <c r="B231" s="67" t="s">
        <v>269</v>
      </c>
      <c r="C231" s="111" t="s">
        <v>1076</v>
      </c>
      <c r="D231" s="113"/>
      <c r="E231" s="120" t="s">
        <v>100</v>
      </c>
      <c r="F231" s="82"/>
      <c r="G231" s="84"/>
      <c r="H231" s="90" t="s">
        <v>100</v>
      </c>
      <c r="I231" s="91"/>
      <c r="J231" s="97"/>
      <c r="K231" s="102">
        <v>44215</v>
      </c>
      <c r="L231" s="327"/>
      <c r="M231" s="106"/>
      <c r="N231" s="113" t="s">
        <v>1701</v>
      </c>
      <c r="O231" s="113" t="s">
        <v>1702</v>
      </c>
      <c r="P231" s="57" t="s">
        <v>1703</v>
      </c>
      <c r="Q231" s="132">
        <v>0.10249999999999999</v>
      </c>
      <c r="R231" s="132">
        <v>9.5000000000000001E-2</v>
      </c>
      <c r="S231" s="63" t="s">
        <v>113</v>
      </c>
      <c r="T231" s="67" t="s">
        <v>1704</v>
      </c>
      <c r="U231" s="67" t="s">
        <v>115</v>
      </c>
      <c r="V231" s="113" t="s">
        <v>106</v>
      </c>
      <c r="W231" s="222">
        <v>94611</v>
      </c>
      <c r="X231" s="147"/>
      <c r="Y231" s="236"/>
      <c r="Z231" s="236"/>
      <c r="AA231" s="200"/>
      <c r="AB231" s="130"/>
      <c r="AC231" s="202"/>
      <c r="AD231" s="200"/>
      <c r="AE231" s="113"/>
      <c r="AF231" s="113"/>
      <c r="AG231" s="113"/>
      <c r="AH231" s="113"/>
      <c r="AI231" s="130"/>
      <c r="AJ231" s="135"/>
      <c r="AK231" s="57"/>
      <c r="AL231" s="290">
        <v>46175</v>
      </c>
      <c r="AM231" s="290"/>
      <c r="AN231" s="290"/>
      <c r="AO231" s="290"/>
      <c r="AP231" s="290"/>
      <c r="AQ231" s="290"/>
      <c r="AR231" s="290"/>
      <c r="AS231" s="207" t="s">
        <v>132</v>
      </c>
      <c r="AT231" s="116" t="s">
        <v>447</v>
      </c>
      <c r="AU231" s="67" t="s">
        <v>1704</v>
      </c>
      <c r="AW231" s="67" t="s">
        <v>115</v>
      </c>
      <c r="AX231" s="113" t="s">
        <v>106</v>
      </c>
      <c r="AY231" s="222">
        <v>94611</v>
      </c>
      <c r="AZ231" s="199" t="s">
        <v>1702</v>
      </c>
      <c r="BA231" s="75"/>
    </row>
    <row r="232" spans="1:53" s="251" customFormat="1" ht="14.15" customHeight="1" x14ac:dyDescent="0.4">
      <c r="A232" s="256" t="s">
        <v>1705</v>
      </c>
      <c r="B232" s="67" t="s">
        <v>1706</v>
      </c>
      <c r="C232" s="111"/>
      <c r="D232" s="79" t="s">
        <v>1707</v>
      </c>
      <c r="E232" s="120" t="s">
        <v>100</v>
      </c>
      <c r="F232" s="82"/>
      <c r="G232" s="84"/>
      <c r="H232" s="90" t="s">
        <v>100</v>
      </c>
      <c r="I232" s="91"/>
      <c r="J232" s="97"/>
      <c r="K232" s="102"/>
      <c r="L232" s="327"/>
      <c r="M232" s="106">
        <v>45574</v>
      </c>
      <c r="N232" s="113" t="s">
        <v>1708</v>
      </c>
      <c r="O232" s="113" t="s">
        <v>1709</v>
      </c>
      <c r="P232" s="57"/>
      <c r="Q232" s="132">
        <v>8.6249999999999993E-2</v>
      </c>
      <c r="R232" s="132"/>
      <c r="S232" s="63" t="s">
        <v>103</v>
      </c>
      <c r="T232" s="67" t="s">
        <v>1710</v>
      </c>
      <c r="U232" s="67" t="s">
        <v>105</v>
      </c>
      <c r="V232" s="113" t="s">
        <v>106</v>
      </c>
      <c r="W232" s="222">
        <v>94121</v>
      </c>
      <c r="X232" s="141"/>
      <c r="Y232" s="236"/>
      <c r="Z232" s="236"/>
      <c r="AA232" s="200"/>
      <c r="AB232" s="130"/>
      <c r="AC232" s="202"/>
      <c r="AD232" s="200"/>
      <c r="AE232" s="113"/>
      <c r="AF232" s="113"/>
      <c r="AG232" s="113"/>
      <c r="AH232" s="113"/>
      <c r="AI232" s="130"/>
      <c r="AJ232" s="135"/>
      <c r="AK232" s="57"/>
      <c r="AL232" s="287"/>
      <c r="AM232" s="288"/>
      <c r="AN232" s="288"/>
      <c r="AO232" s="288"/>
      <c r="AP232" s="288"/>
      <c r="AQ232" s="288"/>
      <c r="AR232" s="288"/>
      <c r="AS232" s="207"/>
      <c r="AT232" s="116" t="s">
        <v>589</v>
      </c>
      <c r="AU232" s="67" t="s">
        <v>1710</v>
      </c>
      <c r="AW232" s="67" t="s">
        <v>105</v>
      </c>
      <c r="AX232" s="113" t="s">
        <v>106</v>
      </c>
      <c r="AY232" s="222">
        <v>94121</v>
      </c>
      <c r="AZ232" s="199" t="s">
        <v>1709</v>
      </c>
      <c r="BA232" s="317"/>
    </row>
    <row r="233" spans="1:53" s="251" customFormat="1" ht="14.15" customHeight="1" x14ac:dyDescent="0.4">
      <c r="A233" s="256" t="s">
        <v>1711</v>
      </c>
      <c r="B233" s="67" t="s">
        <v>244</v>
      </c>
      <c r="C233" s="111" t="s">
        <v>99</v>
      </c>
      <c r="D233" s="115"/>
      <c r="E233" s="120" t="s">
        <v>173</v>
      </c>
      <c r="F233" s="82" t="s">
        <v>174</v>
      </c>
      <c r="G233" s="84"/>
      <c r="H233" s="90"/>
      <c r="I233" s="91"/>
      <c r="J233" s="97"/>
      <c r="K233" s="102">
        <v>44827</v>
      </c>
      <c r="L233" s="327"/>
      <c r="M233" s="106"/>
      <c r="N233" s="113" t="s">
        <v>1159</v>
      </c>
      <c r="O233" s="113" t="s">
        <v>1712</v>
      </c>
      <c r="P233" s="57"/>
      <c r="Q233" s="132">
        <v>8.6300000000000002E-2</v>
      </c>
      <c r="R233" s="132"/>
      <c r="S233" s="63" t="s">
        <v>103</v>
      </c>
      <c r="T233" s="67" t="s">
        <v>1713</v>
      </c>
      <c r="U233" s="67" t="s">
        <v>105</v>
      </c>
      <c r="V233" s="113" t="s">
        <v>106</v>
      </c>
      <c r="W233" s="222">
        <v>94109</v>
      </c>
      <c r="X233" s="141"/>
      <c r="Y233" s="236"/>
      <c r="Z233" s="236"/>
      <c r="AA233" s="200"/>
      <c r="AB233" s="130"/>
      <c r="AC233" s="202"/>
      <c r="AD233" s="200"/>
      <c r="AE233" s="113"/>
      <c r="AF233" s="113"/>
      <c r="AG233" s="113"/>
      <c r="AH233" s="113"/>
      <c r="AI233" s="130"/>
      <c r="AJ233" s="135"/>
      <c r="AK233" s="57"/>
      <c r="AL233" s="287">
        <v>15741</v>
      </c>
      <c r="AM233" s="288"/>
      <c r="AN233" s="288"/>
      <c r="AO233" s="288"/>
      <c r="AP233" s="288"/>
      <c r="AQ233" s="288"/>
      <c r="AR233" s="288"/>
      <c r="AS233" s="207"/>
      <c r="AT233" s="116" t="s">
        <v>1469</v>
      </c>
      <c r="AU233" s="67" t="s">
        <v>1704</v>
      </c>
      <c r="AW233" s="67" t="s">
        <v>115</v>
      </c>
      <c r="AX233" s="113" t="s">
        <v>106</v>
      </c>
      <c r="AY233" s="222">
        <v>94611</v>
      </c>
      <c r="AZ233" s="199" t="s">
        <v>1702</v>
      </c>
      <c r="BA233" s="317"/>
    </row>
    <row r="234" spans="1:53" s="251" customFormat="1" ht="14.15" customHeight="1" x14ac:dyDescent="0.4">
      <c r="A234" s="256" t="s">
        <v>1714</v>
      </c>
      <c r="B234" s="67" t="s">
        <v>125</v>
      </c>
      <c r="C234" s="111" t="s">
        <v>99</v>
      </c>
      <c r="D234" s="113" t="s">
        <v>1715</v>
      </c>
      <c r="E234" s="120" t="s">
        <v>100</v>
      </c>
      <c r="F234" s="82"/>
      <c r="G234" s="84"/>
      <c r="H234" s="90" t="s">
        <v>100</v>
      </c>
      <c r="I234" s="91"/>
      <c r="J234" s="97"/>
      <c r="K234" s="102">
        <v>45922</v>
      </c>
      <c r="L234" s="327"/>
      <c r="M234" s="106"/>
      <c r="N234" s="113" t="s">
        <v>1100</v>
      </c>
      <c r="O234" s="113" t="s">
        <v>1716</v>
      </c>
      <c r="P234" s="57"/>
      <c r="Q234" s="132">
        <v>9.5000000000000001E-2</v>
      </c>
      <c r="R234" s="132">
        <v>9.2499999999999999E-2</v>
      </c>
      <c r="S234" s="63" t="s">
        <v>1717</v>
      </c>
      <c r="T234" s="67" t="s">
        <v>1718</v>
      </c>
      <c r="U234" s="67" t="s">
        <v>1719</v>
      </c>
      <c r="V234" s="113" t="s">
        <v>106</v>
      </c>
      <c r="W234" s="222">
        <v>94806</v>
      </c>
      <c r="X234" s="141" t="s">
        <v>6357</v>
      </c>
      <c r="Y234" s="236"/>
      <c r="Z234" s="236"/>
      <c r="AA234" s="200"/>
      <c r="AB234" s="130"/>
      <c r="AC234" s="202"/>
      <c r="AD234" s="200"/>
      <c r="AE234" s="113"/>
      <c r="AF234" s="113"/>
      <c r="AG234" s="113"/>
      <c r="AH234" s="113"/>
      <c r="AI234" s="130"/>
      <c r="AJ234" s="135"/>
      <c r="AK234" s="57"/>
      <c r="AL234" s="289" t="s">
        <v>251</v>
      </c>
      <c r="AM234" s="289"/>
      <c r="AN234" s="289">
        <v>15160</v>
      </c>
      <c r="AO234" s="289"/>
      <c r="AP234" s="289"/>
      <c r="AQ234" s="289"/>
      <c r="AR234" s="289"/>
      <c r="AS234" s="207" t="s">
        <v>132</v>
      </c>
      <c r="AT234" s="116" t="s">
        <v>447</v>
      </c>
      <c r="AU234" s="67" t="s">
        <v>1720</v>
      </c>
      <c r="AW234" s="67" t="s">
        <v>1719</v>
      </c>
      <c r="AX234" s="113" t="s">
        <v>106</v>
      </c>
      <c r="AY234" s="222">
        <v>94806</v>
      </c>
      <c r="AZ234" s="199" t="s">
        <v>1716</v>
      </c>
      <c r="BA234" s="75"/>
    </row>
    <row r="235" spans="1:53" s="251" customFormat="1" ht="14.15" customHeight="1" x14ac:dyDescent="0.4">
      <c r="A235" s="256" t="s">
        <v>1721</v>
      </c>
      <c r="B235" s="67" t="s">
        <v>98</v>
      </c>
      <c r="C235" s="111" t="s">
        <v>99</v>
      </c>
      <c r="D235" s="115"/>
      <c r="E235" s="120" t="s">
        <v>100</v>
      </c>
      <c r="F235" s="82"/>
      <c r="G235" s="84"/>
      <c r="H235" s="90" t="s">
        <v>100</v>
      </c>
      <c r="I235" s="91"/>
      <c r="J235" s="97"/>
      <c r="K235" s="102">
        <v>44396</v>
      </c>
      <c r="L235" s="327"/>
      <c r="M235" s="106"/>
      <c r="N235" s="113" t="s">
        <v>1354</v>
      </c>
      <c r="O235" s="199" t="s">
        <v>1722</v>
      </c>
      <c r="P235" s="130"/>
      <c r="Q235" s="132">
        <v>8.3750000000000005E-2</v>
      </c>
      <c r="R235" s="132"/>
      <c r="S235" s="63" t="s">
        <v>1061</v>
      </c>
      <c r="T235" s="67" t="s">
        <v>1723</v>
      </c>
      <c r="U235" s="67" t="s">
        <v>1061</v>
      </c>
      <c r="V235" s="113" t="s">
        <v>106</v>
      </c>
      <c r="W235" s="222">
        <v>94585</v>
      </c>
      <c r="X235" s="141"/>
      <c r="Y235" s="236"/>
      <c r="Z235" s="236"/>
      <c r="AA235" s="200"/>
      <c r="AB235" s="130"/>
      <c r="AC235" s="202"/>
      <c r="AD235" s="200"/>
      <c r="AE235" s="113"/>
      <c r="AF235" s="113"/>
      <c r="AG235" s="113"/>
      <c r="AH235" s="113"/>
      <c r="AI235" s="130"/>
      <c r="AJ235" s="135"/>
      <c r="AK235" s="57"/>
      <c r="AL235" s="287" t="s">
        <v>149</v>
      </c>
      <c r="AM235" s="288"/>
      <c r="AN235" s="288"/>
      <c r="AO235" s="288"/>
      <c r="AP235" s="288"/>
      <c r="AQ235" s="288"/>
      <c r="AR235" s="288"/>
      <c r="AS235" s="207"/>
      <c r="AT235" s="116"/>
      <c r="AU235" s="67" t="s">
        <v>1723</v>
      </c>
      <c r="AW235" s="67" t="s">
        <v>1061</v>
      </c>
      <c r="AX235" s="113" t="s">
        <v>106</v>
      </c>
      <c r="AY235" s="222">
        <v>94585</v>
      </c>
      <c r="AZ235" s="199" t="s">
        <v>1722</v>
      </c>
      <c r="BA235" s="317"/>
    </row>
    <row r="236" spans="1:53" s="251" customFormat="1" ht="14.15" customHeight="1" x14ac:dyDescent="0.4">
      <c r="A236" s="256" t="s">
        <v>1721</v>
      </c>
      <c r="B236" s="67" t="s">
        <v>98</v>
      </c>
      <c r="C236" s="111" t="s">
        <v>99</v>
      </c>
      <c r="D236" s="115"/>
      <c r="E236" s="120" t="s">
        <v>100</v>
      </c>
      <c r="F236" s="82"/>
      <c r="G236" s="84"/>
      <c r="H236" s="90" t="s">
        <v>100</v>
      </c>
      <c r="I236" s="91"/>
      <c r="J236" s="97"/>
      <c r="K236" s="102"/>
      <c r="L236" s="327"/>
      <c r="M236" s="106">
        <v>45147</v>
      </c>
      <c r="N236" s="113" t="s">
        <v>1724</v>
      </c>
      <c r="O236" s="113" t="s">
        <v>1725</v>
      </c>
      <c r="P236" s="57" t="s">
        <v>1726</v>
      </c>
      <c r="Q236" s="132">
        <v>0.10249999999999999</v>
      </c>
      <c r="R236" s="132"/>
      <c r="S236" s="63" t="s">
        <v>113</v>
      </c>
      <c r="T236" s="67" t="s">
        <v>1727</v>
      </c>
      <c r="U236" s="67" t="s">
        <v>115</v>
      </c>
      <c r="V236" s="113" t="s">
        <v>106</v>
      </c>
      <c r="W236" s="222">
        <v>94612</v>
      </c>
      <c r="X236" s="141" t="s">
        <v>1728</v>
      </c>
      <c r="Y236" s="236"/>
      <c r="Z236" s="236"/>
      <c r="AA236" s="200"/>
      <c r="AB236" s="130"/>
      <c r="AC236" s="202"/>
      <c r="AD236" s="200"/>
      <c r="AE236" s="113"/>
      <c r="AF236" s="113"/>
      <c r="AG236" s="113"/>
      <c r="AH236" s="113"/>
      <c r="AI236" s="130"/>
      <c r="AJ236" s="135"/>
      <c r="AK236" s="57"/>
      <c r="AL236" s="287"/>
      <c r="AM236" s="288"/>
      <c r="AN236" s="288"/>
      <c r="AO236" s="288"/>
      <c r="AP236" s="288"/>
      <c r="AQ236" s="288"/>
      <c r="AR236" s="288"/>
      <c r="AS236" s="207"/>
      <c r="AT236" s="116"/>
      <c r="AU236" s="67" t="s">
        <v>1727</v>
      </c>
      <c r="AW236" s="67" t="s">
        <v>115</v>
      </c>
      <c r="AX236" s="113" t="s">
        <v>106</v>
      </c>
      <c r="AY236" s="222">
        <v>94612</v>
      </c>
      <c r="AZ236" s="199" t="s">
        <v>1725</v>
      </c>
      <c r="BA236" s="317"/>
    </row>
    <row r="237" spans="1:53" s="251" customFormat="1" ht="14.15" customHeight="1" x14ac:dyDescent="0.4">
      <c r="A237" s="256" t="s">
        <v>1729</v>
      </c>
      <c r="B237" s="67" t="s">
        <v>98</v>
      </c>
      <c r="C237" s="111" t="s">
        <v>99</v>
      </c>
      <c r="D237" s="115"/>
      <c r="E237" s="120" t="s">
        <v>100</v>
      </c>
      <c r="F237" s="82"/>
      <c r="G237" s="84"/>
      <c r="H237" s="90" t="s">
        <v>100</v>
      </c>
      <c r="I237" s="91"/>
      <c r="J237" s="97"/>
      <c r="K237" s="102">
        <v>45924</v>
      </c>
      <c r="L237" s="327"/>
      <c r="M237" s="106"/>
      <c r="N237" s="113" t="s">
        <v>223</v>
      </c>
      <c r="O237" s="113" t="s">
        <v>1730</v>
      </c>
      <c r="P237" s="57"/>
      <c r="Q237" s="132">
        <v>9.2499999999999999E-2</v>
      </c>
      <c r="R237" s="132"/>
      <c r="S237" s="63" t="s">
        <v>1594</v>
      </c>
      <c r="T237" s="67" t="s">
        <v>1731</v>
      </c>
      <c r="U237" s="67" t="s">
        <v>1596</v>
      </c>
      <c r="V237" s="113" t="s">
        <v>106</v>
      </c>
      <c r="W237" s="222">
        <v>94939</v>
      </c>
      <c r="X237" s="141"/>
      <c r="Y237" s="236"/>
      <c r="Z237" s="236"/>
      <c r="AA237" s="200"/>
      <c r="AB237" s="130"/>
      <c r="AC237" s="202"/>
      <c r="AD237" s="200"/>
      <c r="AE237" s="113"/>
      <c r="AF237" s="113"/>
      <c r="AG237" s="113"/>
      <c r="AH237" s="113"/>
      <c r="AI237" s="130"/>
      <c r="AJ237" s="135"/>
      <c r="AK237" s="57"/>
      <c r="AL237" s="287">
        <v>54230</v>
      </c>
      <c r="AM237" s="288"/>
      <c r="AN237" s="288"/>
      <c r="AO237" s="288"/>
      <c r="AP237" s="288"/>
      <c r="AQ237" s="288"/>
      <c r="AR237" s="288"/>
      <c r="AS237" s="207"/>
      <c r="AT237" s="116"/>
      <c r="AU237" s="67" t="s">
        <v>1731</v>
      </c>
      <c r="AW237" s="67" t="s">
        <v>1596</v>
      </c>
      <c r="AX237" s="113" t="s">
        <v>106</v>
      </c>
      <c r="AY237" s="222">
        <v>94939</v>
      </c>
      <c r="AZ237" s="199" t="s">
        <v>1730</v>
      </c>
      <c r="BA237" s="317"/>
    </row>
    <row r="238" spans="1:53" s="251" customFormat="1" ht="14.15" customHeight="1" x14ac:dyDescent="0.4">
      <c r="A238" s="256" t="s">
        <v>1732</v>
      </c>
      <c r="B238" s="67" t="s">
        <v>98</v>
      </c>
      <c r="C238" s="111" t="s">
        <v>99</v>
      </c>
      <c r="D238" s="115"/>
      <c r="E238" s="120" t="s">
        <v>100</v>
      </c>
      <c r="F238" s="82"/>
      <c r="G238" s="84"/>
      <c r="H238" s="90" t="s">
        <v>100</v>
      </c>
      <c r="I238" s="91"/>
      <c r="J238" s="97"/>
      <c r="K238" s="102">
        <v>44412</v>
      </c>
      <c r="L238" s="327"/>
      <c r="M238" s="106"/>
      <c r="N238" s="113" t="s">
        <v>1733</v>
      </c>
      <c r="O238" s="113" t="s">
        <v>1734</v>
      </c>
      <c r="P238" s="57" t="s">
        <v>1735</v>
      </c>
      <c r="Q238" s="132">
        <v>9.2499999999999999E-2</v>
      </c>
      <c r="R238" s="132"/>
      <c r="S238" s="63" t="s">
        <v>1594</v>
      </c>
      <c r="T238" s="67" t="s">
        <v>1736</v>
      </c>
      <c r="U238" s="67" t="s">
        <v>1596</v>
      </c>
      <c r="V238" s="113" t="s">
        <v>106</v>
      </c>
      <c r="W238" s="222">
        <v>94939</v>
      </c>
      <c r="X238" s="141"/>
      <c r="Y238" s="236"/>
      <c r="Z238" s="236"/>
      <c r="AA238" s="200"/>
      <c r="AB238" s="130"/>
      <c r="AC238" s="202"/>
      <c r="AD238" s="200"/>
      <c r="AE238" s="113"/>
      <c r="AF238" s="113"/>
      <c r="AG238" s="113"/>
      <c r="AH238" s="113"/>
      <c r="AI238" s="130"/>
      <c r="AJ238" s="135"/>
      <c r="AK238" s="57"/>
      <c r="AL238" s="287" t="s">
        <v>289</v>
      </c>
      <c r="AM238" s="288" t="s">
        <v>290</v>
      </c>
      <c r="AN238" s="288">
        <v>13305</v>
      </c>
      <c r="AO238" s="288"/>
      <c r="AP238" s="288"/>
      <c r="AQ238" s="288"/>
      <c r="AR238" s="288"/>
      <c r="AS238" s="207"/>
      <c r="AT238" s="116" t="s">
        <v>116</v>
      </c>
      <c r="AU238" s="67" t="s">
        <v>1736</v>
      </c>
      <c r="AW238" s="67" t="s">
        <v>1596</v>
      </c>
      <c r="AX238" s="113" t="s">
        <v>106</v>
      </c>
      <c r="AY238" s="222">
        <v>94939</v>
      </c>
      <c r="AZ238" s="199" t="s">
        <v>1734</v>
      </c>
      <c r="BA238" s="317"/>
    </row>
    <row r="239" spans="1:53" s="210" customFormat="1" ht="14.15" customHeight="1" x14ac:dyDescent="0.4">
      <c r="A239" s="256" t="s">
        <v>1737</v>
      </c>
      <c r="B239" s="67" t="s">
        <v>98</v>
      </c>
      <c r="C239" s="110" t="s">
        <v>99</v>
      </c>
      <c r="D239" s="112"/>
      <c r="E239" s="119" t="s">
        <v>100</v>
      </c>
      <c r="F239" s="83"/>
      <c r="G239" s="209"/>
      <c r="H239" s="88" t="s">
        <v>100</v>
      </c>
      <c r="I239" s="89"/>
      <c r="J239" s="98"/>
      <c r="K239" s="101">
        <v>45153</v>
      </c>
      <c r="L239" s="329"/>
      <c r="M239" s="105"/>
      <c r="N239" s="112" t="s">
        <v>1738</v>
      </c>
      <c r="O239" s="112" t="s">
        <v>1739</v>
      </c>
      <c r="P239" s="198" t="s">
        <v>1740</v>
      </c>
      <c r="Q239" s="132">
        <v>8.2500000000000004E-2</v>
      </c>
      <c r="R239" s="132">
        <v>0.08</v>
      </c>
      <c r="S239" s="63" t="s">
        <v>1741</v>
      </c>
      <c r="T239" s="198" t="s">
        <v>1742</v>
      </c>
      <c r="U239" s="198" t="s">
        <v>1743</v>
      </c>
      <c r="V239" s="112" t="s">
        <v>106</v>
      </c>
      <c r="W239" s="205">
        <v>94574</v>
      </c>
      <c r="X239" s="139" t="s">
        <v>1744</v>
      </c>
      <c r="Y239" s="141" t="s">
        <v>1745</v>
      </c>
      <c r="Z239" s="141" t="s">
        <v>1745</v>
      </c>
      <c r="AA239" s="203" t="s">
        <v>1746</v>
      </c>
      <c r="AB239" s="205" t="s">
        <v>1747</v>
      </c>
      <c r="AC239" s="206" t="s">
        <v>1748</v>
      </c>
      <c r="AD239" s="203" t="s">
        <v>1749</v>
      </c>
      <c r="AE239" s="206" t="s">
        <v>1750</v>
      </c>
      <c r="AF239" s="205"/>
      <c r="AG239" s="205" t="s">
        <v>1751</v>
      </c>
      <c r="AH239" s="205"/>
      <c r="AI239" s="205" t="s">
        <v>1752</v>
      </c>
      <c r="AJ239" s="135" t="s">
        <v>116</v>
      </c>
      <c r="AK239" s="318"/>
      <c r="AL239" s="287" t="s">
        <v>251</v>
      </c>
      <c r="AM239" s="288">
        <v>13305</v>
      </c>
      <c r="AN239" s="288"/>
      <c r="AO239" s="288">
        <v>62245</v>
      </c>
      <c r="AP239" s="288"/>
      <c r="AQ239" s="288"/>
      <c r="AR239" s="288"/>
      <c r="AS239" s="207" t="s">
        <v>132</v>
      </c>
      <c r="AT239" s="116" t="s">
        <v>1753</v>
      </c>
      <c r="AU239" s="198" t="s">
        <v>1754</v>
      </c>
      <c r="AV239" s="39"/>
      <c r="AW239" s="198" t="s">
        <v>1755</v>
      </c>
      <c r="AX239" s="112" t="s">
        <v>106</v>
      </c>
      <c r="AY239" s="205">
        <v>94573</v>
      </c>
      <c r="AZ239" s="198" t="s">
        <v>1739</v>
      </c>
      <c r="BA239" s="75"/>
    </row>
    <row r="240" spans="1:53" s="251" customFormat="1" ht="14.15" customHeight="1" x14ac:dyDescent="0.4">
      <c r="A240" s="256" t="s">
        <v>1756</v>
      </c>
      <c r="B240" s="67" t="s">
        <v>244</v>
      </c>
      <c r="C240" s="110" t="s">
        <v>1757</v>
      </c>
      <c r="D240" s="112"/>
      <c r="E240" s="120" t="s">
        <v>173</v>
      </c>
      <c r="F240" s="82" t="s">
        <v>174</v>
      </c>
      <c r="G240" s="209"/>
      <c r="H240" s="88"/>
      <c r="I240" s="89"/>
      <c r="J240" s="98"/>
      <c r="K240" s="101">
        <v>45992</v>
      </c>
      <c r="L240" s="329"/>
      <c r="M240" s="105"/>
      <c r="N240" s="112" t="s">
        <v>1758</v>
      </c>
      <c r="O240" s="112" t="s">
        <v>1759</v>
      </c>
      <c r="P240" s="198"/>
      <c r="Q240" s="132">
        <v>9.8750000000000004E-2</v>
      </c>
      <c r="R240" s="132">
        <v>0.09</v>
      </c>
      <c r="S240" s="63" t="s">
        <v>1685</v>
      </c>
      <c r="T240" s="198" t="s">
        <v>1760</v>
      </c>
      <c r="U240" s="198" t="s">
        <v>1761</v>
      </c>
      <c r="V240" s="112" t="s">
        <v>106</v>
      </c>
      <c r="W240" s="205">
        <v>94019</v>
      </c>
      <c r="X240" s="141" t="s">
        <v>1762</v>
      </c>
      <c r="Y240" s="139" t="s">
        <v>1763</v>
      </c>
      <c r="Z240" s="56" t="s">
        <v>1763</v>
      </c>
      <c r="AA240" s="203"/>
      <c r="AB240" s="205"/>
      <c r="AC240" s="206"/>
      <c r="AD240" s="203"/>
      <c r="AE240" s="205"/>
      <c r="AF240" s="205"/>
      <c r="AG240" s="205"/>
      <c r="AH240" s="205"/>
      <c r="AI240" s="205"/>
      <c r="AJ240" s="135"/>
      <c r="AK240" s="318"/>
      <c r="AL240" s="289" t="s">
        <v>149</v>
      </c>
      <c r="AM240" s="289" t="s">
        <v>198</v>
      </c>
      <c r="AN240" s="289"/>
      <c r="AO240" s="289">
        <v>67240</v>
      </c>
      <c r="AP240" s="289"/>
      <c r="AQ240" s="289"/>
      <c r="AR240" s="289"/>
      <c r="AS240" s="207" t="s">
        <v>132</v>
      </c>
      <c r="AT240" s="116" t="s">
        <v>447</v>
      </c>
      <c r="AU240" s="198" t="s">
        <v>1764</v>
      </c>
      <c r="AV240" s="39"/>
      <c r="AW240" s="198" t="s">
        <v>1761</v>
      </c>
      <c r="AX240" s="112" t="s">
        <v>106</v>
      </c>
      <c r="AY240" s="205">
        <v>94019</v>
      </c>
      <c r="AZ240" s="198" t="s">
        <v>1759</v>
      </c>
      <c r="BA240" s="75"/>
    </row>
    <row r="241" spans="1:53" s="251" customFormat="1" ht="14.15" customHeight="1" x14ac:dyDescent="0.4">
      <c r="A241" s="256" t="s">
        <v>1765</v>
      </c>
      <c r="B241" s="67" t="s">
        <v>98</v>
      </c>
      <c r="C241" s="109" t="s">
        <v>99</v>
      </c>
      <c r="D241" s="79"/>
      <c r="E241" s="120" t="s">
        <v>100</v>
      </c>
      <c r="F241" s="82"/>
      <c r="G241" s="84"/>
      <c r="H241" s="90" t="s">
        <v>100</v>
      </c>
      <c r="I241" s="91"/>
      <c r="J241" s="97"/>
      <c r="K241" s="102">
        <v>45068</v>
      </c>
      <c r="L241" s="327"/>
      <c r="M241" s="106"/>
      <c r="N241" s="128" t="s">
        <v>1766</v>
      </c>
      <c r="O241" s="128" t="s">
        <v>1767</v>
      </c>
      <c r="P241" s="59"/>
      <c r="Q241" s="131"/>
      <c r="R241" s="131"/>
      <c r="S241" s="63" t="s">
        <v>943</v>
      </c>
      <c r="T241" s="67" t="s">
        <v>1768</v>
      </c>
      <c r="U241" s="67" t="s">
        <v>1769</v>
      </c>
      <c r="V241" s="79" t="s">
        <v>1770</v>
      </c>
      <c r="W241" s="76">
        <v>45403</v>
      </c>
      <c r="X241" s="147"/>
      <c r="Y241" s="236"/>
      <c r="Z241" s="234"/>
      <c r="AA241" s="79"/>
      <c r="AB241" s="135"/>
      <c r="AC241" s="136"/>
      <c r="AD241" s="79"/>
      <c r="AE241" s="128"/>
      <c r="AF241" s="128"/>
      <c r="AG241" s="128"/>
      <c r="AH241" s="128"/>
      <c r="AI241" s="135"/>
      <c r="AJ241" s="135"/>
      <c r="AK241" s="58"/>
      <c r="AL241" s="287">
        <v>15741</v>
      </c>
      <c r="AM241" s="288">
        <v>13305</v>
      </c>
      <c r="AN241" s="288"/>
      <c r="AO241" s="288"/>
      <c r="AP241" s="288"/>
      <c r="AQ241" s="288"/>
      <c r="AR241" s="288"/>
      <c r="AS241" s="207"/>
      <c r="AT241" s="116"/>
      <c r="AU241" s="67" t="s">
        <v>1771</v>
      </c>
      <c r="AV241" s="66"/>
      <c r="AW241" s="67" t="s">
        <v>1769</v>
      </c>
      <c r="AX241" s="79" t="s">
        <v>1770</v>
      </c>
      <c r="AY241" s="76">
        <v>45403</v>
      </c>
      <c r="AZ241" s="77" t="s">
        <v>1772</v>
      </c>
      <c r="BA241" s="75"/>
    </row>
    <row r="242" spans="1:53" s="251" customFormat="1" ht="14.25" customHeight="1" x14ac:dyDescent="0.4">
      <c r="A242" s="256" t="s">
        <v>1773</v>
      </c>
      <c r="B242" s="67" t="s">
        <v>244</v>
      </c>
      <c r="C242" s="111" t="s">
        <v>563</v>
      </c>
      <c r="D242" s="113"/>
      <c r="E242" s="120" t="s">
        <v>173</v>
      </c>
      <c r="F242" s="82" t="s">
        <v>174</v>
      </c>
      <c r="G242" s="84"/>
      <c r="H242" s="90"/>
      <c r="I242" s="91"/>
      <c r="J242" s="97"/>
      <c r="K242" s="102">
        <v>45386</v>
      </c>
      <c r="L242" s="327"/>
      <c r="M242" s="106">
        <v>43201</v>
      </c>
      <c r="N242" s="113" t="s">
        <v>1774</v>
      </c>
      <c r="O242" s="113" t="s">
        <v>1775</v>
      </c>
      <c r="P242" s="57"/>
      <c r="Q242" s="132">
        <v>8.6249999999999993E-2</v>
      </c>
      <c r="R242" s="132">
        <v>8.7499999999999994E-2</v>
      </c>
      <c r="S242" s="63" t="s">
        <v>103</v>
      </c>
      <c r="T242" s="67" t="s">
        <v>1776</v>
      </c>
      <c r="U242" s="67" t="s">
        <v>105</v>
      </c>
      <c r="V242" s="113" t="s">
        <v>106</v>
      </c>
      <c r="W242" s="222">
        <v>94123</v>
      </c>
      <c r="X242" s="139" t="s">
        <v>1777</v>
      </c>
      <c r="Y242" s="143"/>
      <c r="Z242" s="143"/>
      <c r="AA242" s="200" t="s">
        <v>1778</v>
      </c>
      <c r="AB242" s="130"/>
      <c r="AC242" s="202"/>
      <c r="AD242" s="200"/>
      <c r="AE242" s="113"/>
      <c r="AF242" s="113"/>
      <c r="AG242" s="113"/>
      <c r="AH242" s="113"/>
      <c r="AI242" s="130" t="s">
        <v>0</v>
      </c>
      <c r="AJ242" s="135" t="s">
        <v>116</v>
      </c>
      <c r="AK242" s="57"/>
      <c r="AL242" s="290">
        <v>15741</v>
      </c>
      <c r="AM242" s="290" t="s">
        <v>149</v>
      </c>
      <c r="AN242" s="290">
        <v>13305</v>
      </c>
      <c r="AO242" s="290"/>
      <c r="AP242" s="290"/>
      <c r="AQ242" s="290"/>
      <c r="AR242" s="290"/>
      <c r="AS242" s="207" t="s">
        <v>132</v>
      </c>
      <c r="AT242" s="116" t="s">
        <v>447</v>
      </c>
      <c r="AU242" s="67" t="str">
        <f>PROPER(AV242)</f>
        <v>2990 Baker Street</v>
      </c>
      <c r="AV242" s="251" t="s">
        <v>1779</v>
      </c>
      <c r="AW242" s="67" t="s">
        <v>105</v>
      </c>
      <c r="AX242" s="113" t="s">
        <v>106</v>
      </c>
      <c r="AY242" s="222">
        <v>94123</v>
      </c>
      <c r="AZ242" s="199" t="s">
        <v>1775</v>
      </c>
      <c r="BA242" s="207"/>
    </row>
    <row r="243" spans="1:53" s="251" customFormat="1" ht="14.15" customHeight="1" x14ac:dyDescent="0.4">
      <c r="A243" s="256" t="s">
        <v>1780</v>
      </c>
      <c r="B243" s="67" t="s">
        <v>98</v>
      </c>
      <c r="C243" s="111" t="s">
        <v>99</v>
      </c>
      <c r="D243" s="115"/>
      <c r="E243" s="120" t="s">
        <v>100</v>
      </c>
      <c r="F243" s="82"/>
      <c r="G243" s="84"/>
      <c r="H243" s="90" t="s">
        <v>100</v>
      </c>
      <c r="I243" s="91"/>
      <c r="J243" s="97"/>
      <c r="K243" s="102">
        <v>45499</v>
      </c>
      <c r="L243" s="327"/>
      <c r="M243" s="106"/>
      <c r="N243" s="113" t="s">
        <v>1781</v>
      </c>
      <c r="O243" s="113" t="s">
        <v>1782</v>
      </c>
      <c r="P243" s="57" t="s">
        <v>1783</v>
      </c>
      <c r="Q243" s="132">
        <v>9.2499999999999999E-2</v>
      </c>
      <c r="R243" s="132"/>
      <c r="S243" s="63" t="s">
        <v>226</v>
      </c>
      <c r="T243" s="67" t="s">
        <v>1784</v>
      </c>
      <c r="U243" s="67" t="s">
        <v>228</v>
      </c>
      <c r="V243" s="113" t="s">
        <v>106</v>
      </c>
      <c r="W243" s="222">
        <v>94901</v>
      </c>
      <c r="X243" s="141"/>
      <c r="Y243" s="236"/>
      <c r="Z243" s="236"/>
      <c r="AA243" s="200"/>
      <c r="AB243" s="130"/>
      <c r="AC243" s="202"/>
      <c r="AD243" s="200"/>
      <c r="AE243" s="113"/>
      <c r="AF243" s="113"/>
      <c r="AG243" s="113"/>
      <c r="AH243" s="113"/>
      <c r="AI243" s="130"/>
      <c r="AJ243" s="135"/>
      <c r="AK243" s="57"/>
      <c r="AL243" s="287" t="s">
        <v>149</v>
      </c>
      <c r="AM243" s="288"/>
      <c r="AN243" s="288"/>
      <c r="AO243" s="288"/>
      <c r="AP243" s="288"/>
      <c r="AQ243" s="288"/>
      <c r="AR243" s="288"/>
      <c r="AS243" s="207"/>
      <c r="AT243" s="116"/>
      <c r="AU243" s="67" t="s">
        <v>1785</v>
      </c>
      <c r="AW243" s="67" t="s">
        <v>228</v>
      </c>
      <c r="AX243" s="113" t="s">
        <v>106</v>
      </c>
      <c r="AY243" s="222">
        <v>94901</v>
      </c>
      <c r="AZ243" s="199" t="s">
        <v>1782</v>
      </c>
      <c r="BA243" s="317"/>
    </row>
    <row r="244" spans="1:53" s="251" customFormat="1" ht="14.15" customHeight="1" x14ac:dyDescent="0.4">
      <c r="A244" s="256" t="s">
        <v>1786</v>
      </c>
      <c r="B244" s="67" t="s">
        <v>98</v>
      </c>
      <c r="C244" s="111" t="s">
        <v>99</v>
      </c>
      <c r="D244" s="113"/>
      <c r="E244" s="120" t="s">
        <v>100</v>
      </c>
      <c r="F244" s="82"/>
      <c r="G244" s="84"/>
      <c r="H244" s="90" t="s">
        <v>100</v>
      </c>
      <c r="I244" s="91"/>
      <c r="J244" s="97"/>
      <c r="K244" s="102">
        <v>45978</v>
      </c>
      <c r="L244" s="327"/>
      <c r="M244" s="106">
        <v>44820</v>
      </c>
      <c r="N244" s="113" t="s">
        <v>1787</v>
      </c>
      <c r="O244" s="113" t="s">
        <v>1788</v>
      </c>
      <c r="P244" s="57" t="s">
        <v>1789</v>
      </c>
      <c r="Q244" s="132">
        <v>9.2499999999999999E-2</v>
      </c>
      <c r="R244" s="132">
        <v>0.09</v>
      </c>
      <c r="S244" s="63" t="s">
        <v>507</v>
      </c>
      <c r="T244" s="67" t="s">
        <v>1790</v>
      </c>
      <c r="U244" s="67" t="s">
        <v>509</v>
      </c>
      <c r="V244" s="113" t="s">
        <v>106</v>
      </c>
      <c r="W244" s="222">
        <v>94965</v>
      </c>
      <c r="X244" s="139" t="s">
        <v>1791</v>
      </c>
      <c r="Y244" s="139" t="s">
        <v>1791</v>
      </c>
      <c r="Z244" s="139" t="s">
        <v>1791</v>
      </c>
      <c r="AA244" s="200" t="s">
        <v>1792</v>
      </c>
      <c r="AB244" s="130" t="s">
        <v>1793</v>
      </c>
      <c r="AC244" s="202" t="s">
        <v>1738</v>
      </c>
      <c r="AD244" s="200" t="s">
        <v>1794</v>
      </c>
      <c r="AE244" s="113" t="s">
        <v>1795</v>
      </c>
      <c r="AF244" s="113" t="s">
        <v>1796</v>
      </c>
      <c r="AG244" s="113" t="s">
        <v>1797</v>
      </c>
      <c r="AH244" s="113"/>
      <c r="AI244" s="57" t="s">
        <v>1798</v>
      </c>
      <c r="AJ244" s="322" t="s">
        <v>116</v>
      </c>
      <c r="AK244" s="53" t="s">
        <v>1799</v>
      </c>
      <c r="AL244" s="287" t="s">
        <v>289</v>
      </c>
      <c r="AM244" s="288">
        <v>13305</v>
      </c>
      <c r="AN244" s="288" t="s">
        <v>290</v>
      </c>
      <c r="AO244" s="288">
        <v>67240</v>
      </c>
      <c r="AP244" s="288"/>
      <c r="AQ244" s="288" t="s">
        <v>1800</v>
      </c>
      <c r="AR244" s="288"/>
      <c r="AS244" s="207" t="s">
        <v>132</v>
      </c>
      <c r="AT244" s="116" t="s">
        <v>447</v>
      </c>
      <c r="AU244" s="67" t="str">
        <f>PROPER(AV244)</f>
        <v>350 Harbor Drive</v>
      </c>
      <c r="AV244" s="251" t="s">
        <v>1801</v>
      </c>
      <c r="AW244" s="67" t="s">
        <v>509</v>
      </c>
      <c r="AX244" s="113" t="s">
        <v>106</v>
      </c>
      <c r="AY244" s="222">
        <v>94965</v>
      </c>
      <c r="AZ244" s="199" t="s">
        <v>1788</v>
      </c>
      <c r="BA244" s="75"/>
    </row>
    <row r="245" spans="1:53" s="251" customFormat="1" ht="14.15" customHeight="1" x14ac:dyDescent="0.4">
      <c r="A245" s="256" t="s">
        <v>1802</v>
      </c>
      <c r="B245" s="67" t="s">
        <v>125</v>
      </c>
      <c r="C245" s="111" t="s">
        <v>99</v>
      </c>
      <c r="D245" s="79" t="s">
        <v>1803</v>
      </c>
      <c r="E245" s="118" t="s">
        <v>100</v>
      </c>
      <c r="F245" s="80"/>
      <c r="G245" s="81"/>
      <c r="H245" s="92" t="s">
        <v>100</v>
      </c>
      <c r="I245" s="86"/>
      <c r="J245" s="96"/>
      <c r="K245" s="100">
        <v>44641</v>
      </c>
      <c r="L245" s="328"/>
      <c r="M245" s="104"/>
      <c r="N245" s="128" t="s">
        <v>1804</v>
      </c>
      <c r="O245" s="128" t="s">
        <v>1805</v>
      </c>
      <c r="P245" s="59" t="s">
        <v>1806</v>
      </c>
      <c r="Q245" s="132">
        <v>8.6249999999999993E-2</v>
      </c>
      <c r="R245" s="132">
        <v>8.7499999999999994E-2</v>
      </c>
      <c r="S245" s="63" t="s">
        <v>103</v>
      </c>
      <c r="T245" s="67" t="s">
        <v>1807</v>
      </c>
      <c r="U245" s="67" t="s">
        <v>105</v>
      </c>
      <c r="V245" s="79" t="s">
        <v>106</v>
      </c>
      <c r="W245" s="76">
        <v>94124</v>
      </c>
      <c r="X245" s="339"/>
      <c r="Y245" s="319"/>
      <c r="Z245" s="63"/>
      <c r="AA245" s="79" t="s">
        <v>1808</v>
      </c>
      <c r="AB245" s="135"/>
      <c r="AC245" s="136" t="s">
        <v>1809</v>
      </c>
      <c r="AD245" s="79" t="s">
        <v>1810</v>
      </c>
      <c r="AE245" s="128" t="s">
        <v>1809</v>
      </c>
      <c r="AF245" s="128" t="s">
        <v>1811</v>
      </c>
      <c r="AG245" s="128"/>
      <c r="AH245" s="128"/>
      <c r="AI245" s="135" t="s">
        <v>0</v>
      </c>
      <c r="AJ245" s="135" t="s">
        <v>116</v>
      </c>
      <c r="AK245" s="58"/>
      <c r="AL245" s="287" t="s">
        <v>289</v>
      </c>
      <c r="AM245" s="288"/>
      <c r="AN245" s="288"/>
      <c r="AO245" s="288"/>
      <c r="AP245" s="288"/>
      <c r="AQ245" s="288"/>
      <c r="AR245" s="288"/>
      <c r="AS245" s="207" t="s">
        <v>132</v>
      </c>
      <c r="AT245" s="116" t="s">
        <v>447</v>
      </c>
      <c r="AU245" s="67" t="str">
        <f>PROPER(AV245)</f>
        <v>470 Bayshore Blvd</v>
      </c>
      <c r="AV245" s="66" t="s">
        <v>1812</v>
      </c>
      <c r="AW245" s="67" t="s">
        <v>105</v>
      </c>
      <c r="AX245" s="79" t="s">
        <v>106</v>
      </c>
      <c r="AY245" s="76">
        <v>94124</v>
      </c>
      <c r="AZ245" s="77" t="s">
        <v>1805</v>
      </c>
      <c r="BA245" s="75"/>
    </row>
    <row r="246" spans="1:53" s="251" customFormat="1" ht="14.15" customHeight="1" x14ac:dyDescent="0.4">
      <c r="A246" s="256" t="s">
        <v>1813</v>
      </c>
      <c r="B246" s="67" t="s">
        <v>1637</v>
      </c>
      <c r="C246" s="109" t="s">
        <v>563</v>
      </c>
      <c r="D246" s="79"/>
      <c r="E246" s="120" t="s">
        <v>100</v>
      </c>
      <c r="F246" s="80"/>
      <c r="G246" s="81"/>
      <c r="H246" s="92" t="s">
        <v>100</v>
      </c>
      <c r="I246" s="86"/>
      <c r="J246" s="96"/>
      <c r="K246" s="100">
        <v>44740</v>
      </c>
      <c r="L246" s="328"/>
      <c r="M246" s="104">
        <v>44228</v>
      </c>
      <c r="N246" s="128" t="s">
        <v>191</v>
      </c>
      <c r="O246" s="128" t="s">
        <v>200</v>
      </c>
      <c r="P246" s="59"/>
      <c r="Q246" s="132">
        <v>0.09</v>
      </c>
      <c r="R246" s="132"/>
      <c r="S246" s="63" t="s">
        <v>734</v>
      </c>
      <c r="T246" s="67" t="s">
        <v>1814</v>
      </c>
      <c r="U246" s="67" t="s">
        <v>701</v>
      </c>
      <c r="V246" s="79" t="s">
        <v>106</v>
      </c>
      <c r="W246" s="76">
        <v>94925</v>
      </c>
      <c r="X246" s="147"/>
      <c r="Y246" s="236"/>
      <c r="Z246" s="234"/>
      <c r="AA246" s="79"/>
      <c r="AB246" s="135"/>
      <c r="AC246" s="136"/>
      <c r="AD246" s="79"/>
      <c r="AE246" s="128"/>
      <c r="AF246" s="128"/>
      <c r="AG246" s="128"/>
      <c r="AH246" s="128"/>
      <c r="AI246" s="135"/>
      <c r="AJ246" s="135"/>
      <c r="AK246" s="58"/>
      <c r="AL246" s="287" t="s">
        <v>149</v>
      </c>
      <c r="AM246" s="288">
        <v>13305</v>
      </c>
      <c r="AN246" s="288" t="s">
        <v>198</v>
      </c>
      <c r="AO246" s="288">
        <v>62245</v>
      </c>
      <c r="AP246" s="288"/>
      <c r="AQ246" s="288"/>
      <c r="AR246" s="288"/>
      <c r="AS246" s="207" t="s">
        <v>132</v>
      </c>
      <c r="AT246" s="116" t="s">
        <v>447</v>
      </c>
      <c r="AU246" s="67" t="s">
        <v>1814</v>
      </c>
      <c r="AV246" s="66"/>
      <c r="AW246" s="67" t="s">
        <v>701</v>
      </c>
      <c r="AX246" s="79" t="s">
        <v>106</v>
      </c>
      <c r="AY246" s="76">
        <v>94925</v>
      </c>
      <c r="AZ246" s="77" t="s">
        <v>200</v>
      </c>
      <c r="BA246" s="75"/>
    </row>
    <row r="247" spans="1:53" s="251" customFormat="1" ht="13.5" customHeight="1" x14ac:dyDescent="0.4">
      <c r="A247" s="256" t="s">
        <v>1815</v>
      </c>
      <c r="B247" s="67" t="s">
        <v>1637</v>
      </c>
      <c r="C247" s="109" t="s">
        <v>563</v>
      </c>
      <c r="D247" s="79"/>
      <c r="E247" s="120" t="s">
        <v>100</v>
      </c>
      <c r="F247" s="80"/>
      <c r="G247" s="81"/>
      <c r="H247" s="92" t="s">
        <v>100</v>
      </c>
      <c r="I247" s="86"/>
      <c r="J247" s="96"/>
      <c r="K247" s="100">
        <v>44400</v>
      </c>
      <c r="L247" s="328"/>
      <c r="M247" s="104">
        <v>44364</v>
      </c>
      <c r="N247" s="128" t="s">
        <v>307</v>
      </c>
      <c r="O247" s="128" t="s">
        <v>1816</v>
      </c>
      <c r="P247" s="59"/>
      <c r="Q247" s="132">
        <v>8.6249999999999993E-2</v>
      </c>
      <c r="R247" s="132"/>
      <c r="S247" s="63" t="s">
        <v>103</v>
      </c>
      <c r="T247" s="67" t="s">
        <v>1817</v>
      </c>
      <c r="U247" s="67" t="s">
        <v>105</v>
      </c>
      <c r="V247" s="79" t="s">
        <v>106</v>
      </c>
      <c r="W247" s="76">
        <v>94123</v>
      </c>
      <c r="X247" s="141" t="s">
        <v>1818</v>
      </c>
      <c r="Y247" s="236"/>
      <c r="Z247" s="234"/>
      <c r="AA247" s="79"/>
      <c r="AB247" s="135"/>
      <c r="AC247" s="136"/>
      <c r="AD247" s="79"/>
      <c r="AE247" s="128"/>
      <c r="AF247" s="128"/>
      <c r="AG247" s="128"/>
      <c r="AH247" s="128"/>
      <c r="AI247" s="135"/>
      <c r="AJ247" s="135"/>
      <c r="AK247" s="58"/>
      <c r="AL247" s="287" t="s">
        <v>149</v>
      </c>
      <c r="AM247" s="288">
        <v>13305</v>
      </c>
      <c r="AN247" s="288" t="s">
        <v>198</v>
      </c>
      <c r="AO247" s="288">
        <v>62245</v>
      </c>
      <c r="AP247" s="288"/>
      <c r="AQ247" s="288"/>
      <c r="AR247" s="288"/>
      <c r="AS247" s="207" t="s">
        <v>132</v>
      </c>
      <c r="AT247" s="116" t="s">
        <v>447</v>
      </c>
      <c r="AU247" s="67" t="s">
        <v>1817</v>
      </c>
      <c r="AV247" s="66"/>
      <c r="AW247" s="67" t="s">
        <v>105</v>
      </c>
      <c r="AX247" s="79" t="s">
        <v>106</v>
      </c>
      <c r="AY247" s="76">
        <v>94123</v>
      </c>
      <c r="AZ247" s="77" t="s">
        <v>200</v>
      </c>
      <c r="BA247" s="75"/>
    </row>
    <row r="248" spans="1:53" s="251" customFormat="1" ht="14.15" customHeight="1" x14ac:dyDescent="0.4">
      <c r="A248" s="256" t="s">
        <v>1819</v>
      </c>
      <c r="B248" s="67" t="s">
        <v>98</v>
      </c>
      <c r="C248" s="111" t="s">
        <v>563</v>
      </c>
      <c r="D248" s="115"/>
      <c r="E248" s="120" t="s">
        <v>100</v>
      </c>
      <c r="F248" s="82"/>
      <c r="G248" s="84"/>
      <c r="H248" s="90" t="s">
        <v>100</v>
      </c>
      <c r="I248" s="91"/>
      <c r="J248" s="97"/>
      <c r="K248" s="102">
        <v>45097</v>
      </c>
      <c r="L248" s="327"/>
      <c r="M248" s="106"/>
      <c r="N248" s="113" t="s">
        <v>1804</v>
      </c>
      <c r="O248" s="130" t="s">
        <v>1820</v>
      </c>
      <c r="P248" s="57"/>
      <c r="Q248" s="132">
        <v>8.6249999999999993E-2</v>
      </c>
      <c r="R248" s="132"/>
      <c r="S248" s="63" t="s">
        <v>103</v>
      </c>
      <c r="T248" s="67" t="s">
        <v>1821</v>
      </c>
      <c r="U248" s="67" t="s">
        <v>105</v>
      </c>
      <c r="V248" s="113" t="s">
        <v>106</v>
      </c>
      <c r="W248" s="222">
        <v>94124</v>
      </c>
      <c r="X248" s="141" t="s">
        <v>1822</v>
      </c>
      <c r="Y248" s="139" t="s">
        <v>1823</v>
      </c>
      <c r="Z248" s="139" t="s">
        <v>1823</v>
      </c>
      <c r="AA248" s="200"/>
      <c r="AB248" s="130"/>
      <c r="AC248" s="202"/>
      <c r="AD248" s="200"/>
      <c r="AE248" s="113"/>
      <c r="AF248" s="113"/>
      <c r="AG248" s="113"/>
      <c r="AH248" s="113"/>
      <c r="AI248" s="130"/>
      <c r="AJ248" s="135"/>
      <c r="AK248" s="57"/>
      <c r="AL248" s="287" t="s">
        <v>149</v>
      </c>
      <c r="AM248" s="288"/>
      <c r="AN248" s="288"/>
      <c r="AO248" s="288"/>
      <c r="AP248" s="288"/>
      <c r="AQ248" s="288"/>
      <c r="AR248" s="288"/>
      <c r="AS248" s="207"/>
      <c r="AT248" s="116" t="s">
        <v>1802</v>
      </c>
      <c r="AU248" s="67" t="s">
        <v>1807</v>
      </c>
      <c r="AW248" s="67" t="s">
        <v>105</v>
      </c>
      <c r="AX248" s="113" t="s">
        <v>106</v>
      </c>
      <c r="AY248" s="222">
        <v>94124</v>
      </c>
      <c r="AZ248" s="57" t="s">
        <v>1805</v>
      </c>
      <c r="BA248" s="317"/>
    </row>
    <row r="249" spans="1:53" s="251" customFormat="1" ht="14.15" customHeight="1" x14ac:dyDescent="0.4">
      <c r="A249" s="256" t="s">
        <v>1824</v>
      </c>
      <c r="B249" s="67" t="s">
        <v>125</v>
      </c>
      <c r="C249" s="111" t="s">
        <v>99</v>
      </c>
      <c r="D249" s="115" t="s">
        <v>1825</v>
      </c>
      <c r="E249" s="120" t="s">
        <v>100</v>
      </c>
      <c r="F249" s="82"/>
      <c r="G249" s="84"/>
      <c r="H249" s="90" t="s">
        <v>100</v>
      </c>
      <c r="I249" s="91"/>
      <c r="J249" s="97"/>
      <c r="K249" s="102">
        <v>44410</v>
      </c>
      <c r="L249" s="327"/>
      <c r="M249" s="106">
        <v>44679</v>
      </c>
      <c r="N249" s="113" t="s">
        <v>1826</v>
      </c>
      <c r="O249" s="113" t="s">
        <v>1827</v>
      </c>
      <c r="P249" s="57" t="s">
        <v>1828</v>
      </c>
      <c r="Q249" s="132">
        <v>8.6249999999999993E-2</v>
      </c>
      <c r="R249" s="132"/>
      <c r="S249" s="63" t="s">
        <v>103</v>
      </c>
      <c r="T249" s="67" t="s">
        <v>1829</v>
      </c>
      <c r="U249" s="67" t="s">
        <v>105</v>
      </c>
      <c r="V249" s="113" t="s">
        <v>106</v>
      </c>
      <c r="W249" s="222">
        <v>94118</v>
      </c>
      <c r="X249" s="141" t="s">
        <v>1830</v>
      </c>
      <c r="Y249" s="139" t="s">
        <v>1830</v>
      </c>
      <c r="Z249" s="139" t="s">
        <v>1830</v>
      </c>
      <c r="AA249" s="200"/>
      <c r="AB249" s="130"/>
      <c r="AC249" s="202"/>
      <c r="AD249" s="200"/>
      <c r="AE249" s="113"/>
      <c r="AF249" s="113"/>
      <c r="AG249" s="113"/>
      <c r="AH249" s="113"/>
      <c r="AI249" s="130"/>
      <c r="AJ249" s="135"/>
      <c r="AK249" s="57"/>
      <c r="AL249" s="287">
        <v>3712</v>
      </c>
      <c r="AM249" s="288">
        <v>15157</v>
      </c>
      <c r="AN249" s="288">
        <v>44150</v>
      </c>
      <c r="AO249" s="288">
        <v>62285</v>
      </c>
      <c r="AP249" s="288"/>
      <c r="AQ249" s="288"/>
      <c r="AR249" s="288"/>
      <c r="AS249" s="207"/>
      <c r="AT249" s="116"/>
      <c r="AU249" s="67" t="s">
        <v>1831</v>
      </c>
      <c r="AW249" s="67" t="s">
        <v>105</v>
      </c>
      <c r="AX249" s="113" t="s">
        <v>106</v>
      </c>
      <c r="AY249" s="222">
        <v>94118</v>
      </c>
      <c r="AZ249" s="199" t="s">
        <v>1832</v>
      </c>
      <c r="BA249" s="317"/>
    </row>
    <row r="250" spans="1:53" ht="14.15" customHeight="1" x14ac:dyDescent="0.4">
      <c r="A250" s="256" t="s">
        <v>1833</v>
      </c>
      <c r="B250" s="67" t="s">
        <v>269</v>
      </c>
      <c r="C250" s="111" t="s">
        <v>109</v>
      </c>
      <c r="D250" s="115"/>
      <c r="E250" s="120" t="s">
        <v>100</v>
      </c>
      <c r="F250" s="82"/>
      <c r="G250" s="84"/>
      <c r="H250" s="90" t="s">
        <v>100</v>
      </c>
      <c r="I250" s="91"/>
      <c r="J250" s="97"/>
      <c r="K250" s="102"/>
      <c r="L250" s="327"/>
      <c r="M250" s="106">
        <v>44320</v>
      </c>
      <c r="N250" s="113" t="s">
        <v>1834</v>
      </c>
      <c r="O250" s="113" t="s">
        <v>1835</v>
      </c>
      <c r="P250" s="57" t="s">
        <v>1836</v>
      </c>
      <c r="Q250" s="132">
        <v>9.2499999999999999E-2</v>
      </c>
      <c r="R250" s="132"/>
      <c r="S250" s="63" t="s">
        <v>262</v>
      </c>
      <c r="T250" s="57" t="s">
        <v>1837</v>
      </c>
      <c r="U250" s="67" t="s">
        <v>1838</v>
      </c>
      <c r="V250" s="113" t="s">
        <v>106</v>
      </c>
      <c r="W250" s="222">
        <v>95462</v>
      </c>
      <c r="X250" s="141"/>
      <c r="Z250" s="236"/>
      <c r="AA250" s="200"/>
      <c r="AB250" s="130"/>
      <c r="AC250" s="202"/>
      <c r="AD250" s="200"/>
      <c r="AE250" s="113"/>
      <c r="AF250" s="113"/>
      <c r="AG250" s="113"/>
      <c r="AH250" s="113"/>
      <c r="AI250" s="130"/>
      <c r="AK250" s="57"/>
      <c r="AS250" s="207"/>
      <c r="AU250" s="57" t="s">
        <v>1837</v>
      </c>
      <c r="AV250" s="251"/>
      <c r="AW250" s="67" t="s">
        <v>1838</v>
      </c>
      <c r="AX250" s="113" t="s">
        <v>106</v>
      </c>
      <c r="AY250" s="222">
        <v>95462</v>
      </c>
      <c r="AZ250" s="199" t="s">
        <v>1835</v>
      </c>
      <c r="BA250" s="317"/>
    </row>
    <row r="251" spans="1:53" ht="14.15" customHeight="1" x14ac:dyDescent="0.4">
      <c r="A251" s="256" t="s">
        <v>1839</v>
      </c>
      <c r="B251" s="67" t="s">
        <v>98</v>
      </c>
      <c r="C251" s="111" t="s">
        <v>563</v>
      </c>
      <c r="E251" s="118" t="s">
        <v>100</v>
      </c>
      <c r="F251" s="80"/>
      <c r="G251" s="81"/>
      <c r="H251" s="92" t="s">
        <v>100</v>
      </c>
      <c r="I251" s="86"/>
      <c r="J251" s="96"/>
      <c r="K251" s="100">
        <v>45628</v>
      </c>
      <c r="L251" s="328"/>
      <c r="M251" s="104"/>
      <c r="N251" s="128" t="s">
        <v>1840</v>
      </c>
      <c r="O251" s="128" t="s">
        <v>1841</v>
      </c>
      <c r="P251" s="59" t="s">
        <v>1842</v>
      </c>
      <c r="Q251" s="132">
        <v>9.2499999999999999E-2</v>
      </c>
      <c r="R251" s="132">
        <v>8.1299999999999997E-2</v>
      </c>
      <c r="S251" s="63" t="s">
        <v>1843</v>
      </c>
      <c r="T251" s="67" t="s">
        <v>1844</v>
      </c>
      <c r="U251" s="67" t="s">
        <v>1845</v>
      </c>
      <c r="V251" s="79" t="s">
        <v>106</v>
      </c>
      <c r="W251" s="76">
        <v>93921</v>
      </c>
      <c r="X251" s="141" t="s">
        <v>1846</v>
      </c>
      <c r="AA251" s="79" t="s">
        <v>1847</v>
      </c>
      <c r="AE251" s="128" t="s">
        <v>1848</v>
      </c>
      <c r="AF251" s="128" t="s">
        <v>1849</v>
      </c>
      <c r="AI251" s="135" t="s">
        <v>1850</v>
      </c>
      <c r="AJ251" s="135" t="s">
        <v>116</v>
      </c>
      <c r="AL251" s="287" t="s">
        <v>289</v>
      </c>
      <c r="AM251" s="288">
        <v>13305</v>
      </c>
      <c r="AN251" s="288" t="s">
        <v>1851</v>
      </c>
      <c r="AO251" s="288">
        <v>62245</v>
      </c>
      <c r="AR251" s="288" t="s">
        <v>198</v>
      </c>
      <c r="AS251" s="207" t="s">
        <v>132</v>
      </c>
      <c r="AT251" s="116" t="s">
        <v>447</v>
      </c>
      <c r="AU251" s="67" t="s">
        <v>1852</v>
      </c>
      <c r="AV251" s="66" t="s">
        <v>1853</v>
      </c>
      <c r="AW251" s="67" t="s">
        <v>1845</v>
      </c>
      <c r="AX251" s="79" t="s">
        <v>106</v>
      </c>
      <c r="AY251" s="76">
        <v>93921</v>
      </c>
      <c r="AZ251" s="77" t="s">
        <v>1841</v>
      </c>
    </row>
    <row r="252" spans="1:53" s="251" customFormat="1" ht="14.15" customHeight="1" x14ac:dyDescent="0.4">
      <c r="A252" s="256" t="s">
        <v>1854</v>
      </c>
      <c r="B252" s="67" t="s">
        <v>125</v>
      </c>
      <c r="C252" s="111" t="s">
        <v>99</v>
      </c>
      <c r="D252" s="79" t="s">
        <v>1855</v>
      </c>
      <c r="E252" s="118" t="s">
        <v>100</v>
      </c>
      <c r="F252" s="80"/>
      <c r="G252" s="81"/>
      <c r="H252" s="92" t="s">
        <v>100</v>
      </c>
      <c r="I252" s="86"/>
      <c r="J252" s="96"/>
      <c r="K252" s="100">
        <v>44477</v>
      </c>
      <c r="L252" s="328"/>
      <c r="M252" s="104">
        <v>43192</v>
      </c>
      <c r="N252" s="128" t="s">
        <v>1856</v>
      </c>
      <c r="O252" s="128" t="s">
        <v>1857</v>
      </c>
      <c r="P252" s="59" t="s">
        <v>1858</v>
      </c>
      <c r="Q252" s="132">
        <v>8.8749999999999996E-2</v>
      </c>
      <c r="R252" s="132">
        <v>8.1250000000000003E-2</v>
      </c>
      <c r="S252" s="63" t="s">
        <v>1859</v>
      </c>
      <c r="T252" s="67" t="s">
        <v>1860</v>
      </c>
      <c r="U252" s="67" t="s">
        <v>1859</v>
      </c>
      <c r="V252" s="79" t="s">
        <v>106</v>
      </c>
      <c r="W252" s="76">
        <v>95482</v>
      </c>
      <c r="X252" s="147"/>
      <c r="Y252" s="236"/>
      <c r="Z252" s="234"/>
      <c r="AA252" s="79" t="s">
        <v>1861</v>
      </c>
      <c r="AB252" s="135"/>
      <c r="AC252" s="136"/>
      <c r="AD252" s="79"/>
      <c r="AE252" s="128"/>
      <c r="AF252" s="128"/>
      <c r="AG252" s="128"/>
      <c r="AH252" s="128"/>
      <c r="AI252" s="135" t="s">
        <v>1862</v>
      </c>
      <c r="AJ252" s="135"/>
      <c r="AK252" s="58"/>
      <c r="AL252" s="287">
        <v>44150</v>
      </c>
      <c r="AM252" s="288"/>
      <c r="AN252" s="288"/>
      <c r="AO252" s="288">
        <v>62225</v>
      </c>
      <c r="AP252" s="288">
        <v>67655</v>
      </c>
      <c r="AQ252" s="288"/>
      <c r="AR252" s="288"/>
      <c r="AS252" s="207" t="s">
        <v>132</v>
      </c>
      <c r="AT252" s="116" t="s">
        <v>447</v>
      </c>
      <c r="AU252" s="67" t="s">
        <v>1860</v>
      </c>
      <c r="AV252" s="66"/>
      <c r="AW252" s="67" t="s">
        <v>1859</v>
      </c>
      <c r="AX252" s="79" t="s">
        <v>106</v>
      </c>
      <c r="AY252" s="76">
        <v>95482</v>
      </c>
      <c r="AZ252" s="77" t="s">
        <v>1857</v>
      </c>
      <c r="BA252" s="75"/>
    </row>
    <row r="253" spans="1:53" s="251" customFormat="1" ht="14.15" customHeight="1" x14ac:dyDescent="0.25">
      <c r="A253" s="256" t="s">
        <v>1863</v>
      </c>
      <c r="B253" s="67" t="s">
        <v>98</v>
      </c>
      <c r="C253" s="109" t="s">
        <v>99</v>
      </c>
      <c r="D253" s="79"/>
      <c r="E253" s="118" t="s">
        <v>100</v>
      </c>
      <c r="F253" s="80"/>
      <c r="G253" s="81"/>
      <c r="H253" s="92" t="s">
        <v>100</v>
      </c>
      <c r="I253" s="86"/>
      <c r="J253" s="96"/>
      <c r="K253" s="100">
        <v>44448</v>
      </c>
      <c r="L253" s="328"/>
      <c r="M253" s="104"/>
      <c r="N253" s="128" t="s">
        <v>1864</v>
      </c>
      <c r="O253" s="128" t="s">
        <v>1865</v>
      </c>
      <c r="P253" s="59"/>
      <c r="Q253" s="132">
        <v>9.8750000000000004E-2</v>
      </c>
      <c r="R253" s="132"/>
      <c r="S253" s="63" t="s">
        <v>1265</v>
      </c>
      <c r="T253" s="67" t="s">
        <v>1866</v>
      </c>
      <c r="U253" s="67" t="s">
        <v>1267</v>
      </c>
      <c r="V253" s="79" t="s">
        <v>106</v>
      </c>
      <c r="W253" s="76">
        <v>94080</v>
      </c>
      <c r="X253" s="147"/>
      <c r="Y253" s="236"/>
      <c r="Z253" s="234"/>
      <c r="AA253" s="79"/>
      <c r="AB253" s="135"/>
      <c r="AC253" s="136"/>
      <c r="AD253" s="79"/>
      <c r="AE253" s="128"/>
      <c r="AF253" s="128"/>
      <c r="AG253" s="128"/>
      <c r="AH253" s="128"/>
      <c r="AI253" s="135"/>
      <c r="AJ253" s="135"/>
      <c r="AK253" s="58"/>
      <c r="AL253" s="287" t="s">
        <v>149</v>
      </c>
      <c r="AM253" s="288">
        <v>13305</v>
      </c>
      <c r="AN253" s="288"/>
      <c r="AO253" s="288">
        <v>67240</v>
      </c>
      <c r="AP253" s="288" t="s">
        <v>1867</v>
      </c>
      <c r="AQ253" s="288"/>
      <c r="AR253" s="288"/>
      <c r="AS253" s="207" t="s">
        <v>132</v>
      </c>
      <c r="AT253" s="116" t="s">
        <v>447</v>
      </c>
      <c r="AU253" s="67" t="s">
        <v>1866</v>
      </c>
      <c r="AV253" s="66"/>
      <c r="AW253" s="67" t="s">
        <v>1267</v>
      </c>
      <c r="AX253" s="79" t="s">
        <v>106</v>
      </c>
      <c r="AY253" s="76">
        <v>94080</v>
      </c>
      <c r="AZ253" s="77" t="s">
        <v>1865</v>
      </c>
      <c r="BA253" s="75"/>
    </row>
    <row r="254" spans="1:53" s="251" customFormat="1" ht="14.15" customHeight="1" x14ac:dyDescent="0.4">
      <c r="A254" s="256" t="s">
        <v>1868</v>
      </c>
      <c r="B254" s="67" t="s">
        <v>125</v>
      </c>
      <c r="C254" s="111" t="s">
        <v>99</v>
      </c>
      <c r="D254" s="79" t="s">
        <v>1869</v>
      </c>
      <c r="E254" s="118" t="s">
        <v>100</v>
      </c>
      <c r="F254" s="80"/>
      <c r="G254" s="81"/>
      <c r="H254" s="92" t="s">
        <v>100</v>
      </c>
      <c r="I254" s="86"/>
      <c r="J254" s="96"/>
      <c r="K254" s="100"/>
      <c r="L254" s="328"/>
      <c r="M254" s="104">
        <v>44046</v>
      </c>
      <c r="N254" s="128" t="s">
        <v>1870</v>
      </c>
      <c r="O254" s="128" t="s">
        <v>1871</v>
      </c>
      <c r="P254" s="59"/>
      <c r="Q254" s="132">
        <v>9.7500000000000003E-2</v>
      </c>
      <c r="R254" s="131">
        <v>9.2499999999999999E-2</v>
      </c>
      <c r="S254" s="63" t="s">
        <v>1872</v>
      </c>
      <c r="T254" s="67" t="s">
        <v>1873</v>
      </c>
      <c r="U254" s="67" t="s">
        <v>1872</v>
      </c>
      <c r="V254" s="79" t="s">
        <v>106</v>
      </c>
      <c r="W254" s="76">
        <v>94564</v>
      </c>
      <c r="X254" s="147"/>
      <c r="Y254" s="236"/>
      <c r="Z254" s="234"/>
      <c r="AA254" s="79" t="s">
        <v>1874</v>
      </c>
      <c r="AB254" s="135"/>
      <c r="AC254" s="136"/>
      <c r="AD254" s="79"/>
      <c r="AE254" s="128"/>
      <c r="AF254" s="128"/>
      <c r="AG254" s="128"/>
      <c r="AH254" s="128"/>
      <c r="AI254" s="135"/>
      <c r="AJ254" s="135"/>
      <c r="AK254" s="58"/>
      <c r="AL254" s="287"/>
      <c r="AM254" s="288"/>
      <c r="AN254" s="288"/>
      <c r="AO254" s="288"/>
      <c r="AP254" s="288"/>
      <c r="AQ254" s="288"/>
      <c r="AR254" s="288"/>
      <c r="AS254" s="207" t="s">
        <v>132</v>
      </c>
      <c r="AT254" s="116" t="s">
        <v>447</v>
      </c>
      <c r="AU254" s="67" t="s">
        <v>1873</v>
      </c>
      <c r="AV254" s="66"/>
      <c r="AW254" s="67" t="s">
        <v>1872</v>
      </c>
      <c r="AX254" s="79" t="s">
        <v>106</v>
      </c>
      <c r="AY254" s="76">
        <v>94564</v>
      </c>
      <c r="AZ254" s="77" t="s">
        <v>1871</v>
      </c>
      <c r="BA254" s="75"/>
    </row>
    <row r="255" spans="1:53" s="251" customFormat="1" ht="14.15" customHeight="1" x14ac:dyDescent="0.25">
      <c r="A255" s="256" t="s">
        <v>1875</v>
      </c>
      <c r="B255" s="67" t="s">
        <v>269</v>
      </c>
      <c r="C255" s="109" t="s">
        <v>109</v>
      </c>
      <c r="D255" s="79" t="s">
        <v>1876</v>
      </c>
      <c r="E255" s="118" t="s">
        <v>100</v>
      </c>
      <c r="F255" s="80"/>
      <c r="G255" s="81"/>
      <c r="H255" s="92" t="s">
        <v>100</v>
      </c>
      <c r="I255" s="86"/>
      <c r="J255" s="96"/>
      <c r="K255" s="100"/>
      <c r="L255" s="328"/>
      <c r="M255" s="104">
        <v>44055</v>
      </c>
      <c r="N255" s="128" t="s">
        <v>1877</v>
      </c>
      <c r="O255" s="77" t="s">
        <v>1878</v>
      </c>
      <c r="P255" s="344"/>
      <c r="Q255" s="132">
        <v>0.10249999999999999</v>
      </c>
      <c r="R255" s="132">
        <v>9.5000000000000001E-2</v>
      </c>
      <c r="S255" s="63" t="s">
        <v>113</v>
      </c>
      <c r="T255" s="67" t="s">
        <v>1879</v>
      </c>
      <c r="U255" s="67" t="s">
        <v>115</v>
      </c>
      <c r="V255" s="79" t="s">
        <v>106</v>
      </c>
      <c r="W255" s="76">
        <v>94612</v>
      </c>
      <c r="X255" s="141" t="s">
        <v>1880</v>
      </c>
      <c r="Y255" s="236"/>
      <c r="Z255" s="234"/>
      <c r="AA255" s="79"/>
      <c r="AB255" s="135"/>
      <c r="AC255" s="136"/>
      <c r="AD255" s="79"/>
      <c r="AE255" s="128"/>
      <c r="AF255" s="128"/>
      <c r="AG255" s="128"/>
      <c r="AH255" s="128"/>
      <c r="AI255" s="135" t="s">
        <v>1881</v>
      </c>
      <c r="AJ255" s="135"/>
      <c r="AK255" s="58"/>
      <c r="AL255" s="287"/>
      <c r="AM255" s="288"/>
      <c r="AN255" s="288"/>
      <c r="AO255" s="288"/>
      <c r="AP255" s="288"/>
      <c r="AQ255" s="288"/>
      <c r="AR255" s="288"/>
      <c r="AS255" s="207" t="s">
        <v>132</v>
      </c>
      <c r="AT255" s="116" t="s">
        <v>447</v>
      </c>
      <c r="AU255" s="67" t="s">
        <v>1879</v>
      </c>
      <c r="AV255" s="66"/>
      <c r="AW255" s="67" t="s">
        <v>115</v>
      </c>
      <c r="AX255" s="79" t="s">
        <v>106</v>
      </c>
      <c r="AY255" s="76">
        <v>94612</v>
      </c>
      <c r="AZ255" s="77" t="s">
        <v>1878</v>
      </c>
      <c r="BA255" s="75"/>
    </row>
    <row r="256" spans="1:53" s="251" customFormat="1" ht="14.15" customHeight="1" x14ac:dyDescent="0.4">
      <c r="A256" s="256" t="s">
        <v>1882</v>
      </c>
      <c r="B256" s="67" t="s">
        <v>244</v>
      </c>
      <c r="C256" s="111" t="s">
        <v>1076</v>
      </c>
      <c r="D256" s="115"/>
      <c r="E256" s="120" t="s">
        <v>173</v>
      </c>
      <c r="F256" s="82" t="s">
        <v>174</v>
      </c>
      <c r="G256" s="84"/>
      <c r="H256" s="90"/>
      <c r="I256" s="86"/>
      <c r="J256" s="97"/>
      <c r="K256" s="102">
        <v>43440</v>
      </c>
      <c r="L256" s="327"/>
      <c r="M256" s="106">
        <v>43467</v>
      </c>
      <c r="N256" s="113" t="s">
        <v>1883</v>
      </c>
      <c r="O256" s="113" t="s">
        <v>1884</v>
      </c>
      <c r="P256" s="57"/>
      <c r="Q256" s="132">
        <v>8.6249999999999993E-2</v>
      </c>
      <c r="R256" s="132"/>
      <c r="S256" s="63" t="s">
        <v>103</v>
      </c>
      <c r="T256" s="67" t="s">
        <v>1885</v>
      </c>
      <c r="U256" s="67" t="s">
        <v>105</v>
      </c>
      <c r="V256" s="113" t="s">
        <v>106</v>
      </c>
      <c r="W256" s="222">
        <v>94127</v>
      </c>
      <c r="X256" s="141" t="s">
        <v>1886</v>
      </c>
      <c r="Y256" s="236"/>
      <c r="Z256" s="236"/>
      <c r="AA256" s="200"/>
      <c r="AB256" s="130"/>
      <c r="AC256" s="202"/>
      <c r="AD256" s="200"/>
      <c r="AE256" s="113"/>
      <c r="AF256" s="113"/>
      <c r="AG256" s="113"/>
      <c r="AH256" s="113"/>
      <c r="AI256" s="130"/>
      <c r="AJ256" s="135"/>
      <c r="AK256" s="57"/>
      <c r="AL256" s="287" t="s">
        <v>289</v>
      </c>
      <c r="AM256" s="288">
        <v>13305</v>
      </c>
      <c r="AN256" s="288"/>
      <c r="AO256" s="288">
        <v>62245</v>
      </c>
      <c r="AP256" s="288"/>
      <c r="AQ256" s="288"/>
      <c r="AR256" s="288"/>
      <c r="AS256" s="207" t="s">
        <v>132</v>
      </c>
      <c r="AT256" s="116" t="s">
        <v>447</v>
      </c>
      <c r="AU256" s="67" t="s">
        <v>1885</v>
      </c>
      <c r="AW256" s="67" t="s">
        <v>105</v>
      </c>
      <c r="AX256" s="113" t="s">
        <v>106</v>
      </c>
      <c r="AY256" s="222">
        <v>94127</v>
      </c>
      <c r="AZ256" s="199" t="s">
        <v>1884</v>
      </c>
      <c r="BA256" s="317"/>
    </row>
    <row r="257" spans="1:53" s="251" customFormat="1" ht="14.15" customHeight="1" x14ac:dyDescent="0.4">
      <c r="A257" s="256" t="s">
        <v>1887</v>
      </c>
      <c r="B257" s="67" t="s">
        <v>98</v>
      </c>
      <c r="C257" s="110" t="s">
        <v>99</v>
      </c>
      <c r="D257" s="112"/>
      <c r="E257" s="119" t="s">
        <v>100</v>
      </c>
      <c r="F257" s="83"/>
      <c r="G257" s="209"/>
      <c r="H257" s="88" t="s">
        <v>100</v>
      </c>
      <c r="I257" s="89"/>
      <c r="J257" s="98"/>
      <c r="K257" s="101">
        <v>46007</v>
      </c>
      <c r="L257" s="329"/>
      <c r="M257" s="105">
        <v>44249</v>
      </c>
      <c r="N257" s="112" t="s">
        <v>1888</v>
      </c>
      <c r="O257" s="198" t="s">
        <v>1889</v>
      </c>
      <c r="P257" s="366" t="s">
        <v>1890</v>
      </c>
      <c r="Q257" s="132">
        <v>9.2499999999999999E-2</v>
      </c>
      <c r="R257" s="132">
        <v>7.4999999999999997E-2</v>
      </c>
      <c r="S257" s="63" t="s">
        <v>154</v>
      </c>
      <c r="T257" s="198" t="s">
        <v>1891</v>
      </c>
      <c r="U257" s="198" t="s">
        <v>156</v>
      </c>
      <c r="V257" s="112" t="s">
        <v>106</v>
      </c>
      <c r="W257" s="205">
        <v>95928</v>
      </c>
      <c r="X257" s="293"/>
      <c r="Y257" s="318"/>
      <c r="Z257" s="205"/>
      <c r="AA257" s="203"/>
      <c r="AB257" s="205"/>
      <c r="AC257" s="206"/>
      <c r="AD257" s="203"/>
      <c r="AE257" s="205"/>
      <c r="AF257" s="205"/>
      <c r="AG257" s="205"/>
      <c r="AH257" s="205"/>
      <c r="AI257" s="205" t="s">
        <v>1892</v>
      </c>
      <c r="AJ257" s="135" t="s">
        <v>116</v>
      </c>
      <c r="AK257" s="318"/>
      <c r="AL257" s="287" t="s">
        <v>149</v>
      </c>
      <c r="AM257" s="288">
        <v>13305</v>
      </c>
      <c r="AN257" s="288">
        <v>15185</v>
      </c>
      <c r="AO257" s="288">
        <v>62245</v>
      </c>
      <c r="AP257" s="288">
        <v>62235</v>
      </c>
      <c r="AQ257" s="288"/>
      <c r="AR257" s="288"/>
      <c r="AS257" s="207" t="s">
        <v>132</v>
      </c>
      <c r="AT257" s="116" t="s">
        <v>447</v>
      </c>
      <c r="AU257" s="198" t="s">
        <v>1891</v>
      </c>
      <c r="AV257" s="39"/>
      <c r="AW257" s="198" t="s">
        <v>156</v>
      </c>
      <c r="AX257" s="112" t="s">
        <v>106</v>
      </c>
      <c r="AY257" s="205">
        <v>95928</v>
      </c>
      <c r="AZ257" s="198" t="s">
        <v>1893</v>
      </c>
      <c r="BA257" s="75"/>
    </row>
    <row r="258" spans="1:53" s="251" customFormat="1" ht="14.15" customHeight="1" x14ac:dyDescent="0.4">
      <c r="A258" s="256" t="s">
        <v>1894</v>
      </c>
      <c r="B258" s="67" t="s">
        <v>125</v>
      </c>
      <c r="C258" s="111" t="s">
        <v>1262</v>
      </c>
      <c r="D258" s="113" t="s">
        <v>1895</v>
      </c>
      <c r="E258" s="120" t="s">
        <v>100</v>
      </c>
      <c r="F258" s="82"/>
      <c r="G258" s="84"/>
      <c r="H258" s="90" t="s">
        <v>100</v>
      </c>
      <c r="I258" s="91"/>
      <c r="J258" s="97"/>
      <c r="K258" s="102">
        <v>44322</v>
      </c>
      <c r="L258" s="327"/>
      <c r="M258" s="106">
        <v>45324</v>
      </c>
      <c r="N258" s="113" t="s">
        <v>1896</v>
      </c>
      <c r="O258" s="113" t="s">
        <v>1897</v>
      </c>
      <c r="P258" s="57" t="s">
        <v>1898</v>
      </c>
      <c r="Q258" s="132">
        <v>8.6249999999999993E-2</v>
      </c>
      <c r="R258" s="132">
        <v>8.7499999999999994E-2</v>
      </c>
      <c r="S258" s="63" t="s">
        <v>103</v>
      </c>
      <c r="T258" s="67" t="s">
        <v>1899</v>
      </c>
      <c r="U258" s="67" t="s">
        <v>105</v>
      </c>
      <c r="V258" s="113" t="s">
        <v>106</v>
      </c>
      <c r="W258" s="222">
        <v>94103</v>
      </c>
      <c r="X258" s="141" t="s">
        <v>1900</v>
      </c>
      <c r="Y258" s="143"/>
      <c r="Z258" s="143"/>
      <c r="AA258" s="200" t="s">
        <v>1896</v>
      </c>
      <c r="AB258" s="130"/>
      <c r="AC258" s="202"/>
      <c r="AD258" s="200"/>
      <c r="AE258" s="113"/>
      <c r="AF258" s="113"/>
      <c r="AG258" s="113"/>
      <c r="AH258" s="113"/>
      <c r="AI258" s="130" t="s">
        <v>1901</v>
      </c>
      <c r="AJ258" s="135" t="s">
        <v>116</v>
      </c>
      <c r="AK258" s="57"/>
      <c r="AL258" s="287">
        <v>15157</v>
      </c>
      <c r="AM258" s="288"/>
      <c r="AN258" s="288"/>
      <c r="AO258" s="288"/>
      <c r="AP258" s="288"/>
      <c r="AQ258" s="288"/>
      <c r="AR258" s="288"/>
      <c r="AS258" s="207" t="s">
        <v>132</v>
      </c>
      <c r="AT258" s="116" t="s">
        <v>447</v>
      </c>
      <c r="AU258" s="67" t="str">
        <f>PROPER(AV258)</f>
        <v>151 6Th Street</v>
      </c>
      <c r="AV258" s="251" t="s">
        <v>1902</v>
      </c>
      <c r="AW258" s="67" t="s">
        <v>105</v>
      </c>
      <c r="AX258" s="113" t="s">
        <v>106</v>
      </c>
      <c r="AY258" s="222">
        <v>94103</v>
      </c>
      <c r="AZ258" s="199" t="s">
        <v>1897</v>
      </c>
      <c r="BA258" s="75"/>
    </row>
    <row r="259" spans="1:53" ht="14.15" customHeight="1" x14ac:dyDescent="0.4">
      <c r="A259" s="256" t="s">
        <v>1903</v>
      </c>
      <c r="B259" s="67" t="s">
        <v>269</v>
      </c>
      <c r="C259" s="111" t="s">
        <v>1262</v>
      </c>
      <c r="D259" s="113"/>
      <c r="E259" s="204" t="s">
        <v>1904</v>
      </c>
      <c r="F259" s="82"/>
      <c r="G259" s="84"/>
      <c r="H259" s="90"/>
      <c r="I259" s="91"/>
      <c r="J259" s="97"/>
      <c r="K259" s="102"/>
      <c r="L259" s="327"/>
      <c r="M259" s="106">
        <v>45118</v>
      </c>
      <c r="N259" s="113" t="s">
        <v>1905</v>
      </c>
      <c r="O259" s="113" t="s">
        <v>1906</v>
      </c>
      <c r="P259" s="57" t="s">
        <v>1907</v>
      </c>
      <c r="Q259" s="132">
        <v>8.6249999999999993E-2</v>
      </c>
      <c r="R259" s="132">
        <v>8.7499999999999994E-2</v>
      </c>
      <c r="S259" s="63" t="s">
        <v>103</v>
      </c>
      <c r="T259" s="67" t="s">
        <v>1908</v>
      </c>
      <c r="U259" s="67" t="s">
        <v>105</v>
      </c>
      <c r="V259" s="113" t="s">
        <v>106</v>
      </c>
      <c r="W259" s="222">
        <v>94103</v>
      </c>
      <c r="X259" s="141" t="s">
        <v>1909</v>
      </c>
      <c r="Y259" s="143"/>
      <c r="Z259" s="143"/>
      <c r="AA259" s="200"/>
      <c r="AB259" s="130"/>
      <c r="AC259" s="202"/>
      <c r="AD259" s="200"/>
      <c r="AE259" s="113"/>
      <c r="AF259" s="113"/>
      <c r="AG259" s="113"/>
      <c r="AH259" s="113"/>
      <c r="AI259" s="130"/>
      <c r="AK259" s="57"/>
      <c r="AS259" s="207" t="s">
        <v>132</v>
      </c>
      <c r="AT259" s="116" t="s">
        <v>447</v>
      </c>
      <c r="AU259" s="67" t="s">
        <v>1908</v>
      </c>
      <c r="AV259" s="251"/>
      <c r="AW259" s="67" t="s">
        <v>105</v>
      </c>
      <c r="AX259" s="113" t="s">
        <v>106</v>
      </c>
      <c r="AY259" s="222">
        <v>94103</v>
      </c>
      <c r="AZ259" s="199" t="s">
        <v>1907</v>
      </c>
    </row>
    <row r="260" spans="1:53" ht="14.15" customHeight="1" x14ac:dyDescent="0.4">
      <c r="A260" s="256" t="s">
        <v>1910</v>
      </c>
      <c r="B260" s="67" t="s">
        <v>98</v>
      </c>
      <c r="C260" s="111" t="s">
        <v>99</v>
      </c>
      <c r="D260" s="115"/>
      <c r="E260" s="120" t="s">
        <v>100</v>
      </c>
      <c r="F260" s="82"/>
      <c r="G260" s="84"/>
      <c r="H260" s="90" t="s">
        <v>100</v>
      </c>
      <c r="I260" s="91"/>
      <c r="J260" s="97"/>
      <c r="K260" s="102"/>
      <c r="L260" s="327"/>
      <c r="M260" s="106">
        <v>44194</v>
      </c>
      <c r="N260" s="113" t="s">
        <v>1911</v>
      </c>
      <c r="O260" s="113" t="s">
        <v>1912</v>
      </c>
      <c r="P260" s="57" t="s">
        <v>1913</v>
      </c>
      <c r="Q260" s="132">
        <v>9.2499999999999999E-2</v>
      </c>
      <c r="R260" s="132"/>
      <c r="S260" s="63" t="s">
        <v>507</v>
      </c>
      <c r="T260" s="67" t="s">
        <v>1914</v>
      </c>
      <c r="U260" s="67" t="s">
        <v>509</v>
      </c>
      <c r="V260" s="113" t="s">
        <v>106</v>
      </c>
      <c r="W260" s="222">
        <v>94965</v>
      </c>
      <c r="X260" s="141"/>
      <c r="Z260" s="236"/>
      <c r="AA260" s="200"/>
      <c r="AB260" s="130"/>
      <c r="AC260" s="202"/>
      <c r="AD260" s="200"/>
      <c r="AE260" s="113"/>
      <c r="AF260" s="113"/>
      <c r="AG260" s="113"/>
      <c r="AH260" s="113"/>
      <c r="AI260" s="130"/>
      <c r="AK260" s="57"/>
      <c r="AS260" s="207"/>
      <c r="AU260" s="67" t="s">
        <v>1915</v>
      </c>
      <c r="AV260" s="251"/>
      <c r="AW260" s="67" t="s">
        <v>509</v>
      </c>
      <c r="AX260" s="113" t="s">
        <v>106</v>
      </c>
      <c r="AY260" s="222">
        <v>94965</v>
      </c>
      <c r="AZ260" s="199" t="s">
        <v>1916</v>
      </c>
      <c r="BA260" s="317"/>
    </row>
    <row r="261" spans="1:53" ht="14.15" customHeight="1" x14ac:dyDescent="0.4">
      <c r="A261" s="256" t="s">
        <v>1917</v>
      </c>
      <c r="B261" s="67" t="s">
        <v>98</v>
      </c>
      <c r="C261" s="110" t="s">
        <v>99</v>
      </c>
      <c r="D261" s="112"/>
      <c r="E261" s="119" t="s">
        <v>100</v>
      </c>
      <c r="F261" s="83"/>
      <c r="G261" s="209"/>
      <c r="H261" s="88" t="s">
        <v>100</v>
      </c>
      <c r="I261" s="89"/>
      <c r="J261" s="98"/>
      <c r="K261" s="101">
        <v>45832</v>
      </c>
      <c r="L261" s="329"/>
      <c r="M261" s="105">
        <v>42795</v>
      </c>
      <c r="N261" s="112" t="s">
        <v>1918</v>
      </c>
      <c r="O261" s="112" t="s">
        <v>1919</v>
      </c>
      <c r="P261" s="198"/>
      <c r="Q261" s="132">
        <v>8.6249999999999993E-2</v>
      </c>
      <c r="R261" s="132">
        <v>8.7499999999999994E-2</v>
      </c>
      <c r="S261" s="63" t="s">
        <v>103</v>
      </c>
      <c r="T261" s="198" t="s">
        <v>1920</v>
      </c>
      <c r="U261" s="198" t="s">
        <v>105</v>
      </c>
      <c r="V261" s="112" t="s">
        <v>106</v>
      </c>
      <c r="W261" s="205">
        <v>94110</v>
      </c>
      <c r="X261" s="139" t="s">
        <v>1921</v>
      </c>
      <c r="Y261" s="139" t="s">
        <v>1921</v>
      </c>
      <c r="Z261" s="139" t="s">
        <v>1921</v>
      </c>
      <c r="AA261" s="203" t="s">
        <v>643</v>
      </c>
      <c r="AB261" s="205"/>
      <c r="AC261" s="206"/>
      <c r="AD261" s="203"/>
      <c r="AE261" s="205"/>
      <c r="AF261" s="205"/>
      <c r="AG261" s="205"/>
      <c r="AH261" s="205"/>
      <c r="AI261" s="205" t="s">
        <v>1922</v>
      </c>
      <c r="AK261" s="318"/>
      <c r="AL261" s="290" t="s">
        <v>289</v>
      </c>
      <c r="AM261" s="290">
        <v>13305</v>
      </c>
      <c r="AN261" s="290">
        <v>18333</v>
      </c>
      <c r="AO261" s="290">
        <v>62245</v>
      </c>
      <c r="AP261" s="290"/>
      <c r="AQ261" s="290"/>
      <c r="AR261" s="290"/>
      <c r="AS261" s="207" t="s">
        <v>132</v>
      </c>
      <c r="AT261" s="116" t="s">
        <v>447</v>
      </c>
      <c r="AU261" s="198" t="s">
        <v>1920</v>
      </c>
      <c r="AV261" s="39"/>
      <c r="AW261" s="198" t="s">
        <v>105</v>
      </c>
      <c r="AX261" s="112" t="s">
        <v>106</v>
      </c>
      <c r="AY261" s="205">
        <v>94110</v>
      </c>
      <c r="AZ261" s="198" t="s">
        <v>1919</v>
      </c>
    </row>
    <row r="262" spans="1:53" ht="14.15" customHeight="1" x14ac:dyDescent="0.4">
      <c r="A262" s="256" t="s">
        <v>1923</v>
      </c>
      <c r="B262" s="67" t="s">
        <v>269</v>
      </c>
      <c r="C262" s="111" t="s">
        <v>109</v>
      </c>
      <c r="D262" s="113"/>
      <c r="E262" s="204" t="s">
        <v>1904</v>
      </c>
      <c r="F262" s="82"/>
      <c r="G262" s="84"/>
      <c r="H262" s="90"/>
      <c r="I262" s="91"/>
      <c r="J262" s="97"/>
      <c r="K262" s="102"/>
      <c r="L262" s="327"/>
      <c r="M262" s="106">
        <v>44594</v>
      </c>
      <c r="N262" s="113" t="s">
        <v>1924</v>
      </c>
      <c r="O262" s="113" t="s">
        <v>1925</v>
      </c>
      <c r="P262" s="57"/>
      <c r="Q262" s="132">
        <v>0.10249999999999999</v>
      </c>
      <c r="R262" s="132">
        <v>9.5000000000000001E-2</v>
      </c>
      <c r="S262" s="63" t="s">
        <v>113</v>
      </c>
      <c r="T262" s="67" t="s">
        <v>1926</v>
      </c>
      <c r="U262" s="67" t="s">
        <v>115</v>
      </c>
      <c r="V262" s="113" t="s">
        <v>106</v>
      </c>
      <c r="W262" s="222">
        <v>94601</v>
      </c>
      <c r="Z262" s="236"/>
      <c r="AA262" s="200" t="s">
        <v>1927</v>
      </c>
      <c r="AB262" s="130"/>
      <c r="AC262" s="202"/>
      <c r="AD262" s="200"/>
      <c r="AE262" s="113"/>
      <c r="AF262" s="113"/>
      <c r="AG262" s="113"/>
      <c r="AH262" s="113"/>
      <c r="AI262" s="130"/>
      <c r="AK262" s="57"/>
      <c r="AS262" s="207" t="s">
        <v>132</v>
      </c>
      <c r="AT262" s="116" t="s">
        <v>447</v>
      </c>
      <c r="AU262" s="67" t="s">
        <v>1926</v>
      </c>
      <c r="AV262" s="251"/>
      <c r="AW262" s="67" t="s">
        <v>115</v>
      </c>
      <c r="AX262" s="113" t="s">
        <v>106</v>
      </c>
      <c r="AY262" s="222">
        <v>94601</v>
      </c>
      <c r="AZ262" s="199" t="s">
        <v>1925</v>
      </c>
    </row>
    <row r="263" spans="1:53" ht="14.15" customHeight="1" x14ac:dyDescent="0.4">
      <c r="A263" s="256" t="s">
        <v>1928</v>
      </c>
      <c r="B263" s="67" t="s">
        <v>244</v>
      </c>
      <c r="C263" s="111" t="s">
        <v>1929</v>
      </c>
      <c r="D263" s="115"/>
      <c r="E263" s="120" t="s">
        <v>173</v>
      </c>
      <c r="F263" s="82" t="s">
        <v>174</v>
      </c>
      <c r="G263" s="84"/>
      <c r="H263" s="90"/>
      <c r="I263" s="91"/>
      <c r="J263" s="97"/>
      <c r="K263" s="102">
        <v>44817</v>
      </c>
      <c r="L263" s="327"/>
      <c r="M263" s="106"/>
      <c r="N263" s="130" t="s">
        <v>1930</v>
      </c>
      <c r="O263" s="130" t="s">
        <v>1931</v>
      </c>
      <c r="P263" s="57"/>
      <c r="Q263" s="132">
        <v>0.1</v>
      </c>
      <c r="R263" s="132"/>
      <c r="S263" s="63" t="s">
        <v>186</v>
      </c>
      <c r="T263" s="57" t="s">
        <v>1932</v>
      </c>
      <c r="U263" s="67" t="s">
        <v>188</v>
      </c>
      <c r="V263" s="113" t="s">
        <v>106</v>
      </c>
      <c r="W263" s="222">
        <v>95401</v>
      </c>
      <c r="X263" s="141" t="s">
        <v>1933</v>
      </c>
      <c r="Y263" s="141" t="s">
        <v>1933</v>
      </c>
      <c r="Z263" s="141" t="s">
        <v>1933</v>
      </c>
      <c r="AA263" s="200"/>
      <c r="AB263" s="130"/>
      <c r="AC263" s="202"/>
      <c r="AD263" s="200"/>
      <c r="AE263" s="113"/>
      <c r="AF263" s="113"/>
      <c r="AG263" s="113"/>
      <c r="AH263" s="113"/>
      <c r="AI263" s="130"/>
      <c r="AK263" s="57"/>
      <c r="AL263" s="287">
        <v>15303</v>
      </c>
      <c r="AS263" s="207"/>
      <c r="AU263" s="57" t="s">
        <v>1932</v>
      </c>
      <c r="AV263" s="251"/>
      <c r="AW263" s="67" t="s">
        <v>188</v>
      </c>
      <c r="AX263" s="113" t="s">
        <v>106</v>
      </c>
      <c r="AY263" s="222">
        <v>95401</v>
      </c>
      <c r="AZ263" s="57" t="s">
        <v>1931</v>
      </c>
      <c r="BA263" s="317"/>
    </row>
    <row r="264" spans="1:53" s="251" customFormat="1" ht="14.15" customHeight="1" x14ac:dyDescent="0.25">
      <c r="A264" s="256" t="s">
        <v>1934</v>
      </c>
      <c r="B264" s="67" t="s">
        <v>98</v>
      </c>
      <c r="C264" s="109" t="s">
        <v>563</v>
      </c>
      <c r="D264" s="79"/>
      <c r="E264" s="118" t="s">
        <v>100</v>
      </c>
      <c r="F264" s="80"/>
      <c r="G264" s="81"/>
      <c r="H264" s="87" t="s">
        <v>100</v>
      </c>
      <c r="I264" s="86"/>
      <c r="J264" s="96"/>
      <c r="K264" s="100">
        <v>43838</v>
      </c>
      <c r="L264" s="328"/>
      <c r="M264" s="104"/>
      <c r="N264" s="128" t="s">
        <v>1935</v>
      </c>
      <c r="O264" s="128" t="s">
        <v>1936</v>
      </c>
      <c r="P264" s="59" t="s">
        <v>1937</v>
      </c>
      <c r="Q264" s="132">
        <v>8.6249999999999993E-2</v>
      </c>
      <c r="R264" s="132">
        <v>8.7499999999999994E-2</v>
      </c>
      <c r="S264" s="63" t="s">
        <v>103</v>
      </c>
      <c r="T264" s="67" t="s">
        <v>1938</v>
      </c>
      <c r="U264" s="67" t="s">
        <v>105</v>
      </c>
      <c r="V264" s="79" t="s">
        <v>106</v>
      </c>
      <c r="W264" s="76">
        <v>94104</v>
      </c>
      <c r="X264" s="141" t="s">
        <v>1939</v>
      </c>
      <c r="Y264" s="236"/>
      <c r="Z264" s="234"/>
      <c r="AA264" s="79"/>
      <c r="AB264" s="135"/>
      <c r="AC264" s="136"/>
      <c r="AD264" s="79"/>
      <c r="AE264" s="128"/>
      <c r="AF264" s="128"/>
      <c r="AG264" s="128"/>
      <c r="AH264" s="128"/>
      <c r="AI264" s="135"/>
      <c r="AJ264" s="135"/>
      <c r="AK264" s="58"/>
      <c r="AL264" s="287" t="s">
        <v>149</v>
      </c>
      <c r="AM264" s="288"/>
      <c r="AN264" s="288" t="s">
        <v>198</v>
      </c>
      <c r="AO264" s="288">
        <v>62245</v>
      </c>
      <c r="AP264" s="288"/>
      <c r="AQ264" s="288"/>
      <c r="AR264" s="288"/>
      <c r="AS264" s="207" t="s">
        <v>132</v>
      </c>
      <c r="AT264" s="116" t="s">
        <v>1940</v>
      </c>
      <c r="AU264" s="67" t="s">
        <v>1941</v>
      </c>
      <c r="AV264" s="66"/>
      <c r="AW264" s="67" t="s">
        <v>105</v>
      </c>
      <c r="AX264" s="79" t="s">
        <v>106</v>
      </c>
      <c r="AY264" s="76">
        <v>94108</v>
      </c>
      <c r="AZ264" s="77" t="s">
        <v>1942</v>
      </c>
      <c r="BA264" s="75"/>
    </row>
    <row r="265" spans="1:53" ht="14.15" customHeight="1" x14ac:dyDescent="0.4">
      <c r="A265" s="256" t="s">
        <v>1943</v>
      </c>
      <c r="B265" s="67" t="s">
        <v>244</v>
      </c>
      <c r="C265" s="111" t="s">
        <v>1076</v>
      </c>
      <c r="D265" s="115"/>
      <c r="E265" s="120" t="s">
        <v>173</v>
      </c>
      <c r="F265" s="82" t="s">
        <v>174</v>
      </c>
      <c r="G265" s="84"/>
      <c r="H265" s="90"/>
      <c r="I265" s="91"/>
      <c r="J265" s="97"/>
      <c r="K265" s="102">
        <v>45957</v>
      </c>
      <c r="L265" s="327"/>
      <c r="M265" s="106"/>
      <c r="N265" s="113" t="s">
        <v>1944</v>
      </c>
      <c r="O265" s="113" t="s">
        <v>1945</v>
      </c>
      <c r="P265" s="57" t="s">
        <v>1946</v>
      </c>
      <c r="Q265" s="132">
        <v>8.6249999999999993E-2</v>
      </c>
      <c r="R265" s="132"/>
      <c r="S265" s="63" t="s">
        <v>103</v>
      </c>
      <c r="T265" s="67" t="s">
        <v>1947</v>
      </c>
      <c r="U265" s="67" t="s">
        <v>105</v>
      </c>
      <c r="V265" s="113" t="s">
        <v>106</v>
      </c>
      <c r="W265" s="222">
        <v>94121</v>
      </c>
      <c r="X265" s="141" t="s">
        <v>1948</v>
      </c>
      <c r="Y265" s="141" t="s">
        <v>1948</v>
      </c>
      <c r="Z265" s="141" t="s">
        <v>1948</v>
      </c>
      <c r="AA265" s="200"/>
      <c r="AB265" s="130"/>
      <c r="AC265" s="202"/>
      <c r="AD265" s="200"/>
      <c r="AE265" s="113"/>
      <c r="AF265" s="113"/>
      <c r="AG265" s="113"/>
      <c r="AH265" s="113"/>
      <c r="AI265" s="130"/>
      <c r="AK265" s="57"/>
      <c r="AL265" s="287" t="s">
        <v>149</v>
      </c>
      <c r="AM265" s="288" t="s">
        <v>198</v>
      </c>
      <c r="AN265" s="288">
        <v>15741</v>
      </c>
      <c r="AO265" s="288">
        <v>62245</v>
      </c>
      <c r="AQ265" s="288">
        <v>13305</v>
      </c>
      <c r="AS265" s="207" t="s">
        <v>132</v>
      </c>
      <c r="AT265" s="116" t="s">
        <v>406</v>
      </c>
      <c r="AU265" s="67" t="s">
        <v>1947</v>
      </c>
      <c r="AV265" s="251"/>
      <c r="AW265" s="67" t="s">
        <v>105</v>
      </c>
      <c r="AX265" s="113" t="s">
        <v>106</v>
      </c>
      <c r="AY265" s="222">
        <v>94121</v>
      </c>
      <c r="AZ265" s="199" t="s">
        <v>1945</v>
      </c>
      <c r="BA265" s="317"/>
    </row>
    <row r="266" spans="1:53" s="251" customFormat="1" ht="14.15" customHeight="1" x14ac:dyDescent="0.4">
      <c r="A266" s="256" t="s">
        <v>1949</v>
      </c>
      <c r="B266" s="67" t="s">
        <v>244</v>
      </c>
      <c r="C266" s="111" t="s">
        <v>119</v>
      </c>
      <c r="D266" s="113"/>
      <c r="E266" s="120" t="s">
        <v>173</v>
      </c>
      <c r="F266" s="82" t="s">
        <v>174</v>
      </c>
      <c r="G266" s="84"/>
      <c r="H266" s="90"/>
      <c r="I266" s="91"/>
      <c r="J266" s="97"/>
      <c r="K266" s="102">
        <v>45937</v>
      </c>
      <c r="L266" s="327"/>
      <c r="M266" s="106">
        <v>44210</v>
      </c>
      <c r="N266" s="113" t="s">
        <v>1944</v>
      </c>
      <c r="O266" s="113" t="s">
        <v>1950</v>
      </c>
      <c r="P266" s="57" t="s">
        <v>1946</v>
      </c>
      <c r="Q266" s="132">
        <v>9.2499999999999999E-2</v>
      </c>
      <c r="R266" s="132">
        <v>9.2499999999999999E-2</v>
      </c>
      <c r="S266" s="63" t="s">
        <v>226</v>
      </c>
      <c r="T266" s="67" t="s">
        <v>1951</v>
      </c>
      <c r="U266" s="67" t="s">
        <v>228</v>
      </c>
      <c r="V266" s="113" t="s">
        <v>106</v>
      </c>
      <c r="W266" s="222">
        <v>94903</v>
      </c>
      <c r="X266" s="141" t="s">
        <v>1948</v>
      </c>
      <c r="Y266" s="141" t="s">
        <v>1948</v>
      </c>
      <c r="Z266" s="141" t="s">
        <v>1948</v>
      </c>
      <c r="AA266" s="200"/>
      <c r="AB266" s="130"/>
      <c r="AC266" s="202"/>
      <c r="AD266" s="200"/>
      <c r="AE266" s="113"/>
      <c r="AF266" s="113"/>
      <c r="AG266" s="113"/>
      <c r="AH266" s="113"/>
      <c r="AI266" s="130" t="s">
        <v>1952</v>
      </c>
      <c r="AJ266" s="135" t="s">
        <v>116</v>
      </c>
      <c r="AK266" s="57"/>
      <c r="AL266" s="287" t="s">
        <v>149</v>
      </c>
      <c r="AM266" s="288" t="s">
        <v>198</v>
      </c>
      <c r="AN266" s="288">
        <v>15741</v>
      </c>
      <c r="AO266" s="288">
        <v>62245</v>
      </c>
      <c r="AP266" s="288"/>
      <c r="AQ266" s="288">
        <v>13305</v>
      </c>
      <c r="AR266" s="288"/>
      <c r="AS266" s="207" t="s">
        <v>132</v>
      </c>
      <c r="AT266" s="116" t="s">
        <v>1176</v>
      </c>
      <c r="AU266" s="67" t="str">
        <f>PROPER(AV266)</f>
        <v>200 Merrydale Road</v>
      </c>
      <c r="AV266" s="251" t="s">
        <v>1953</v>
      </c>
      <c r="AW266" s="67" t="s">
        <v>228</v>
      </c>
      <c r="AX266" s="113" t="s">
        <v>106</v>
      </c>
      <c r="AY266" s="222">
        <v>94903</v>
      </c>
      <c r="AZ266" s="199" t="s">
        <v>1950</v>
      </c>
      <c r="BA266" s="75"/>
    </row>
    <row r="267" spans="1:53" s="251" customFormat="1" ht="14.15" customHeight="1" x14ac:dyDescent="0.4">
      <c r="A267" s="256" t="s">
        <v>1954</v>
      </c>
      <c r="B267" s="67" t="s">
        <v>98</v>
      </c>
      <c r="C267" s="111" t="s">
        <v>563</v>
      </c>
      <c r="D267" s="113"/>
      <c r="E267" s="120" t="s">
        <v>100</v>
      </c>
      <c r="F267" s="82"/>
      <c r="G267" s="84"/>
      <c r="H267" s="90" t="s">
        <v>100</v>
      </c>
      <c r="I267" s="91"/>
      <c r="J267" s="97"/>
      <c r="K267" s="102">
        <v>43944</v>
      </c>
      <c r="L267" s="327"/>
      <c r="M267" s="106">
        <v>43572</v>
      </c>
      <c r="N267" s="113" t="s">
        <v>1955</v>
      </c>
      <c r="O267" s="113" t="s">
        <v>1956</v>
      </c>
      <c r="P267" s="57" t="s">
        <v>1957</v>
      </c>
      <c r="Q267" s="132">
        <v>0.09</v>
      </c>
      <c r="R267" s="132">
        <v>0.09</v>
      </c>
      <c r="S267" s="63" t="s">
        <v>875</v>
      </c>
      <c r="T267" s="67" t="s">
        <v>1958</v>
      </c>
      <c r="U267" s="67" t="s">
        <v>875</v>
      </c>
      <c r="V267" s="113" t="s">
        <v>106</v>
      </c>
      <c r="W267" s="222">
        <v>94930</v>
      </c>
      <c r="X267" s="141" t="s">
        <v>1959</v>
      </c>
      <c r="Y267" s="139" t="s">
        <v>1959</v>
      </c>
      <c r="Z267" s="139" t="s">
        <v>1959</v>
      </c>
      <c r="AA267" s="200" t="s">
        <v>1053</v>
      </c>
      <c r="AB267" s="130"/>
      <c r="AC267" s="202"/>
      <c r="AD267" s="200"/>
      <c r="AE267" s="113"/>
      <c r="AF267" s="113"/>
      <c r="AG267" s="113"/>
      <c r="AH267" s="113"/>
      <c r="AI267" s="130"/>
      <c r="AJ267" s="135" t="s">
        <v>1960</v>
      </c>
      <c r="AK267" s="57"/>
      <c r="AL267" s="291" t="s">
        <v>149</v>
      </c>
      <c r="AM267" s="291">
        <v>13305</v>
      </c>
      <c r="AN267" s="291"/>
      <c r="AO267" s="291">
        <v>62245</v>
      </c>
      <c r="AP267" s="291"/>
      <c r="AQ267" s="291"/>
      <c r="AR267" s="291"/>
      <c r="AS267" s="207" t="s">
        <v>132</v>
      </c>
      <c r="AT267" s="116" t="s">
        <v>1961</v>
      </c>
      <c r="AU267" s="67" t="str">
        <f>PROPER(AV267)</f>
        <v>45 Broadway</v>
      </c>
      <c r="AV267" s="251" t="s">
        <v>1962</v>
      </c>
      <c r="AW267" s="67" t="s">
        <v>875</v>
      </c>
      <c r="AX267" s="113" t="s">
        <v>106</v>
      </c>
      <c r="AY267" s="222">
        <v>94930</v>
      </c>
      <c r="AZ267" s="199" t="s">
        <v>1956</v>
      </c>
      <c r="BA267" s="78"/>
    </row>
    <row r="268" spans="1:53" s="251" customFormat="1" ht="14.15" customHeight="1" x14ac:dyDescent="0.4">
      <c r="A268" s="256" t="s">
        <v>1963</v>
      </c>
      <c r="B268" s="67" t="s">
        <v>98</v>
      </c>
      <c r="C268" s="111" t="s">
        <v>435</v>
      </c>
      <c r="D268" s="113"/>
      <c r="E268" s="120" t="s">
        <v>100</v>
      </c>
      <c r="F268" s="82"/>
      <c r="G268" s="84"/>
      <c r="H268" s="90" t="s">
        <v>100</v>
      </c>
      <c r="I268" s="91"/>
      <c r="J268" s="97"/>
      <c r="K268" s="102">
        <v>43882</v>
      </c>
      <c r="L268" s="327"/>
      <c r="M268" s="106">
        <v>42923</v>
      </c>
      <c r="N268" s="113" t="s">
        <v>1059</v>
      </c>
      <c r="O268" s="113" t="s">
        <v>1964</v>
      </c>
      <c r="P268" s="57"/>
      <c r="Q268" s="132">
        <v>9.2499999999999999E-2</v>
      </c>
      <c r="R268" s="132">
        <v>0.09</v>
      </c>
      <c r="S268" s="63" t="s">
        <v>420</v>
      </c>
      <c r="T268" s="67" t="s">
        <v>1965</v>
      </c>
      <c r="U268" s="67" t="s">
        <v>420</v>
      </c>
      <c r="V268" s="113" t="s">
        <v>106</v>
      </c>
      <c r="W268" s="222">
        <v>94947</v>
      </c>
      <c r="X268" s="141" t="s">
        <v>1966</v>
      </c>
      <c r="Y268" s="139"/>
      <c r="Z268" s="139"/>
      <c r="AA268" s="200" t="s">
        <v>1967</v>
      </c>
      <c r="AB268" s="130" t="s">
        <v>1968</v>
      </c>
      <c r="AC268" s="202" t="s">
        <v>1969</v>
      </c>
      <c r="AD268" s="200" t="s">
        <v>1970</v>
      </c>
      <c r="AE268" s="113"/>
      <c r="AF268" s="113"/>
      <c r="AG268" s="113"/>
      <c r="AH268" s="113"/>
      <c r="AI268" s="130" t="s">
        <v>0</v>
      </c>
      <c r="AJ268" s="135" t="s">
        <v>116</v>
      </c>
      <c r="AK268" s="57"/>
      <c r="AL268" s="291" t="s">
        <v>289</v>
      </c>
      <c r="AM268" s="291"/>
      <c r="AN268" s="291" t="s">
        <v>290</v>
      </c>
      <c r="AO268" s="291">
        <v>62245</v>
      </c>
      <c r="AP268" s="291"/>
      <c r="AQ268" s="291"/>
      <c r="AR268" s="291"/>
      <c r="AS268" s="207" t="s">
        <v>132</v>
      </c>
      <c r="AT268" s="116" t="s">
        <v>1971</v>
      </c>
      <c r="AU268" s="67" t="s">
        <v>1972</v>
      </c>
      <c r="AW268" s="67" t="s">
        <v>1533</v>
      </c>
      <c r="AX268" s="113" t="s">
        <v>106</v>
      </c>
      <c r="AY268" s="222">
        <v>94590</v>
      </c>
      <c r="AZ268" s="199" t="s">
        <v>1964</v>
      </c>
      <c r="BA268" s="78"/>
    </row>
    <row r="269" spans="1:53" s="251" customFormat="1" ht="14.15" customHeight="1" x14ac:dyDescent="0.4">
      <c r="A269" s="256" t="s">
        <v>1973</v>
      </c>
      <c r="B269" s="67" t="s">
        <v>125</v>
      </c>
      <c r="C269" s="111"/>
      <c r="D269" s="115"/>
      <c r="E269" s="120" t="s">
        <v>100</v>
      </c>
      <c r="F269" s="82"/>
      <c r="G269" s="84"/>
      <c r="H269" s="90" t="s">
        <v>100</v>
      </c>
      <c r="I269" s="91"/>
      <c r="J269" s="97"/>
      <c r="K269" s="102"/>
      <c r="L269" s="327"/>
      <c r="M269" s="106">
        <v>44089</v>
      </c>
      <c r="N269" s="113" t="s">
        <v>1461</v>
      </c>
      <c r="O269" s="113" t="s">
        <v>1974</v>
      </c>
      <c r="P269" s="57"/>
      <c r="Q269" s="132">
        <v>9.2499999999999999E-2</v>
      </c>
      <c r="R269" s="132"/>
      <c r="S269" s="63" t="s">
        <v>262</v>
      </c>
      <c r="T269" s="67" t="s">
        <v>1975</v>
      </c>
      <c r="U269" s="67" t="s">
        <v>1976</v>
      </c>
      <c r="V269" s="113" t="s">
        <v>106</v>
      </c>
      <c r="W269" s="222">
        <v>95442</v>
      </c>
      <c r="X269" s="141"/>
      <c r="Y269" s="236"/>
      <c r="Z269" s="236"/>
      <c r="AA269" s="200"/>
      <c r="AB269" s="130"/>
      <c r="AC269" s="202"/>
      <c r="AD269" s="200"/>
      <c r="AE269" s="113"/>
      <c r="AF269" s="113"/>
      <c r="AG269" s="113"/>
      <c r="AH269" s="113"/>
      <c r="AI269" s="130"/>
      <c r="AJ269" s="135"/>
      <c r="AK269" s="57"/>
      <c r="AL269" s="287"/>
      <c r="AM269" s="288"/>
      <c r="AN269" s="288"/>
      <c r="AO269" s="288"/>
      <c r="AP269" s="288"/>
      <c r="AQ269" s="288"/>
      <c r="AR269" s="288"/>
      <c r="AS269" s="207"/>
      <c r="AT269" s="116"/>
      <c r="AU269" s="67" t="s">
        <v>1975</v>
      </c>
      <c r="AW269" s="67" t="s">
        <v>1977</v>
      </c>
      <c r="AX269" s="113" t="s">
        <v>106</v>
      </c>
      <c r="AY269" s="222">
        <v>95442</v>
      </c>
      <c r="AZ269" s="199" t="s">
        <v>1974</v>
      </c>
      <c r="BA269" s="317"/>
    </row>
    <row r="270" spans="1:53" s="251" customFormat="1" ht="14.15" customHeight="1" x14ac:dyDescent="0.4">
      <c r="A270" s="256" t="s">
        <v>1978</v>
      </c>
      <c r="B270" s="67" t="s">
        <v>125</v>
      </c>
      <c r="C270" s="111" t="s">
        <v>99</v>
      </c>
      <c r="D270" s="115" t="s">
        <v>1979</v>
      </c>
      <c r="E270" s="120" t="s">
        <v>100</v>
      </c>
      <c r="F270" s="82"/>
      <c r="G270" s="84"/>
      <c r="H270" s="90" t="s">
        <v>100</v>
      </c>
      <c r="I270" s="91"/>
      <c r="J270" s="97"/>
      <c r="K270" s="102">
        <v>44077</v>
      </c>
      <c r="L270" s="327"/>
      <c r="M270" s="106">
        <v>43700</v>
      </c>
      <c r="N270" s="113" t="s">
        <v>1980</v>
      </c>
      <c r="O270" s="113" t="s">
        <v>1981</v>
      </c>
      <c r="P270" s="57"/>
      <c r="Q270" s="132">
        <v>8.6249999999999993E-2</v>
      </c>
      <c r="R270" s="132"/>
      <c r="S270" s="63" t="s">
        <v>103</v>
      </c>
      <c r="T270" s="67" t="s">
        <v>1982</v>
      </c>
      <c r="U270" s="67" t="s">
        <v>105</v>
      </c>
      <c r="V270" s="113" t="s">
        <v>106</v>
      </c>
      <c r="W270" s="222">
        <v>94134</v>
      </c>
      <c r="X270" s="139" t="s">
        <v>1983</v>
      </c>
      <c r="Y270" s="139" t="s">
        <v>1983</v>
      </c>
      <c r="Z270" s="226" t="s">
        <v>1983</v>
      </c>
      <c r="AA270" s="200"/>
      <c r="AB270" s="130"/>
      <c r="AC270" s="202"/>
      <c r="AD270" s="200"/>
      <c r="AE270" s="113"/>
      <c r="AF270" s="113"/>
      <c r="AG270" s="113"/>
      <c r="AH270" s="113"/>
      <c r="AI270" s="130"/>
      <c r="AJ270" s="135"/>
      <c r="AK270" s="57"/>
      <c r="AL270" s="287" t="s">
        <v>149</v>
      </c>
      <c r="AM270" s="288"/>
      <c r="AN270" s="288"/>
      <c r="AO270" s="288"/>
      <c r="AP270" s="288"/>
      <c r="AQ270" s="288"/>
      <c r="AR270" s="288"/>
      <c r="AS270" s="207"/>
      <c r="AT270" s="116"/>
      <c r="AU270" s="67" t="s">
        <v>1982</v>
      </c>
      <c r="AW270" s="67" t="s">
        <v>105</v>
      </c>
      <c r="AX270" s="113" t="s">
        <v>106</v>
      </c>
      <c r="AY270" s="222">
        <v>94134</v>
      </c>
      <c r="AZ270" s="199" t="s">
        <v>1981</v>
      </c>
      <c r="BA270" s="317"/>
    </row>
    <row r="271" spans="1:53" s="210" customFormat="1" ht="14.15" customHeight="1" x14ac:dyDescent="0.4">
      <c r="A271" s="256" t="s">
        <v>1984</v>
      </c>
      <c r="B271" s="67" t="s">
        <v>125</v>
      </c>
      <c r="C271" s="111" t="s">
        <v>99</v>
      </c>
      <c r="D271" s="79" t="s">
        <v>1985</v>
      </c>
      <c r="E271" s="118" t="s">
        <v>100</v>
      </c>
      <c r="F271" s="80"/>
      <c r="G271" s="81"/>
      <c r="H271" s="92" t="s">
        <v>100</v>
      </c>
      <c r="I271" s="86"/>
      <c r="J271" s="96"/>
      <c r="K271" s="100">
        <v>45471</v>
      </c>
      <c r="L271" s="328"/>
      <c r="M271" s="104">
        <v>44270</v>
      </c>
      <c r="N271" s="128" t="s">
        <v>223</v>
      </c>
      <c r="O271" s="128" t="s">
        <v>1986</v>
      </c>
      <c r="P271" s="59" t="s">
        <v>1987</v>
      </c>
      <c r="Q271" s="132">
        <v>0.10249999999999999</v>
      </c>
      <c r="R271" s="132">
        <v>9.5000000000000001E-2</v>
      </c>
      <c r="S271" s="63" t="s">
        <v>113</v>
      </c>
      <c r="T271" s="67" t="s">
        <v>1988</v>
      </c>
      <c r="U271" s="67" t="s">
        <v>115</v>
      </c>
      <c r="V271" s="79" t="s">
        <v>106</v>
      </c>
      <c r="W271" s="76">
        <v>94607</v>
      </c>
      <c r="X271" s="147"/>
      <c r="Y271" s="236"/>
      <c r="Z271" s="234"/>
      <c r="AA271" s="79"/>
      <c r="AB271" s="135"/>
      <c r="AC271" s="136"/>
      <c r="AD271" s="79"/>
      <c r="AE271" s="128"/>
      <c r="AF271" s="128"/>
      <c r="AG271" s="128"/>
      <c r="AH271" s="128"/>
      <c r="AI271" s="135"/>
      <c r="AJ271" s="135"/>
      <c r="AK271" s="58"/>
      <c r="AL271" s="289">
        <v>15157</v>
      </c>
      <c r="AM271" s="289">
        <v>12150</v>
      </c>
      <c r="AN271" s="289"/>
      <c r="AO271" s="289"/>
      <c r="AP271" s="289"/>
      <c r="AQ271" s="289"/>
      <c r="AR271" s="289"/>
      <c r="AS271" s="207" t="s">
        <v>132</v>
      </c>
      <c r="AT271" s="116" t="s">
        <v>1176</v>
      </c>
      <c r="AU271" s="67" t="s">
        <v>1988</v>
      </c>
      <c r="AV271" s="66"/>
      <c r="AW271" s="67" t="s">
        <v>115</v>
      </c>
      <c r="AX271" s="79" t="s">
        <v>106</v>
      </c>
      <c r="AY271" s="76">
        <v>94607</v>
      </c>
      <c r="AZ271" s="77" t="s">
        <v>1986</v>
      </c>
      <c r="BA271" s="207"/>
    </row>
    <row r="272" spans="1:53" s="210" customFormat="1" ht="14.15" customHeight="1" x14ac:dyDescent="0.25">
      <c r="A272" s="256" t="s">
        <v>1989</v>
      </c>
      <c r="B272" s="67" t="s">
        <v>98</v>
      </c>
      <c r="C272" s="109" t="s">
        <v>99</v>
      </c>
      <c r="D272" s="79"/>
      <c r="E272" s="118" t="s">
        <v>100</v>
      </c>
      <c r="F272" s="80"/>
      <c r="G272" s="81"/>
      <c r="H272" s="87" t="s">
        <v>100</v>
      </c>
      <c r="I272" s="86"/>
      <c r="J272" s="96"/>
      <c r="K272" s="100">
        <v>45488</v>
      </c>
      <c r="L272" s="328"/>
      <c r="M272" s="104"/>
      <c r="N272" s="128" t="s">
        <v>1990</v>
      </c>
      <c r="O272" s="128" t="s">
        <v>1991</v>
      </c>
      <c r="P272" s="59"/>
      <c r="Q272" s="132">
        <v>8.6249999999999993E-2</v>
      </c>
      <c r="R272" s="132"/>
      <c r="S272" s="63" t="s">
        <v>103</v>
      </c>
      <c r="T272" s="67" t="s">
        <v>1992</v>
      </c>
      <c r="U272" s="67" t="s">
        <v>105</v>
      </c>
      <c r="V272" s="79" t="s">
        <v>106</v>
      </c>
      <c r="W272" s="76">
        <v>94114</v>
      </c>
      <c r="X272" s="147"/>
      <c r="Y272" s="236"/>
      <c r="Z272" s="234"/>
      <c r="AA272" s="79"/>
      <c r="AB272" s="135"/>
      <c r="AC272" s="136"/>
      <c r="AD272" s="79"/>
      <c r="AE272" s="128"/>
      <c r="AF272" s="128"/>
      <c r="AG272" s="128"/>
      <c r="AH272" s="128"/>
      <c r="AI272" s="135"/>
      <c r="AJ272" s="135"/>
      <c r="AK272" s="58"/>
      <c r="AL272" s="289"/>
      <c r="AM272" s="289"/>
      <c r="AN272" s="289"/>
      <c r="AO272" s="289"/>
      <c r="AP272" s="289"/>
      <c r="AQ272" s="289" t="s">
        <v>1993</v>
      </c>
      <c r="AR272" s="289"/>
      <c r="AS272" s="207" t="s">
        <v>132</v>
      </c>
      <c r="AT272" s="116" t="s">
        <v>1176</v>
      </c>
      <c r="AU272" s="67" t="s">
        <v>1992</v>
      </c>
      <c r="AV272" s="66"/>
      <c r="AW272" s="67" t="s">
        <v>105</v>
      </c>
      <c r="AX272" s="79" t="s">
        <v>106</v>
      </c>
      <c r="AY272" s="76">
        <v>94114</v>
      </c>
      <c r="AZ272" s="77" t="s">
        <v>1991</v>
      </c>
      <c r="BA272" s="207"/>
    </row>
    <row r="273" spans="1:53" s="210" customFormat="1" ht="14.15" customHeight="1" x14ac:dyDescent="0.25">
      <c r="A273" s="256" t="s">
        <v>6389</v>
      </c>
      <c r="B273" s="67" t="s">
        <v>98</v>
      </c>
      <c r="C273" s="109" t="s">
        <v>99</v>
      </c>
      <c r="D273" s="79"/>
      <c r="E273" s="118" t="s">
        <v>100</v>
      </c>
      <c r="F273" s="80"/>
      <c r="G273" s="81"/>
      <c r="H273" s="87" t="s">
        <v>100</v>
      </c>
      <c r="I273" s="86"/>
      <c r="J273" s="96"/>
      <c r="K273" s="100"/>
      <c r="L273" s="328"/>
      <c r="M273" s="104">
        <v>45737</v>
      </c>
      <c r="N273" s="128" t="s">
        <v>6390</v>
      </c>
      <c r="O273" s="128" t="s">
        <v>6391</v>
      </c>
      <c r="P273" s="59"/>
      <c r="Q273" s="132">
        <v>9.2499999999999999E-2</v>
      </c>
      <c r="R273" s="132"/>
      <c r="S273" s="63" t="s">
        <v>4199</v>
      </c>
      <c r="T273" s="67" t="s">
        <v>6392</v>
      </c>
      <c r="U273" s="67" t="s">
        <v>4201</v>
      </c>
      <c r="V273" s="79" t="s">
        <v>106</v>
      </c>
      <c r="W273" s="76">
        <v>94565</v>
      </c>
      <c r="X273" s="147"/>
      <c r="Y273" s="236"/>
      <c r="Z273" s="234"/>
      <c r="AA273" s="79"/>
      <c r="AB273" s="135"/>
      <c r="AC273" s="136"/>
      <c r="AD273" s="79"/>
      <c r="AE273" s="128"/>
      <c r="AF273" s="128"/>
      <c r="AG273" s="128"/>
      <c r="AH273" s="128"/>
      <c r="AI273" s="135"/>
      <c r="AJ273" s="135"/>
      <c r="AK273" s="58"/>
      <c r="AL273" s="289"/>
      <c r="AM273" s="289"/>
      <c r="AN273" s="289"/>
      <c r="AO273" s="289"/>
      <c r="AP273" s="289"/>
      <c r="AQ273" s="289"/>
      <c r="AR273" s="289"/>
      <c r="AS273" s="207"/>
      <c r="AT273" s="116"/>
      <c r="AU273" s="67" t="s">
        <v>6392</v>
      </c>
      <c r="AV273" s="66"/>
      <c r="AW273" s="67" t="s">
        <v>4201</v>
      </c>
      <c r="AX273" s="79" t="s">
        <v>106</v>
      </c>
      <c r="AY273" s="76">
        <v>94565</v>
      </c>
      <c r="AZ273" s="77" t="s">
        <v>6393</v>
      </c>
      <c r="BA273" s="207"/>
    </row>
    <row r="274" spans="1:53" s="210" customFormat="1" ht="14.15" customHeight="1" x14ac:dyDescent="0.4">
      <c r="A274" s="256" t="s">
        <v>1994</v>
      </c>
      <c r="B274" s="67" t="s">
        <v>125</v>
      </c>
      <c r="C274" s="111" t="s">
        <v>99</v>
      </c>
      <c r="D274" s="115" t="s">
        <v>1995</v>
      </c>
      <c r="E274" s="120" t="s">
        <v>100</v>
      </c>
      <c r="F274" s="82"/>
      <c r="G274" s="84"/>
      <c r="H274" s="90" t="s">
        <v>100</v>
      </c>
      <c r="I274" s="91"/>
      <c r="J274" s="97"/>
      <c r="K274" s="102">
        <v>44335</v>
      </c>
      <c r="L274" s="327"/>
      <c r="M274" s="106">
        <v>44300</v>
      </c>
      <c r="N274" s="113" t="s">
        <v>1996</v>
      </c>
      <c r="O274" s="113" t="s">
        <v>1997</v>
      </c>
      <c r="P274" s="57" t="s">
        <v>1998</v>
      </c>
      <c r="Q274" s="132">
        <v>0.1</v>
      </c>
      <c r="R274" s="132">
        <v>0.08</v>
      </c>
      <c r="S274" s="63" t="s">
        <v>186</v>
      </c>
      <c r="T274" s="67" t="s">
        <v>1999</v>
      </c>
      <c r="U274" s="67" t="s">
        <v>188</v>
      </c>
      <c r="V274" s="113" t="s">
        <v>106</v>
      </c>
      <c r="W274" s="222">
        <v>95404</v>
      </c>
      <c r="X274" s="141" t="s">
        <v>2000</v>
      </c>
      <c r="Y274" s="139" t="s">
        <v>2001</v>
      </c>
      <c r="Z274" s="236"/>
      <c r="AA274" s="200"/>
      <c r="AB274" s="130"/>
      <c r="AC274" s="202"/>
      <c r="AD274" s="200"/>
      <c r="AE274" s="113"/>
      <c r="AF274" s="113"/>
      <c r="AG274" s="113"/>
      <c r="AH274" s="113"/>
      <c r="AI274" s="130"/>
      <c r="AJ274" s="135" t="s">
        <v>116</v>
      </c>
      <c r="AK274" s="57"/>
      <c r="AL274" s="287">
        <v>15157</v>
      </c>
      <c r="AM274" s="288">
        <v>15185</v>
      </c>
      <c r="AN274" s="288"/>
      <c r="AO274" s="288"/>
      <c r="AP274" s="288"/>
      <c r="AQ274" s="288"/>
      <c r="AR274" s="288"/>
      <c r="AS274" s="207" t="s">
        <v>132</v>
      </c>
      <c r="AT274" s="116" t="s">
        <v>1469</v>
      </c>
      <c r="AU274" s="67" t="s">
        <v>2002</v>
      </c>
      <c r="AV274" s="251"/>
      <c r="AW274" s="67" t="s">
        <v>188</v>
      </c>
      <c r="AX274" s="113" t="s">
        <v>106</v>
      </c>
      <c r="AY274" s="222">
        <v>95404</v>
      </c>
      <c r="AZ274" s="199" t="s">
        <v>1997</v>
      </c>
      <c r="BA274" s="317"/>
    </row>
    <row r="275" spans="1:53" ht="14.15" customHeight="1" x14ac:dyDescent="0.4">
      <c r="A275" s="256" t="s">
        <v>2003</v>
      </c>
      <c r="B275" s="67" t="s">
        <v>98</v>
      </c>
      <c r="C275" s="109" t="s">
        <v>99</v>
      </c>
      <c r="E275" s="120" t="s">
        <v>100</v>
      </c>
      <c r="F275" s="82"/>
      <c r="G275" s="84"/>
      <c r="H275" s="90" t="s">
        <v>100</v>
      </c>
      <c r="I275" s="91"/>
      <c r="J275" s="97"/>
      <c r="K275" s="102">
        <v>45008</v>
      </c>
      <c r="L275" s="327"/>
      <c r="M275" s="106"/>
      <c r="N275" s="128" t="s">
        <v>855</v>
      </c>
      <c r="O275" s="128" t="s">
        <v>2004</v>
      </c>
      <c r="Q275" s="131">
        <v>8.6300000000000002E-2</v>
      </c>
      <c r="S275" s="63" t="s">
        <v>103</v>
      </c>
      <c r="T275" s="67" t="s">
        <v>2005</v>
      </c>
      <c r="U275" s="67" t="s">
        <v>105</v>
      </c>
      <c r="V275" s="79" t="s">
        <v>106</v>
      </c>
      <c r="W275" s="76">
        <v>94128</v>
      </c>
      <c r="X275" s="141" t="s">
        <v>2006</v>
      </c>
      <c r="AS275" s="207"/>
      <c r="AU275" s="67" t="s">
        <v>2007</v>
      </c>
      <c r="AW275" s="67" t="s">
        <v>1596</v>
      </c>
      <c r="AX275" s="79" t="s">
        <v>106</v>
      </c>
      <c r="AY275" s="76">
        <v>94939</v>
      </c>
      <c r="AZ275" s="77" t="s">
        <v>2008</v>
      </c>
    </row>
    <row r="276" spans="1:53" s="210" customFormat="1" ht="14.15" customHeight="1" x14ac:dyDescent="0.4">
      <c r="A276" s="256" t="s">
        <v>2009</v>
      </c>
      <c r="B276" s="67" t="s">
        <v>98</v>
      </c>
      <c r="C276" s="111" t="s">
        <v>563</v>
      </c>
      <c r="D276" s="113"/>
      <c r="E276" s="120" t="s">
        <v>100</v>
      </c>
      <c r="F276" s="82"/>
      <c r="G276" s="84"/>
      <c r="H276" s="90" t="s">
        <v>100</v>
      </c>
      <c r="I276" s="91"/>
      <c r="J276" s="97"/>
      <c r="K276" s="102">
        <v>44587</v>
      </c>
      <c r="L276" s="327"/>
      <c r="M276" s="106">
        <v>42807</v>
      </c>
      <c r="N276" s="113" t="s">
        <v>191</v>
      </c>
      <c r="O276" s="113" t="s">
        <v>2010</v>
      </c>
      <c r="P276" s="57"/>
      <c r="Q276" s="132">
        <v>8.6249999999999993E-2</v>
      </c>
      <c r="R276" s="132">
        <v>8.7499999999999994E-2</v>
      </c>
      <c r="S276" s="63" t="s">
        <v>103</v>
      </c>
      <c r="T276" s="67" t="s">
        <v>2011</v>
      </c>
      <c r="U276" s="67" t="s">
        <v>105</v>
      </c>
      <c r="V276" s="113" t="s">
        <v>106</v>
      </c>
      <c r="W276" s="222">
        <v>94110</v>
      </c>
      <c r="X276" s="139" t="s">
        <v>2012</v>
      </c>
      <c r="Y276" s="139" t="s">
        <v>2012</v>
      </c>
      <c r="Z276" s="139" t="s">
        <v>2013</v>
      </c>
      <c r="AA276" s="200"/>
      <c r="AB276" s="130"/>
      <c r="AC276" s="202"/>
      <c r="AD276" s="200"/>
      <c r="AE276" s="113"/>
      <c r="AF276" s="113"/>
      <c r="AG276" s="113"/>
      <c r="AH276" s="113"/>
      <c r="AI276" s="130"/>
      <c r="AJ276" s="135"/>
      <c r="AK276" s="57"/>
      <c r="AL276" s="290" t="s">
        <v>289</v>
      </c>
      <c r="AM276" s="290">
        <v>13305</v>
      </c>
      <c r="AN276" s="290"/>
      <c r="AO276" s="290">
        <v>62245</v>
      </c>
      <c r="AP276" s="290"/>
      <c r="AQ276" s="290"/>
      <c r="AR276" s="290"/>
      <c r="AS276" s="207" t="s">
        <v>132</v>
      </c>
      <c r="AT276" s="116" t="s">
        <v>1176</v>
      </c>
      <c r="AU276" s="67" t="s">
        <v>2011</v>
      </c>
      <c r="AV276" s="251"/>
      <c r="AW276" s="67" t="s">
        <v>105</v>
      </c>
      <c r="AX276" s="113" t="s">
        <v>106</v>
      </c>
      <c r="AY276" s="222">
        <v>94110</v>
      </c>
      <c r="AZ276" s="199" t="s">
        <v>2010</v>
      </c>
      <c r="BA276" s="317"/>
    </row>
    <row r="277" spans="1:53" s="210" customFormat="1" ht="14.15" customHeight="1" x14ac:dyDescent="0.4">
      <c r="A277" s="256" t="s">
        <v>2014</v>
      </c>
      <c r="B277" s="67" t="s">
        <v>98</v>
      </c>
      <c r="C277" s="111" t="s">
        <v>99</v>
      </c>
      <c r="D277" s="115"/>
      <c r="E277" s="120" t="s">
        <v>100</v>
      </c>
      <c r="F277" s="82"/>
      <c r="G277" s="84"/>
      <c r="H277" s="90" t="s">
        <v>100</v>
      </c>
      <c r="I277" s="91"/>
      <c r="J277" s="97"/>
      <c r="K277" s="102">
        <v>44393</v>
      </c>
      <c r="L277" s="327"/>
      <c r="M277" s="106"/>
      <c r="N277" s="113" t="s">
        <v>2015</v>
      </c>
      <c r="O277" s="113" t="s">
        <v>2016</v>
      </c>
      <c r="P277" s="57"/>
      <c r="Q277" s="132">
        <v>9.2499999999999999E-2</v>
      </c>
      <c r="R277" s="132"/>
      <c r="S277" s="63" t="s">
        <v>226</v>
      </c>
      <c r="T277" s="67" t="s">
        <v>2017</v>
      </c>
      <c r="U277" s="67" t="s">
        <v>228</v>
      </c>
      <c r="V277" s="113" t="s">
        <v>106</v>
      </c>
      <c r="W277" s="222">
        <v>94901</v>
      </c>
      <c r="X277" s="141"/>
      <c r="Y277" s="236"/>
      <c r="Z277" s="236"/>
      <c r="AA277" s="200"/>
      <c r="AB277" s="130"/>
      <c r="AC277" s="202"/>
      <c r="AD277" s="200"/>
      <c r="AE277" s="113"/>
      <c r="AF277" s="113"/>
      <c r="AG277" s="113"/>
      <c r="AH277" s="113"/>
      <c r="AI277" s="130"/>
      <c r="AJ277" s="135"/>
      <c r="AK277" s="57"/>
      <c r="AL277" s="287"/>
      <c r="AM277" s="288"/>
      <c r="AN277" s="288"/>
      <c r="AO277" s="288"/>
      <c r="AP277" s="288"/>
      <c r="AQ277" s="288" t="s">
        <v>2018</v>
      </c>
      <c r="AR277" s="288"/>
      <c r="AS277" s="207"/>
      <c r="AT277" s="116"/>
      <c r="AU277" s="67"/>
      <c r="AV277" s="251"/>
      <c r="AW277" s="67"/>
      <c r="AX277" s="113"/>
      <c r="AY277" s="222"/>
      <c r="AZ277" s="199"/>
      <c r="BA277" s="317"/>
    </row>
    <row r="278" spans="1:53" ht="14.15" customHeight="1" x14ac:dyDescent="0.4">
      <c r="A278" s="256" t="s">
        <v>2019</v>
      </c>
      <c r="B278" s="67" t="s">
        <v>125</v>
      </c>
      <c r="C278" s="111" t="s">
        <v>99</v>
      </c>
      <c r="D278" s="115" t="s">
        <v>135</v>
      </c>
      <c r="E278" s="120" t="s">
        <v>100</v>
      </c>
      <c r="F278" s="82"/>
      <c r="G278" s="84"/>
      <c r="H278" s="90" t="s">
        <v>100</v>
      </c>
      <c r="I278" s="91"/>
      <c r="J278" s="97"/>
      <c r="K278" s="102">
        <v>45388</v>
      </c>
      <c r="L278" s="327"/>
      <c r="M278" s="106">
        <v>44922</v>
      </c>
      <c r="N278" s="113" t="s">
        <v>2020</v>
      </c>
      <c r="O278" s="113" t="s">
        <v>2021</v>
      </c>
      <c r="P278" s="57"/>
      <c r="Q278" s="132">
        <v>0.10249999999999999</v>
      </c>
      <c r="R278" s="132"/>
      <c r="S278" s="63" t="s">
        <v>113</v>
      </c>
      <c r="T278" s="67" t="s">
        <v>2022</v>
      </c>
      <c r="U278" s="67" t="s">
        <v>115</v>
      </c>
      <c r="V278" s="113" t="s">
        <v>106</v>
      </c>
      <c r="W278" s="222">
        <v>94610</v>
      </c>
      <c r="X278" s="141" t="s">
        <v>2023</v>
      </c>
      <c r="Y278" s="139" t="s">
        <v>2023</v>
      </c>
      <c r="Z278" s="139" t="s">
        <v>2023</v>
      </c>
      <c r="AA278" s="200"/>
      <c r="AB278" s="130"/>
      <c r="AC278" s="202"/>
      <c r="AD278" s="200"/>
      <c r="AE278" s="113"/>
      <c r="AF278" s="113"/>
      <c r="AG278" s="113"/>
      <c r="AH278" s="113"/>
      <c r="AI278" s="130"/>
      <c r="AK278" s="57"/>
      <c r="AS278" s="207"/>
      <c r="AU278" s="67" t="s">
        <v>2022</v>
      </c>
      <c r="AV278" s="251"/>
      <c r="AW278" s="67" t="s">
        <v>115</v>
      </c>
      <c r="AX278" s="113" t="s">
        <v>106</v>
      </c>
      <c r="AY278" s="222">
        <v>94610</v>
      </c>
      <c r="AZ278" s="199" t="s">
        <v>2021</v>
      </c>
      <c r="BA278" s="317"/>
    </row>
    <row r="279" spans="1:53" ht="14.15" customHeight="1" x14ac:dyDescent="0.4">
      <c r="A279" s="256" t="s">
        <v>2024</v>
      </c>
      <c r="B279" s="67" t="s">
        <v>108</v>
      </c>
      <c r="C279" s="109" t="s">
        <v>109</v>
      </c>
      <c r="D279" s="113" t="s">
        <v>2025</v>
      </c>
      <c r="E279" s="120" t="s">
        <v>100</v>
      </c>
      <c r="F279" s="82"/>
      <c r="G279" s="84"/>
      <c r="H279" s="90" t="s">
        <v>100</v>
      </c>
      <c r="I279" s="91"/>
      <c r="J279" s="97"/>
      <c r="K279" s="102">
        <v>44606</v>
      </c>
      <c r="L279" s="327"/>
      <c r="M279" s="106"/>
      <c r="N279" s="113" t="s">
        <v>1778</v>
      </c>
      <c r="O279" s="113" t="s">
        <v>2026</v>
      </c>
      <c r="P279" s="57"/>
      <c r="Q279" s="132">
        <v>9.8750000000000004E-2</v>
      </c>
      <c r="R279" s="132">
        <v>9.7500000000000003E-2</v>
      </c>
      <c r="S279" s="63" t="s">
        <v>978</v>
      </c>
      <c r="T279" s="67" t="s">
        <v>2027</v>
      </c>
      <c r="U279" s="67" t="s">
        <v>980</v>
      </c>
      <c r="V279" s="113" t="s">
        <v>106</v>
      </c>
      <c r="W279" s="222">
        <v>94066</v>
      </c>
      <c r="Z279" s="236"/>
      <c r="AA279" s="200"/>
      <c r="AB279" s="130"/>
      <c r="AC279" s="202"/>
      <c r="AD279" s="200"/>
      <c r="AE279" s="113"/>
      <c r="AF279" s="113"/>
      <c r="AG279" s="113"/>
      <c r="AH279" s="113"/>
      <c r="AI279" s="130"/>
      <c r="AK279" s="57"/>
      <c r="AL279" s="290"/>
      <c r="AM279" s="290"/>
      <c r="AN279" s="290"/>
      <c r="AO279" s="290"/>
      <c r="AP279" s="290"/>
      <c r="AQ279" s="290" t="s">
        <v>2028</v>
      </c>
      <c r="AR279" s="290"/>
      <c r="AS279" s="207" t="s">
        <v>132</v>
      </c>
      <c r="AT279" s="116" t="s">
        <v>1176</v>
      </c>
      <c r="AU279" s="67" t="s">
        <v>2027</v>
      </c>
      <c r="AV279" s="251"/>
      <c r="AW279" s="67" t="s">
        <v>980</v>
      </c>
      <c r="AX279" s="113" t="s">
        <v>106</v>
      </c>
      <c r="AY279" s="222">
        <v>94066</v>
      </c>
      <c r="AZ279" s="199" t="s">
        <v>2026</v>
      </c>
      <c r="BA279" s="317"/>
    </row>
    <row r="280" spans="1:53" ht="14.15" customHeight="1" x14ac:dyDescent="0.25">
      <c r="A280" s="256" t="s">
        <v>2029</v>
      </c>
      <c r="B280" s="67" t="s">
        <v>1637</v>
      </c>
      <c r="C280" s="109" t="s">
        <v>99</v>
      </c>
      <c r="E280" s="118" t="s">
        <v>100</v>
      </c>
      <c r="F280" s="80"/>
      <c r="G280" s="81"/>
      <c r="H280" s="87" t="s">
        <v>100</v>
      </c>
      <c r="I280" s="86"/>
      <c r="J280" s="96"/>
      <c r="K280" s="100">
        <v>45951</v>
      </c>
      <c r="L280" s="328"/>
      <c r="M280" s="104">
        <v>43460</v>
      </c>
      <c r="N280" s="128" t="s">
        <v>2030</v>
      </c>
      <c r="O280" s="128" t="s">
        <v>2031</v>
      </c>
      <c r="P280" s="59" t="s">
        <v>2032</v>
      </c>
      <c r="Q280" s="132">
        <v>9.2499999999999999E-2</v>
      </c>
      <c r="R280" s="132">
        <v>0.09</v>
      </c>
      <c r="S280" s="63" t="s">
        <v>420</v>
      </c>
      <c r="T280" s="67" t="s">
        <v>2033</v>
      </c>
      <c r="U280" s="67" t="s">
        <v>420</v>
      </c>
      <c r="V280" s="79" t="s">
        <v>106</v>
      </c>
      <c r="W280" s="76">
        <v>94945</v>
      </c>
      <c r="X280" s="141"/>
      <c r="Y280" s="139"/>
      <c r="Z280" s="235"/>
      <c r="AA280" s="79" t="s">
        <v>2034</v>
      </c>
      <c r="AI280" s="135" t="s">
        <v>288</v>
      </c>
      <c r="AL280" s="290" t="s">
        <v>149</v>
      </c>
      <c r="AM280" s="290">
        <v>13305</v>
      </c>
      <c r="AN280" s="290"/>
      <c r="AO280" s="290">
        <v>67240</v>
      </c>
      <c r="AP280" s="290"/>
      <c r="AQ280" s="290"/>
      <c r="AR280" s="290"/>
      <c r="AS280" s="207" t="s">
        <v>132</v>
      </c>
      <c r="AT280" s="116" t="s">
        <v>1176</v>
      </c>
      <c r="AU280" s="67" t="s">
        <v>2033</v>
      </c>
      <c r="AW280" s="67" t="s">
        <v>420</v>
      </c>
      <c r="AX280" s="79" t="s">
        <v>106</v>
      </c>
      <c r="AY280" s="76">
        <v>94945</v>
      </c>
      <c r="AZ280" s="77" t="s">
        <v>2031</v>
      </c>
      <c r="BA280" s="317"/>
    </row>
    <row r="281" spans="1:53" s="251" customFormat="1" ht="14.15" customHeight="1" x14ac:dyDescent="0.4">
      <c r="A281" s="256" t="s">
        <v>2035</v>
      </c>
      <c r="B281" s="67" t="s">
        <v>98</v>
      </c>
      <c r="C281" s="111" t="s">
        <v>563</v>
      </c>
      <c r="D281" s="113"/>
      <c r="E281" s="120" t="s">
        <v>100</v>
      </c>
      <c r="F281" s="82"/>
      <c r="G281" s="84"/>
      <c r="H281" s="90" t="s">
        <v>100</v>
      </c>
      <c r="I281" s="91"/>
      <c r="J281" s="97"/>
      <c r="K281" s="102">
        <v>45491</v>
      </c>
      <c r="L281" s="327"/>
      <c r="M281" s="106">
        <v>43147</v>
      </c>
      <c r="N281" s="113" t="s">
        <v>2036</v>
      </c>
      <c r="O281" s="113" t="s">
        <v>2037</v>
      </c>
      <c r="P281" s="323"/>
      <c r="Q281" s="132">
        <v>8.6249999999999993E-2</v>
      </c>
      <c r="R281" s="132">
        <v>8.7499999999999994E-2</v>
      </c>
      <c r="S281" s="63" t="s">
        <v>103</v>
      </c>
      <c r="T281" s="67" t="s">
        <v>2038</v>
      </c>
      <c r="U281" s="67" t="s">
        <v>105</v>
      </c>
      <c r="V281" s="113" t="s">
        <v>106</v>
      </c>
      <c r="W281" s="222">
        <v>94109</v>
      </c>
      <c r="X281" s="141" t="s">
        <v>2039</v>
      </c>
      <c r="Y281" s="139" t="s">
        <v>2040</v>
      </c>
      <c r="Z281" s="139" t="s">
        <v>2041</v>
      </c>
      <c r="AA281" s="200" t="s">
        <v>2036</v>
      </c>
      <c r="AB281" s="130"/>
      <c r="AC281" s="202" t="s">
        <v>2042</v>
      </c>
      <c r="AD281" s="113"/>
      <c r="AE281" s="113" t="s">
        <v>2043</v>
      </c>
      <c r="AF281" s="130" t="s">
        <v>2044</v>
      </c>
      <c r="AG281" s="113"/>
      <c r="AH281" s="113"/>
      <c r="AI281" s="130" t="s">
        <v>2045</v>
      </c>
      <c r="AJ281" s="135" t="s">
        <v>116</v>
      </c>
      <c r="AK281" s="57"/>
      <c r="AL281" s="287" t="s">
        <v>289</v>
      </c>
      <c r="AM281" s="288">
        <v>13305</v>
      </c>
      <c r="AN281" s="288"/>
      <c r="AO281" s="288"/>
      <c r="AP281" s="288"/>
      <c r="AQ281" s="288"/>
      <c r="AR281" s="288"/>
      <c r="AS281" s="207" t="s">
        <v>132</v>
      </c>
      <c r="AT281" s="116" t="s">
        <v>1176</v>
      </c>
      <c r="AU281" s="67" t="str">
        <f>PROPER(AV281)</f>
        <v>859 O'Farrell</v>
      </c>
      <c r="AV281" s="251" t="s">
        <v>2046</v>
      </c>
      <c r="AW281" s="67" t="s">
        <v>105</v>
      </c>
      <c r="AX281" s="113" t="s">
        <v>106</v>
      </c>
      <c r="AY281" s="222">
        <v>94109</v>
      </c>
      <c r="AZ281" s="199" t="s">
        <v>2037</v>
      </c>
      <c r="BA281" s="317"/>
    </row>
    <row r="282" spans="1:53" s="251" customFormat="1" ht="14.15" customHeight="1" x14ac:dyDescent="0.4">
      <c r="A282" s="256" t="s">
        <v>2047</v>
      </c>
      <c r="B282" s="67" t="s">
        <v>269</v>
      </c>
      <c r="C282" s="111" t="s">
        <v>119</v>
      </c>
      <c r="D282" s="113"/>
      <c r="E282" s="120" t="s">
        <v>100</v>
      </c>
      <c r="F282" s="82"/>
      <c r="G282" s="84"/>
      <c r="H282" s="90" t="s">
        <v>100</v>
      </c>
      <c r="I282" s="91"/>
      <c r="J282" s="97"/>
      <c r="K282" s="102">
        <v>45243</v>
      </c>
      <c r="L282" s="327"/>
      <c r="M282" s="106">
        <v>45525</v>
      </c>
      <c r="N282" s="113" t="s">
        <v>2048</v>
      </c>
      <c r="O282" s="113" t="s">
        <v>2049</v>
      </c>
      <c r="P282" s="57"/>
      <c r="Q282" s="132">
        <v>9.2499999999999999E-2</v>
      </c>
      <c r="R282" s="132">
        <v>8.5000000000000006E-2</v>
      </c>
      <c r="S282" s="63" t="s">
        <v>759</v>
      </c>
      <c r="T282" s="67" t="s">
        <v>2050</v>
      </c>
      <c r="U282" s="67" t="s">
        <v>823</v>
      </c>
      <c r="V282" s="113" t="s">
        <v>106</v>
      </c>
      <c r="W282" s="222">
        <v>94941</v>
      </c>
      <c r="X282" s="141" t="s">
        <v>2051</v>
      </c>
      <c r="Y282" s="139" t="s">
        <v>2052</v>
      </c>
      <c r="Z282" s="139" t="s">
        <v>2053</v>
      </c>
      <c r="AA282" s="200" t="s">
        <v>2054</v>
      </c>
      <c r="AB282" s="130" t="s">
        <v>2055</v>
      </c>
      <c r="AC282" s="202"/>
      <c r="AD282" s="200"/>
      <c r="AE282" s="113"/>
      <c r="AF282" s="113"/>
      <c r="AG282" s="113"/>
      <c r="AH282" s="113"/>
      <c r="AI282" s="130" t="s">
        <v>2056</v>
      </c>
      <c r="AJ282" s="135" t="s">
        <v>116</v>
      </c>
      <c r="AK282" s="57"/>
      <c r="AL282" s="287"/>
      <c r="AM282" s="288"/>
      <c r="AN282" s="288"/>
      <c r="AO282" s="288"/>
      <c r="AP282" s="288"/>
      <c r="AQ282" s="288"/>
      <c r="AR282" s="288"/>
      <c r="AS282" s="207" t="s">
        <v>132</v>
      </c>
      <c r="AT282" s="116" t="s">
        <v>1176</v>
      </c>
      <c r="AU282" s="67" t="s">
        <v>2057</v>
      </c>
      <c r="AV282" s="251" t="s">
        <v>2058</v>
      </c>
      <c r="AW282" s="67" t="s">
        <v>228</v>
      </c>
      <c r="AX282" s="113" t="s">
        <v>106</v>
      </c>
      <c r="AY282" s="222">
        <v>94901</v>
      </c>
      <c r="AZ282" s="199" t="s">
        <v>2049</v>
      </c>
      <c r="BA282" s="75"/>
    </row>
    <row r="283" spans="1:53" s="251" customFormat="1" ht="14.15" customHeight="1" x14ac:dyDescent="0.4">
      <c r="A283" s="256" t="s">
        <v>2059</v>
      </c>
      <c r="B283" s="67" t="s">
        <v>98</v>
      </c>
      <c r="C283" s="111" t="s">
        <v>99</v>
      </c>
      <c r="D283" s="115"/>
      <c r="E283" s="120" t="s">
        <v>100</v>
      </c>
      <c r="F283" s="82"/>
      <c r="G283" s="84"/>
      <c r="H283" s="90" t="s">
        <v>100</v>
      </c>
      <c r="I283" s="91"/>
      <c r="J283" s="97"/>
      <c r="K283" s="102">
        <v>46022</v>
      </c>
      <c r="L283" s="327"/>
      <c r="M283" s="106"/>
      <c r="N283" s="113" t="s">
        <v>2060</v>
      </c>
      <c r="O283" s="113" t="s">
        <v>2061</v>
      </c>
      <c r="P283" s="57"/>
      <c r="Q283" s="132">
        <v>0.1</v>
      </c>
      <c r="R283" s="132"/>
      <c r="S283" s="63" t="s">
        <v>186</v>
      </c>
      <c r="T283" s="67" t="s">
        <v>2062</v>
      </c>
      <c r="U283" s="67" t="s">
        <v>188</v>
      </c>
      <c r="V283" s="113" t="s">
        <v>106</v>
      </c>
      <c r="W283" s="222">
        <v>95401</v>
      </c>
      <c r="X283" s="139" t="s">
        <v>2063</v>
      </c>
      <c r="Y283" s="139" t="s">
        <v>2063</v>
      </c>
      <c r="Z283" s="139" t="s">
        <v>2063</v>
      </c>
      <c r="AA283" s="200"/>
      <c r="AB283" s="130"/>
      <c r="AC283" s="202"/>
      <c r="AD283" s="200"/>
      <c r="AE283" s="113"/>
      <c r="AF283" s="113"/>
      <c r="AG283" s="113"/>
      <c r="AH283" s="113"/>
      <c r="AI283" s="130"/>
      <c r="AJ283" s="135"/>
      <c r="AK283" s="57"/>
      <c r="AL283" s="287" t="s">
        <v>149</v>
      </c>
      <c r="AM283" s="288">
        <v>13305</v>
      </c>
      <c r="AN283" s="288" t="s">
        <v>198</v>
      </c>
      <c r="AO283" s="288">
        <v>62245</v>
      </c>
      <c r="AP283" s="288"/>
      <c r="AQ283" s="288"/>
      <c r="AR283" s="288"/>
      <c r="AS283" s="207"/>
      <c r="AT283" s="116"/>
      <c r="AU283" s="67" t="s">
        <v>2062</v>
      </c>
      <c r="AW283" s="67" t="s">
        <v>188</v>
      </c>
      <c r="AX283" s="113" t="s">
        <v>106</v>
      </c>
      <c r="AY283" s="222">
        <v>95401</v>
      </c>
      <c r="AZ283" s="199" t="s">
        <v>2061</v>
      </c>
      <c r="BA283" s="317"/>
    </row>
    <row r="284" spans="1:53" s="251" customFormat="1" ht="14.15" customHeight="1" x14ac:dyDescent="0.4">
      <c r="A284" s="256" t="s">
        <v>2064</v>
      </c>
      <c r="B284" s="67" t="s">
        <v>2065</v>
      </c>
      <c r="C284" s="111" t="s">
        <v>109</v>
      </c>
      <c r="D284" s="113" t="s">
        <v>2066</v>
      </c>
      <c r="E284" s="120" t="s">
        <v>100</v>
      </c>
      <c r="F284" s="82"/>
      <c r="G284" s="84"/>
      <c r="H284" s="90" t="s">
        <v>100</v>
      </c>
      <c r="I284" s="91"/>
      <c r="J284" s="97"/>
      <c r="K284" s="102">
        <v>43379</v>
      </c>
      <c r="L284" s="327"/>
      <c r="M284" s="106">
        <v>44593</v>
      </c>
      <c r="N284" s="113" t="s">
        <v>988</v>
      </c>
      <c r="O284" s="113" t="s">
        <v>2067</v>
      </c>
      <c r="P284" s="57"/>
      <c r="Q284" s="132">
        <v>0.10249999999999999</v>
      </c>
      <c r="R284" s="132">
        <v>9.5000000000000001E-2</v>
      </c>
      <c r="S284" s="63" t="s">
        <v>113</v>
      </c>
      <c r="T284" s="67" t="s">
        <v>2068</v>
      </c>
      <c r="U284" s="67" t="s">
        <v>115</v>
      </c>
      <c r="V284" s="113" t="s">
        <v>106</v>
      </c>
      <c r="W284" s="222">
        <v>94601</v>
      </c>
      <c r="X284" s="142"/>
      <c r="Y284" s="139"/>
      <c r="Z284" s="139"/>
      <c r="AA284" s="200"/>
      <c r="AB284" s="130"/>
      <c r="AC284" s="202"/>
      <c r="AD284" s="200"/>
      <c r="AE284" s="113"/>
      <c r="AF284" s="113"/>
      <c r="AG284" s="113"/>
      <c r="AH284" s="113"/>
      <c r="AI284" s="130"/>
      <c r="AJ284" s="135"/>
      <c r="AK284" s="57"/>
      <c r="AL284" s="287"/>
      <c r="AM284" s="288"/>
      <c r="AN284" s="288"/>
      <c r="AO284" s="288">
        <v>62245</v>
      </c>
      <c r="AP284" s="288"/>
      <c r="AQ284" s="288"/>
      <c r="AR284" s="288"/>
      <c r="AS284" s="207" t="s">
        <v>132</v>
      </c>
      <c r="AT284" s="116" t="s">
        <v>1176</v>
      </c>
      <c r="AU284" s="67" t="s">
        <v>2068</v>
      </c>
      <c r="AW284" s="67" t="s">
        <v>115</v>
      </c>
      <c r="AX284" s="113" t="s">
        <v>106</v>
      </c>
      <c r="AY284" s="222">
        <v>94601</v>
      </c>
      <c r="AZ284" s="199" t="s">
        <v>2067</v>
      </c>
      <c r="BA284" s="75"/>
    </row>
    <row r="285" spans="1:53" s="251" customFormat="1" ht="14.15" customHeight="1" x14ac:dyDescent="0.4">
      <c r="A285" s="256" t="s">
        <v>2069</v>
      </c>
      <c r="B285" s="67" t="s">
        <v>269</v>
      </c>
      <c r="C285" s="111" t="s">
        <v>119</v>
      </c>
      <c r="D285" s="113" t="s">
        <v>2070</v>
      </c>
      <c r="E285" s="120" t="s">
        <v>100</v>
      </c>
      <c r="F285" s="82"/>
      <c r="G285" s="84"/>
      <c r="H285" s="90" t="s">
        <v>100</v>
      </c>
      <c r="I285" s="91"/>
      <c r="J285" s="97"/>
      <c r="K285" s="102">
        <v>45959</v>
      </c>
      <c r="L285" s="327"/>
      <c r="M285" s="106">
        <v>45797</v>
      </c>
      <c r="N285" s="113" t="s">
        <v>1351</v>
      </c>
      <c r="O285" s="113" t="s">
        <v>2071</v>
      </c>
      <c r="P285" s="57"/>
      <c r="Q285" s="132">
        <v>8.6249999999999993E-2</v>
      </c>
      <c r="R285" s="132">
        <v>8.7499999999999994E-2</v>
      </c>
      <c r="S285" s="63" t="s">
        <v>103</v>
      </c>
      <c r="T285" s="67" t="s">
        <v>2072</v>
      </c>
      <c r="U285" s="67" t="s">
        <v>105</v>
      </c>
      <c r="V285" s="113" t="s">
        <v>106</v>
      </c>
      <c r="W285" s="222">
        <v>94116</v>
      </c>
      <c r="X285" s="141" t="s">
        <v>2073</v>
      </c>
      <c r="Y285" s="143"/>
      <c r="Z285" s="143"/>
      <c r="AA285" s="200" t="s">
        <v>873</v>
      </c>
      <c r="AB285" s="130"/>
      <c r="AC285" s="202" t="s">
        <v>1059</v>
      </c>
      <c r="AD285" s="200"/>
      <c r="AE285" s="113"/>
      <c r="AF285" s="113"/>
      <c r="AG285" s="113"/>
      <c r="AH285" s="113"/>
      <c r="AI285" s="130" t="s">
        <v>2074</v>
      </c>
      <c r="AJ285" s="135" t="s">
        <v>116</v>
      </c>
      <c r="AK285" s="57"/>
      <c r="AL285" s="287"/>
      <c r="AM285" s="288"/>
      <c r="AN285" s="288"/>
      <c r="AO285" s="288"/>
      <c r="AP285" s="288"/>
      <c r="AQ285" s="288">
        <v>1477</v>
      </c>
      <c r="AR285" s="288"/>
      <c r="AS285" s="207" t="s">
        <v>132</v>
      </c>
      <c r="AT285" s="116" t="s">
        <v>1176</v>
      </c>
      <c r="AU285" s="67" t="str">
        <f>PROPER(AV285)</f>
        <v>490 Taraval Street</v>
      </c>
      <c r="AV285" s="251" t="s">
        <v>2075</v>
      </c>
      <c r="AW285" s="67" t="s">
        <v>105</v>
      </c>
      <c r="AX285" s="113" t="s">
        <v>106</v>
      </c>
      <c r="AY285" s="222">
        <v>94116</v>
      </c>
      <c r="AZ285" s="199" t="s">
        <v>2071</v>
      </c>
      <c r="BA285" s="75"/>
    </row>
    <row r="286" spans="1:53" ht="14.15" customHeight="1" x14ac:dyDescent="0.4">
      <c r="A286" s="256" t="s">
        <v>2076</v>
      </c>
      <c r="B286" s="67" t="s">
        <v>98</v>
      </c>
      <c r="C286" s="111" t="s">
        <v>254</v>
      </c>
      <c r="D286" s="115"/>
      <c r="E286" s="120" t="s">
        <v>100</v>
      </c>
      <c r="F286" s="82"/>
      <c r="G286" s="84"/>
      <c r="H286" s="90" t="s">
        <v>100</v>
      </c>
      <c r="I286" s="91"/>
      <c r="J286" s="97"/>
      <c r="K286" s="102">
        <v>45351</v>
      </c>
      <c r="L286" s="327"/>
      <c r="M286" s="106"/>
      <c r="N286" s="113" t="s">
        <v>1351</v>
      </c>
      <c r="O286" s="113" t="s">
        <v>2077</v>
      </c>
      <c r="P286" s="199" t="s">
        <v>2078</v>
      </c>
      <c r="Q286" s="132">
        <v>8.2500000000000004E-2</v>
      </c>
      <c r="R286" s="132"/>
      <c r="S286" s="63" t="s">
        <v>759</v>
      </c>
      <c r="T286" s="67" t="s">
        <v>2079</v>
      </c>
      <c r="U286" s="67" t="s">
        <v>2080</v>
      </c>
      <c r="V286" s="113" t="s">
        <v>106</v>
      </c>
      <c r="W286" s="222">
        <v>94904</v>
      </c>
      <c r="X286" s="141" t="s">
        <v>2081</v>
      </c>
      <c r="Y286" s="141" t="s">
        <v>2081</v>
      </c>
      <c r="Z286" s="141" t="s">
        <v>2081</v>
      </c>
      <c r="AA286" s="200"/>
      <c r="AB286" s="130"/>
      <c r="AC286" s="202"/>
      <c r="AD286" s="200"/>
      <c r="AE286" s="113"/>
      <c r="AF286" s="113"/>
      <c r="AG286" s="113"/>
      <c r="AH286" s="113"/>
      <c r="AI286" s="130"/>
      <c r="AK286" s="57"/>
      <c r="AL286" s="287">
        <v>54230</v>
      </c>
      <c r="AM286" s="288">
        <v>13305</v>
      </c>
      <c r="AN286" s="288" t="s">
        <v>198</v>
      </c>
      <c r="AO286" s="288">
        <v>62245</v>
      </c>
      <c r="AS286" s="207" t="s">
        <v>132</v>
      </c>
      <c r="AT286" s="116" t="s">
        <v>1176</v>
      </c>
      <c r="AU286" s="67" t="s">
        <v>2079</v>
      </c>
      <c r="AV286" s="251"/>
      <c r="AW286" s="67" t="s">
        <v>2080</v>
      </c>
      <c r="AX286" s="113" t="s">
        <v>106</v>
      </c>
      <c r="AY286" s="222">
        <v>94904</v>
      </c>
      <c r="AZ286" s="199" t="s">
        <v>2082</v>
      </c>
      <c r="BA286" s="317"/>
    </row>
    <row r="287" spans="1:53" ht="14.15" customHeight="1" x14ac:dyDescent="0.4">
      <c r="A287" s="256" t="s">
        <v>2083</v>
      </c>
      <c r="B287" s="67" t="s">
        <v>98</v>
      </c>
      <c r="C287" s="111" t="s">
        <v>99</v>
      </c>
      <c r="D287" s="115"/>
      <c r="E287" s="120" t="s">
        <v>100</v>
      </c>
      <c r="F287" s="82"/>
      <c r="G287" s="84"/>
      <c r="H287" s="90" t="s">
        <v>100</v>
      </c>
      <c r="I287" s="91"/>
      <c r="J287" s="97"/>
      <c r="K287" s="102">
        <v>44291</v>
      </c>
      <c r="L287" s="327"/>
      <c r="M287" s="106"/>
      <c r="N287" s="113" t="s">
        <v>2084</v>
      </c>
      <c r="O287" s="113" t="s">
        <v>2085</v>
      </c>
      <c r="P287" s="57"/>
      <c r="Q287" s="132">
        <v>9.2499999999999999E-2</v>
      </c>
      <c r="R287" s="132"/>
      <c r="S287" s="63" t="s">
        <v>420</v>
      </c>
      <c r="T287" s="67" t="s">
        <v>2086</v>
      </c>
      <c r="U287" s="67" t="s">
        <v>420</v>
      </c>
      <c r="V287" s="113" t="s">
        <v>106</v>
      </c>
      <c r="W287" s="222">
        <v>94945</v>
      </c>
      <c r="X287" s="141"/>
      <c r="Z287" s="236"/>
      <c r="AA287" s="200"/>
      <c r="AB287" s="130"/>
      <c r="AC287" s="202"/>
      <c r="AD287" s="200"/>
      <c r="AE287" s="113"/>
      <c r="AF287" s="113"/>
      <c r="AG287" s="113"/>
      <c r="AH287" s="113"/>
      <c r="AI287" s="130"/>
      <c r="AK287" s="57"/>
      <c r="AL287" s="287">
        <v>15303</v>
      </c>
      <c r="AS287" s="207"/>
      <c r="AU287" s="67" t="s">
        <v>2086</v>
      </c>
      <c r="AV287" s="251"/>
      <c r="AW287" s="67" t="s">
        <v>420</v>
      </c>
      <c r="AX287" s="113" t="s">
        <v>106</v>
      </c>
      <c r="AY287" s="222">
        <v>94945</v>
      </c>
      <c r="AZ287" s="199" t="s">
        <v>2085</v>
      </c>
      <c r="BA287" s="317"/>
    </row>
    <row r="288" spans="1:53" ht="14.15" customHeight="1" x14ac:dyDescent="0.4">
      <c r="A288" s="256" t="s">
        <v>2087</v>
      </c>
      <c r="B288" s="67" t="s">
        <v>98</v>
      </c>
      <c r="C288" s="111" t="s">
        <v>435</v>
      </c>
      <c r="D288" s="113"/>
      <c r="E288" s="120" t="s">
        <v>100</v>
      </c>
      <c r="F288" s="82"/>
      <c r="G288" s="84"/>
      <c r="H288" s="90" t="s">
        <v>100</v>
      </c>
      <c r="I288" s="91"/>
      <c r="J288" s="97"/>
      <c r="K288" s="102">
        <v>42968</v>
      </c>
      <c r="L288" s="327"/>
      <c r="M288" s="106">
        <v>43984</v>
      </c>
      <c r="N288" s="113" t="s">
        <v>2088</v>
      </c>
      <c r="O288" s="113" t="s">
        <v>2089</v>
      </c>
      <c r="P288" s="57" t="s">
        <v>2090</v>
      </c>
      <c r="Q288" s="132">
        <v>0.10249999999999999</v>
      </c>
      <c r="R288" s="132">
        <v>9.5000000000000001E-2</v>
      </c>
      <c r="S288" s="63" t="s">
        <v>113</v>
      </c>
      <c r="T288" s="67" t="s">
        <v>2091</v>
      </c>
      <c r="U288" s="67" t="s">
        <v>641</v>
      </c>
      <c r="V288" s="113" t="s">
        <v>106</v>
      </c>
      <c r="W288" s="222">
        <v>94710</v>
      </c>
      <c r="X288" s="141" t="s">
        <v>2092</v>
      </c>
      <c r="Z288" s="236"/>
      <c r="AA288" s="200" t="s">
        <v>2093</v>
      </c>
      <c r="AB288" s="130" t="s">
        <v>2094</v>
      </c>
      <c r="AC288" s="202"/>
      <c r="AD288" s="200"/>
      <c r="AE288" s="113"/>
      <c r="AF288" s="113"/>
      <c r="AG288" s="113"/>
      <c r="AH288" s="113"/>
      <c r="AI288" s="130" t="s">
        <v>2095</v>
      </c>
      <c r="AJ288" s="135" t="s">
        <v>116</v>
      </c>
      <c r="AK288" s="57"/>
      <c r="AS288" s="207" t="s">
        <v>132</v>
      </c>
      <c r="AT288" s="116" t="s">
        <v>1176</v>
      </c>
      <c r="AU288" s="67" t="str">
        <f>PROPER(AV288)</f>
        <v>235 University Avenue</v>
      </c>
      <c r="AV288" s="251" t="s">
        <v>2096</v>
      </c>
      <c r="AW288" s="67" t="s">
        <v>641</v>
      </c>
      <c r="AX288" s="113" t="s">
        <v>106</v>
      </c>
      <c r="AY288" s="222">
        <v>94710</v>
      </c>
      <c r="AZ288" s="199" t="s">
        <v>2089</v>
      </c>
    </row>
    <row r="289" spans="1:53" s="251" customFormat="1" ht="14.15" customHeight="1" x14ac:dyDescent="0.4">
      <c r="A289" s="256" t="s">
        <v>2097</v>
      </c>
      <c r="B289" s="67" t="s">
        <v>125</v>
      </c>
      <c r="C289" s="111" t="s">
        <v>99</v>
      </c>
      <c r="D289" s="79" t="s">
        <v>2098</v>
      </c>
      <c r="E289" s="118" t="s">
        <v>100</v>
      </c>
      <c r="F289" s="80"/>
      <c r="G289" s="81"/>
      <c r="H289" s="87" t="s">
        <v>100</v>
      </c>
      <c r="I289" s="86"/>
      <c r="J289" s="96"/>
      <c r="K289" s="100">
        <v>45379</v>
      </c>
      <c r="L289" s="328"/>
      <c r="M289" s="104">
        <v>45915</v>
      </c>
      <c r="N289" s="128" t="s">
        <v>2099</v>
      </c>
      <c r="O289" s="128" t="s">
        <v>2100</v>
      </c>
      <c r="P289" s="59"/>
      <c r="Q289" s="132">
        <v>0.10249999999999999</v>
      </c>
      <c r="R289" s="132">
        <v>9.5000000000000001E-2</v>
      </c>
      <c r="S289" s="63" t="s">
        <v>113</v>
      </c>
      <c r="T289" s="67" t="s">
        <v>2101</v>
      </c>
      <c r="U289" s="67" t="s">
        <v>641</v>
      </c>
      <c r="V289" s="113" t="s">
        <v>106</v>
      </c>
      <c r="W289" s="76">
        <v>94710</v>
      </c>
      <c r="X289" s="147"/>
      <c r="Y289" s="236"/>
      <c r="Z289" s="234"/>
      <c r="AA289" s="79"/>
      <c r="AB289" s="135"/>
      <c r="AC289" s="136"/>
      <c r="AD289" s="79"/>
      <c r="AE289" s="128"/>
      <c r="AF289" s="128"/>
      <c r="AG289" s="128"/>
      <c r="AH289" s="128"/>
      <c r="AI289" s="135" t="s">
        <v>0</v>
      </c>
      <c r="AJ289" s="135" t="s">
        <v>116</v>
      </c>
      <c r="AK289" s="58"/>
      <c r="AL289" s="289"/>
      <c r="AM289" s="289"/>
      <c r="AN289" s="289"/>
      <c r="AO289" s="289">
        <v>62155</v>
      </c>
      <c r="AP289" s="289"/>
      <c r="AQ289" s="289"/>
      <c r="AR289" s="289"/>
      <c r="AS289" s="207" t="s">
        <v>132</v>
      </c>
      <c r="AT289" s="116" t="s">
        <v>1176</v>
      </c>
      <c r="AU289" s="67" t="str">
        <f>PROPER(AV289)</f>
        <v>1041 Gilman Street</v>
      </c>
      <c r="AV289" s="66" t="s">
        <v>2102</v>
      </c>
      <c r="AW289" s="67" t="s">
        <v>641</v>
      </c>
      <c r="AX289" s="113" t="s">
        <v>106</v>
      </c>
      <c r="AY289" s="76">
        <v>94710</v>
      </c>
      <c r="AZ289" s="77" t="s">
        <v>2100</v>
      </c>
      <c r="BA289" s="75"/>
    </row>
    <row r="290" spans="1:53" s="251" customFormat="1" ht="14.15" customHeight="1" x14ac:dyDescent="0.4">
      <c r="A290" s="256" t="s">
        <v>2103</v>
      </c>
      <c r="B290" s="67" t="s">
        <v>269</v>
      </c>
      <c r="C290" s="111" t="s">
        <v>119</v>
      </c>
      <c r="D290" s="115"/>
      <c r="E290" s="120" t="s">
        <v>100</v>
      </c>
      <c r="F290" s="82"/>
      <c r="G290" s="84"/>
      <c r="H290" s="90" t="s">
        <v>100</v>
      </c>
      <c r="I290" s="91"/>
      <c r="J290" s="97"/>
      <c r="K290" s="102"/>
      <c r="L290" s="327"/>
      <c r="M290" s="106">
        <v>44468</v>
      </c>
      <c r="N290" s="113" t="s">
        <v>2104</v>
      </c>
      <c r="O290" s="113" t="s">
        <v>2105</v>
      </c>
      <c r="P290" s="57"/>
      <c r="Q290" s="132">
        <v>9.375E-2</v>
      </c>
      <c r="R290" s="132"/>
      <c r="S290" s="63" t="s">
        <v>146</v>
      </c>
      <c r="T290" s="67" t="s">
        <v>2106</v>
      </c>
      <c r="U290" s="67" t="s">
        <v>148</v>
      </c>
      <c r="V290" s="113" t="s">
        <v>106</v>
      </c>
      <c r="W290" s="222">
        <v>95129</v>
      </c>
      <c r="X290" s="141"/>
      <c r="Y290" s="236"/>
      <c r="Z290" s="236"/>
      <c r="AA290" s="200"/>
      <c r="AB290" s="130"/>
      <c r="AC290" s="202"/>
      <c r="AD290" s="200"/>
      <c r="AE290" s="113"/>
      <c r="AF290" s="113"/>
      <c r="AG290" s="113"/>
      <c r="AH290" s="113"/>
      <c r="AI290" s="130"/>
      <c r="AJ290" s="135"/>
      <c r="AK290" s="57"/>
      <c r="AL290" s="287"/>
      <c r="AM290" s="288"/>
      <c r="AN290" s="288"/>
      <c r="AO290" s="288"/>
      <c r="AP290" s="288"/>
      <c r="AQ290" s="288"/>
      <c r="AR290" s="288"/>
      <c r="AS290" s="207"/>
      <c r="AT290" s="116"/>
      <c r="AU290" s="67" t="s">
        <v>2107</v>
      </c>
      <c r="AW290" s="67" t="s">
        <v>148</v>
      </c>
      <c r="AX290" s="113" t="s">
        <v>106</v>
      </c>
      <c r="AY290" s="222">
        <v>95129</v>
      </c>
      <c r="AZ290" s="199" t="s">
        <v>2105</v>
      </c>
      <c r="BA290" s="317"/>
    </row>
    <row r="291" spans="1:53" s="251" customFormat="1" ht="14.15" customHeight="1" x14ac:dyDescent="0.4">
      <c r="A291" s="256" t="s">
        <v>2108</v>
      </c>
      <c r="B291" s="67" t="s">
        <v>125</v>
      </c>
      <c r="C291" s="109" t="s">
        <v>99</v>
      </c>
      <c r="D291" s="79" t="s">
        <v>2109</v>
      </c>
      <c r="E291" s="120" t="s">
        <v>100</v>
      </c>
      <c r="F291" s="82"/>
      <c r="G291" s="84"/>
      <c r="H291" s="90" t="s">
        <v>100</v>
      </c>
      <c r="I291" s="91"/>
      <c r="J291" s="97"/>
      <c r="K291" s="102">
        <v>44739</v>
      </c>
      <c r="L291" s="327"/>
      <c r="M291" s="106">
        <v>44788</v>
      </c>
      <c r="N291" s="113" t="s">
        <v>731</v>
      </c>
      <c r="O291" s="113" t="s">
        <v>2110</v>
      </c>
      <c r="P291" s="57" t="s">
        <v>2111</v>
      </c>
      <c r="Q291" s="132">
        <v>9.8750000000000004E-2</v>
      </c>
      <c r="R291" s="132">
        <v>0.09</v>
      </c>
      <c r="S291" s="63" t="s">
        <v>1685</v>
      </c>
      <c r="T291" s="67" t="s">
        <v>2112</v>
      </c>
      <c r="U291" s="67" t="s">
        <v>1761</v>
      </c>
      <c r="V291" s="113" t="s">
        <v>106</v>
      </c>
      <c r="W291" s="222">
        <v>94019</v>
      </c>
      <c r="X291" s="141" t="s">
        <v>2113</v>
      </c>
      <c r="Y291" s="236"/>
      <c r="Z291" s="236"/>
      <c r="AA291" s="200"/>
      <c r="AB291" s="130"/>
      <c r="AC291" s="202"/>
      <c r="AD291" s="200"/>
      <c r="AE291" s="113"/>
      <c r="AF291" s="113"/>
      <c r="AG291" s="113"/>
      <c r="AH291" s="113"/>
      <c r="AI291" s="130"/>
      <c r="AJ291" s="135"/>
      <c r="AK291" s="57"/>
      <c r="AL291" s="289">
        <v>15157</v>
      </c>
      <c r="AM291" s="289"/>
      <c r="AN291" s="289"/>
      <c r="AO291" s="289"/>
      <c r="AP291" s="289"/>
      <c r="AQ291" s="289"/>
      <c r="AR291" s="289"/>
      <c r="AS291" s="207" t="s">
        <v>132</v>
      </c>
      <c r="AT291" s="116" t="s">
        <v>1176</v>
      </c>
      <c r="AU291" s="67" t="s">
        <v>2112</v>
      </c>
      <c r="AW291" s="67" t="s">
        <v>1761</v>
      </c>
      <c r="AX291" s="113" t="s">
        <v>106</v>
      </c>
      <c r="AY291" s="222">
        <v>94019</v>
      </c>
      <c r="AZ291" s="199" t="s">
        <v>2110</v>
      </c>
      <c r="BA291" s="207"/>
    </row>
    <row r="292" spans="1:53" s="251" customFormat="1" ht="14.15" customHeight="1" x14ac:dyDescent="0.4">
      <c r="A292" s="256" t="s">
        <v>2114</v>
      </c>
      <c r="B292" s="67" t="s">
        <v>98</v>
      </c>
      <c r="C292" s="111" t="s">
        <v>99</v>
      </c>
      <c r="D292" s="113"/>
      <c r="E292" s="120" t="s">
        <v>100</v>
      </c>
      <c r="F292" s="82"/>
      <c r="G292" s="84"/>
      <c r="H292" s="90" t="s">
        <v>100</v>
      </c>
      <c r="I292" s="91"/>
      <c r="J292" s="97"/>
      <c r="K292" s="102">
        <v>46006</v>
      </c>
      <c r="L292" s="327"/>
      <c r="M292" s="106"/>
      <c r="N292" s="113" t="s">
        <v>2115</v>
      </c>
      <c r="O292" s="113" t="s">
        <v>2116</v>
      </c>
      <c r="P292" s="57" t="s">
        <v>2117</v>
      </c>
      <c r="Q292" s="132">
        <v>9.2499999999999999E-2</v>
      </c>
      <c r="R292" s="132">
        <v>8.5000000000000006E-2</v>
      </c>
      <c r="S292" s="63" t="s">
        <v>759</v>
      </c>
      <c r="T292" s="67" t="s">
        <v>2118</v>
      </c>
      <c r="U292" s="67" t="s">
        <v>823</v>
      </c>
      <c r="V292" s="113" t="s">
        <v>106</v>
      </c>
      <c r="W292" s="222">
        <v>94941</v>
      </c>
      <c r="X292" s="141" t="s">
        <v>2119</v>
      </c>
      <c r="Y292" s="139"/>
      <c r="Z292" s="139" t="s">
        <v>2120</v>
      </c>
      <c r="AA292" s="200" t="s">
        <v>2121</v>
      </c>
      <c r="AB292" s="130"/>
      <c r="AC292" s="202"/>
      <c r="AD292" s="200"/>
      <c r="AE292" s="113"/>
      <c r="AF292" s="113"/>
      <c r="AG292" s="113"/>
      <c r="AH292" s="113"/>
      <c r="AI292" s="130" t="s">
        <v>2122</v>
      </c>
      <c r="AJ292" s="135" t="s">
        <v>116</v>
      </c>
      <c r="AK292" s="53" t="s">
        <v>2123</v>
      </c>
      <c r="AL292" s="287" t="s">
        <v>149</v>
      </c>
      <c r="AM292" s="288"/>
      <c r="AN292" s="288" t="s">
        <v>198</v>
      </c>
      <c r="AO292" s="288">
        <v>62245</v>
      </c>
      <c r="AP292" s="288"/>
      <c r="AQ292" s="288"/>
      <c r="AR292" s="288"/>
      <c r="AS292" s="207" t="s">
        <v>132</v>
      </c>
      <c r="AT292" s="116" t="s">
        <v>1176</v>
      </c>
      <c r="AU292" s="67" t="s">
        <v>2118</v>
      </c>
      <c r="AV292" s="251" t="s">
        <v>2124</v>
      </c>
      <c r="AW292" s="67" t="s">
        <v>823</v>
      </c>
      <c r="AX292" s="113" t="s">
        <v>106</v>
      </c>
      <c r="AY292" s="222">
        <v>94941</v>
      </c>
      <c r="AZ292" s="199" t="s">
        <v>2116</v>
      </c>
      <c r="BA292" s="317"/>
    </row>
    <row r="293" spans="1:53" s="251" customFormat="1" ht="14.15" customHeight="1" x14ac:dyDescent="0.4">
      <c r="A293" s="256" t="s">
        <v>2125</v>
      </c>
      <c r="B293" s="67" t="s">
        <v>98</v>
      </c>
      <c r="C293" s="111" t="s">
        <v>99</v>
      </c>
      <c r="D293" s="115"/>
      <c r="E293" s="120" t="s">
        <v>100</v>
      </c>
      <c r="F293" s="82"/>
      <c r="G293" s="84"/>
      <c r="H293" s="90" t="s">
        <v>100</v>
      </c>
      <c r="I293" s="91"/>
      <c r="J293" s="97"/>
      <c r="K293" s="102">
        <v>44867</v>
      </c>
      <c r="L293" s="327"/>
      <c r="M293" s="106"/>
      <c r="N293" s="113" t="s">
        <v>286</v>
      </c>
      <c r="O293" s="113" t="s">
        <v>2126</v>
      </c>
      <c r="P293" s="57"/>
      <c r="Q293" s="132">
        <v>9.2499999999999999E-2</v>
      </c>
      <c r="R293" s="132"/>
      <c r="S293" s="63" t="s">
        <v>2127</v>
      </c>
      <c r="T293" s="67" t="s">
        <v>2128</v>
      </c>
      <c r="U293" s="67" t="s">
        <v>2129</v>
      </c>
      <c r="V293" s="113" t="s">
        <v>106</v>
      </c>
      <c r="W293" s="222">
        <v>95437</v>
      </c>
      <c r="X293" s="141"/>
      <c r="Y293" s="236"/>
      <c r="Z293" s="236"/>
      <c r="AA293" s="200"/>
      <c r="AB293" s="130"/>
      <c r="AC293" s="202"/>
      <c r="AD293" s="200"/>
      <c r="AE293" s="113"/>
      <c r="AF293" s="113"/>
      <c r="AG293" s="113"/>
      <c r="AH293" s="113"/>
      <c r="AI293" s="130"/>
      <c r="AJ293" s="135"/>
      <c r="AK293" s="57"/>
      <c r="AL293" s="287"/>
      <c r="AM293" s="288"/>
      <c r="AN293" s="288"/>
      <c r="AO293" s="288"/>
      <c r="AP293" s="288"/>
      <c r="AQ293" s="288">
        <v>1911</v>
      </c>
      <c r="AR293" s="288"/>
      <c r="AS293" s="207"/>
      <c r="AT293" s="116" t="s">
        <v>1184</v>
      </c>
      <c r="AU293" s="67" t="s">
        <v>2128</v>
      </c>
      <c r="AW293" s="67" t="s">
        <v>2129</v>
      </c>
      <c r="AX293" s="113" t="s">
        <v>106</v>
      </c>
      <c r="AY293" s="222">
        <v>95437</v>
      </c>
      <c r="AZ293" s="199" t="s">
        <v>2126</v>
      </c>
      <c r="BA293" s="317"/>
    </row>
    <row r="294" spans="1:53" s="251" customFormat="1" ht="14.15" customHeight="1" x14ac:dyDescent="0.4">
      <c r="A294" s="256" t="s">
        <v>2130</v>
      </c>
      <c r="B294" s="67" t="s">
        <v>125</v>
      </c>
      <c r="C294" s="111" t="s">
        <v>99</v>
      </c>
      <c r="D294" s="115" t="s">
        <v>2131</v>
      </c>
      <c r="E294" s="120" t="s">
        <v>100</v>
      </c>
      <c r="F294" s="82"/>
      <c r="G294" s="84"/>
      <c r="H294" s="90" t="s">
        <v>100</v>
      </c>
      <c r="I294" s="91"/>
      <c r="J294" s="97"/>
      <c r="K294" s="102">
        <v>43990</v>
      </c>
      <c r="L294" s="327"/>
      <c r="M294" s="106">
        <v>43374</v>
      </c>
      <c r="N294" s="113" t="s">
        <v>144</v>
      </c>
      <c r="O294" s="113" t="s">
        <v>2132</v>
      </c>
      <c r="P294" s="57"/>
      <c r="Q294" s="132">
        <v>0.1075</v>
      </c>
      <c r="R294" s="132"/>
      <c r="S294" s="63" t="s">
        <v>994</v>
      </c>
      <c r="T294" s="67" t="s">
        <v>2133</v>
      </c>
      <c r="U294" s="67" t="s">
        <v>994</v>
      </c>
      <c r="V294" s="113" t="s">
        <v>106</v>
      </c>
      <c r="W294" s="222">
        <v>94544</v>
      </c>
      <c r="X294" s="141"/>
      <c r="Y294" s="236"/>
      <c r="Z294" s="236"/>
      <c r="AA294" s="200"/>
      <c r="AB294" s="130"/>
      <c r="AC294" s="202"/>
      <c r="AD294" s="200"/>
      <c r="AE294" s="113"/>
      <c r="AF294" s="113"/>
      <c r="AG294" s="113"/>
      <c r="AH294" s="113"/>
      <c r="AI294" s="130"/>
      <c r="AJ294" s="135"/>
      <c r="AK294" s="57"/>
      <c r="AL294" s="287">
        <v>15157</v>
      </c>
      <c r="AM294" s="288"/>
      <c r="AN294" s="288"/>
      <c r="AO294" s="288"/>
      <c r="AP294" s="288"/>
      <c r="AQ294" s="288"/>
      <c r="AR294" s="288"/>
      <c r="AS294" s="207" t="s">
        <v>132</v>
      </c>
      <c r="AT294" s="116" t="s">
        <v>1176</v>
      </c>
      <c r="AU294" s="67" t="s">
        <v>2133</v>
      </c>
      <c r="AW294" s="67" t="s">
        <v>994</v>
      </c>
      <c r="AX294" s="113" t="s">
        <v>106</v>
      </c>
      <c r="AY294" s="222">
        <v>94544</v>
      </c>
      <c r="AZ294" s="199" t="s">
        <v>2132</v>
      </c>
      <c r="BA294" s="317"/>
    </row>
    <row r="295" spans="1:53" s="251" customFormat="1" ht="14.15" customHeight="1" x14ac:dyDescent="0.4">
      <c r="A295" s="256" t="s">
        <v>2134</v>
      </c>
      <c r="B295" s="67" t="s">
        <v>253</v>
      </c>
      <c r="C295" s="111" t="s">
        <v>472</v>
      </c>
      <c r="D295" s="115"/>
      <c r="E295" s="120" t="s">
        <v>173</v>
      </c>
      <c r="F295" s="82" t="s">
        <v>174</v>
      </c>
      <c r="G295" s="84"/>
      <c r="H295" s="90"/>
      <c r="I295" s="91"/>
      <c r="J295" s="97"/>
      <c r="K295" s="102"/>
      <c r="L295" s="327"/>
      <c r="M295" s="106">
        <v>44783</v>
      </c>
      <c r="N295" s="113" t="s">
        <v>2135</v>
      </c>
      <c r="O295" s="113" t="s">
        <v>2136</v>
      </c>
      <c r="P295" s="57"/>
      <c r="Q295" s="132">
        <v>8.6249999999999993E-2</v>
      </c>
      <c r="R295" s="132"/>
      <c r="S295" s="63" t="s">
        <v>103</v>
      </c>
      <c r="T295" s="67" t="s">
        <v>2137</v>
      </c>
      <c r="U295" s="67" t="s">
        <v>105</v>
      </c>
      <c r="V295" s="113" t="s">
        <v>106</v>
      </c>
      <c r="W295" s="222">
        <v>94102</v>
      </c>
      <c r="X295" s="141"/>
      <c r="Y295" s="319"/>
      <c r="Z295" s="369"/>
      <c r="AA295" s="200"/>
      <c r="AB295" s="130"/>
      <c r="AC295" s="202"/>
      <c r="AD295" s="200"/>
      <c r="AE295" s="113"/>
      <c r="AF295" s="113"/>
      <c r="AG295" s="113"/>
      <c r="AH295" s="113"/>
      <c r="AI295" s="130"/>
      <c r="AJ295" s="135"/>
      <c r="AK295" s="57"/>
      <c r="AL295" s="287" t="s">
        <v>251</v>
      </c>
      <c r="AM295" s="288"/>
      <c r="AN295" s="288"/>
      <c r="AO295" s="288"/>
      <c r="AP295" s="288"/>
      <c r="AQ295" s="288"/>
      <c r="AR295" s="288"/>
      <c r="AS295" s="207"/>
      <c r="AT295" s="116" t="s">
        <v>589</v>
      </c>
      <c r="AU295" s="67" t="s">
        <v>2137</v>
      </c>
      <c r="AW295" s="67" t="s">
        <v>105</v>
      </c>
      <c r="AX295" s="113" t="s">
        <v>106</v>
      </c>
      <c r="AY295" s="222">
        <v>94102</v>
      </c>
      <c r="AZ295" s="199" t="s">
        <v>2136</v>
      </c>
      <c r="BA295" s="317"/>
    </row>
    <row r="296" spans="1:53" s="251" customFormat="1" ht="14.15" customHeight="1" x14ac:dyDescent="0.4">
      <c r="A296" s="256" t="s">
        <v>2138</v>
      </c>
      <c r="B296" s="67" t="s">
        <v>125</v>
      </c>
      <c r="C296" s="109" t="s">
        <v>99</v>
      </c>
      <c r="D296" s="112" t="s">
        <v>2139</v>
      </c>
      <c r="E296" s="119" t="s">
        <v>100</v>
      </c>
      <c r="F296" s="83"/>
      <c r="G296" s="209"/>
      <c r="H296" s="88" t="s">
        <v>100</v>
      </c>
      <c r="I296" s="89"/>
      <c r="J296" s="98"/>
      <c r="K296" s="101">
        <v>44487</v>
      </c>
      <c r="L296" s="329"/>
      <c r="M296" s="105">
        <v>44224</v>
      </c>
      <c r="N296" s="112" t="s">
        <v>2140</v>
      </c>
      <c r="O296" s="112" t="s">
        <v>2141</v>
      </c>
      <c r="P296" s="198"/>
      <c r="Q296" s="132">
        <v>9.7500000000000003E-2</v>
      </c>
      <c r="R296" s="132">
        <v>0.09</v>
      </c>
      <c r="S296" s="63" t="s">
        <v>138</v>
      </c>
      <c r="T296" s="198" t="s">
        <v>2142</v>
      </c>
      <c r="U296" s="198" t="s">
        <v>138</v>
      </c>
      <c r="V296" s="112" t="s">
        <v>106</v>
      </c>
      <c r="W296" s="205">
        <v>94518</v>
      </c>
      <c r="X296" s="141"/>
      <c r="Y296" s="205"/>
      <c r="Z296" s="205"/>
      <c r="AA296" s="203"/>
      <c r="AB296" s="205"/>
      <c r="AC296" s="206"/>
      <c r="AD296" s="203"/>
      <c r="AE296" s="205"/>
      <c r="AF296" s="205"/>
      <c r="AG296" s="205"/>
      <c r="AH296" s="205"/>
      <c r="AI296" s="205" t="s">
        <v>0</v>
      </c>
      <c r="AJ296" s="135" t="s">
        <v>116</v>
      </c>
      <c r="AK296" s="318"/>
      <c r="AL296" s="287">
        <v>63438</v>
      </c>
      <c r="AM296" s="288"/>
      <c r="AN296" s="288"/>
      <c r="AO296" s="288"/>
      <c r="AP296" s="288"/>
      <c r="AQ296" s="288"/>
      <c r="AR296" s="288"/>
      <c r="AS296" s="207" t="s">
        <v>132</v>
      </c>
      <c r="AT296" s="116" t="s">
        <v>1176</v>
      </c>
      <c r="AU296" s="198" t="s">
        <v>2142</v>
      </c>
      <c r="AV296" s="39"/>
      <c r="AW296" s="198" t="s">
        <v>138</v>
      </c>
      <c r="AX296" s="112" t="s">
        <v>106</v>
      </c>
      <c r="AY296" s="205">
        <v>94518</v>
      </c>
      <c r="AZ296" s="198" t="s">
        <v>2141</v>
      </c>
      <c r="BA296" s="75"/>
    </row>
    <row r="297" spans="1:53" s="251" customFormat="1" ht="14.15" customHeight="1" x14ac:dyDescent="0.25">
      <c r="A297" s="256" t="s">
        <v>2143</v>
      </c>
      <c r="B297" s="67" t="s">
        <v>98</v>
      </c>
      <c r="C297" s="109" t="s">
        <v>563</v>
      </c>
      <c r="D297" s="79"/>
      <c r="E297" s="118" t="s">
        <v>100</v>
      </c>
      <c r="F297" s="80"/>
      <c r="G297" s="81"/>
      <c r="H297" s="87" t="s">
        <v>100</v>
      </c>
      <c r="I297" s="86"/>
      <c r="J297" s="96"/>
      <c r="K297" s="100">
        <v>45959</v>
      </c>
      <c r="L297" s="328"/>
      <c r="M297" s="104"/>
      <c r="N297" s="128" t="s">
        <v>1086</v>
      </c>
      <c r="O297" s="128" t="s">
        <v>2144</v>
      </c>
      <c r="P297" s="59"/>
      <c r="Q297" s="132">
        <v>8.6249999999999993E-2</v>
      </c>
      <c r="R297" s="132">
        <v>8.7499999999999994E-2</v>
      </c>
      <c r="S297" s="63" t="s">
        <v>103</v>
      </c>
      <c r="T297" s="67" t="s">
        <v>2145</v>
      </c>
      <c r="U297" s="67" t="s">
        <v>105</v>
      </c>
      <c r="V297" s="79" t="s">
        <v>106</v>
      </c>
      <c r="W297" s="76">
        <v>94105</v>
      </c>
      <c r="X297" s="147"/>
      <c r="Y297" s="236"/>
      <c r="Z297" s="234"/>
      <c r="AA297" s="79" t="s">
        <v>2146</v>
      </c>
      <c r="AB297" s="135"/>
      <c r="AC297" s="136"/>
      <c r="AD297" s="79"/>
      <c r="AE297" s="128"/>
      <c r="AF297" s="128"/>
      <c r="AG297" s="128"/>
      <c r="AH297" s="128"/>
      <c r="AI297" s="135" t="s">
        <v>2147</v>
      </c>
      <c r="AJ297" s="135" t="s">
        <v>116</v>
      </c>
      <c r="AK297" s="58"/>
      <c r="AL297" s="289" t="s">
        <v>149</v>
      </c>
      <c r="AM297" s="289">
        <v>13305</v>
      </c>
      <c r="AN297" s="289" t="s">
        <v>198</v>
      </c>
      <c r="AO297" s="289">
        <v>62245</v>
      </c>
      <c r="AP297" s="289"/>
      <c r="AQ297" s="289"/>
      <c r="AR297" s="289"/>
      <c r="AS297" s="207" t="s">
        <v>132</v>
      </c>
      <c r="AT297" s="116" t="s">
        <v>1176</v>
      </c>
      <c r="AU297" s="67" t="s">
        <v>2145</v>
      </c>
      <c r="AV297" s="66"/>
      <c r="AW297" s="67" t="s">
        <v>105</v>
      </c>
      <c r="AX297" s="79" t="s">
        <v>106</v>
      </c>
      <c r="AY297" s="76">
        <v>94105</v>
      </c>
      <c r="AZ297" s="77" t="s">
        <v>2144</v>
      </c>
      <c r="BA297" s="317"/>
    </row>
    <row r="298" spans="1:53" s="251" customFormat="1" ht="14.15" customHeight="1" x14ac:dyDescent="0.4">
      <c r="A298" s="256" t="s">
        <v>2148</v>
      </c>
      <c r="B298" s="67" t="s">
        <v>98</v>
      </c>
      <c r="C298" s="111" t="s">
        <v>99</v>
      </c>
      <c r="D298" s="113"/>
      <c r="E298" s="120" t="s">
        <v>100</v>
      </c>
      <c r="F298" s="82"/>
      <c r="G298" s="84"/>
      <c r="H298" s="90" t="s">
        <v>100</v>
      </c>
      <c r="I298" s="91"/>
      <c r="J298" s="97"/>
      <c r="K298" s="102">
        <v>44538</v>
      </c>
      <c r="L298" s="327"/>
      <c r="M298" s="106"/>
      <c r="N298" s="113" t="s">
        <v>1856</v>
      </c>
      <c r="O298" s="113" t="s">
        <v>2149</v>
      </c>
      <c r="P298" s="57"/>
      <c r="Q298" s="132">
        <v>8.6249999999999993E-2</v>
      </c>
      <c r="R298" s="132"/>
      <c r="S298" s="63" t="s">
        <v>103</v>
      </c>
      <c r="T298" s="67" t="s">
        <v>2150</v>
      </c>
      <c r="U298" s="67" t="s">
        <v>105</v>
      </c>
      <c r="V298" s="113" t="s">
        <v>106</v>
      </c>
      <c r="W298" s="222">
        <v>94114</v>
      </c>
      <c r="X298" s="141" t="s">
        <v>2151</v>
      </c>
      <c r="Y298" s="236"/>
      <c r="Z298" s="236"/>
      <c r="AA298" s="200"/>
      <c r="AB298" s="130"/>
      <c r="AC298" s="202"/>
      <c r="AD298" s="200"/>
      <c r="AE298" s="113"/>
      <c r="AF298" s="113"/>
      <c r="AG298" s="113"/>
      <c r="AH298" s="113"/>
      <c r="AI298" s="130"/>
      <c r="AJ298" s="135"/>
      <c r="AK298" s="57"/>
      <c r="AL298" s="290" t="s">
        <v>149</v>
      </c>
      <c r="AM298" s="290">
        <v>13305</v>
      </c>
      <c r="AN298" s="290"/>
      <c r="AO298" s="290">
        <v>62245</v>
      </c>
      <c r="AP298" s="290"/>
      <c r="AQ298" s="290"/>
      <c r="AR298" s="290"/>
      <c r="AS298" s="207" t="s">
        <v>132</v>
      </c>
      <c r="AT298" s="116" t="s">
        <v>1176</v>
      </c>
      <c r="AU298" s="67" t="s">
        <v>2150</v>
      </c>
      <c r="AW298" s="67" t="s">
        <v>105</v>
      </c>
      <c r="AX298" s="113" t="s">
        <v>106</v>
      </c>
      <c r="AY298" s="222">
        <v>94114</v>
      </c>
      <c r="AZ298" s="199" t="s">
        <v>2149</v>
      </c>
      <c r="BA298" s="317"/>
    </row>
    <row r="299" spans="1:53" s="251" customFormat="1" ht="14.15" customHeight="1" x14ac:dyDescent="0.4">
      <c r="A299" s="256" t="s">
        <v>2152</v>
      </c>
      <c r="B299" s="67" t="s">
        <v>98</v>
      </c>
      <c r="C299" s="111" t="s">
        <v>99</v>
      </c>
      <c r="D299" s="115"/>
      <c r="E299" s="120" t="s">
        <v>100</v>
      </c>
      <c r="F299" s="82"/>
      <c r="G299" s="84"/>
      <c r="H299" s="90" t="s">
        <v>100</v>
      </c>
      <c r="I299" s="91"/>
      <c r="J299" s="97"/>
      <c r="K299" s="102">
        <v>45856</v>
      </c>
      <c r="L299" s="327"/>
      <c r="M299" s="106"/>
      <c r="N299" s="113" t="s">
        <v>1605</v>
      </c>
      <c r="O299" s="113" t="s">
        <v>2153</v>
      </c>
      <c r="P299" s="57" t="s">
        <v>2154</v>
      </c>
      <c r="Q299" s="132">
        <v>8.6249999999999993E-2</v>
      </c>
      <c r="R299" s="132"/>
      <c r="S299" s="63" t="s">
        <v>103</v>
      </c>
      <c r="T299" s="67" t="s">
        <v>2155</v>
      </c>
      <c r="U299" s="67" t="s">
        <v>105</v>
      </c>
      <c r="V299" s="113" t="s">
        <v>106</v>
      </c>
      <c r="W299" s="222">
        <v>94133</v>
      </c>
      <c r="X299" s="141"/>
      <c r="Y299" s="236"/>
      <c r="Z299" s="236"/>
      <c r="AA299" s="200"/>
      <c r="AB299" s="130"/>
      <c r="AC299" s="202"/>
      <c r="AD299" s="200"/>
      <c r="AE299" s="113"/>
      <c r="AF299" s="113"/>
      <c r="AG299" s="113"/>
      <c r="AH299" s="113"/>
      <c r="AI299" s="130"/>
      <c r="AJ299" s="135"/>
      <c r="AK299" s="57"/>
      <c r="AL299" s="287" t="s">
        <v>251</v>
      </c>
      <c r="AM299" s="288"/>
      <c r="AN299" s="288"/>
      <c r="AO299" s="288"/>
      <c r="AP299" s="288"/>
      <c r="AQ299" s="288"/>
      <c r="AR299" s="288"/>
      <c r="AS299" s="207"/>
      <c r="AT299" s="116"/>
      <c r="AU299" s="67" t="s">
        <v>2155</v>
      </c>
      <c r="AW299" s="67" t="s">
        <v>2156</v>
      </c>
      <c r="AX299" s="113" t="s">
        <v>106</v>
      </c>
      <c r="AY299" s="222">
        <v>94133</v>
      </c>
      <c r="AZ299" s="199" t="s">
        <v>2153</v>
      </c>
      <c r="BA299" s="317"/>
    </row>
    <row r="300" spans="1:53" s="251" customFormat="1" ht="14.15" customHeight="1" x14ac:dyDescent="0.4">
      <c r="A300" s="256" t="s">
        <v>2157</v>
      </c>
      <c r="B300" s="67" t="s">
        <v>434</v>
      </c>
      <c r="C300" s="109" t="s">
        <v>99</v>
      </c>
      <c r="D300" s="79"/>
      <c r="E300" s="120" t="s">
        <v>1648</v>
      </c>
      <c r="F300" s="82" t="s">
        <v>174</v>
      </c>
      <c r="G300" s="84"/>
      <c r="H300" s="90"/>
      <c r="I300" s="91"/>
      <c r="J300" s="97"/>
      <c r="K300" s="102">
        <v>45027</v>
      </c>
      <c r="L300" s="327"/>
      <c r="M300" s="106"/>
      <c r="N300" s="128" t="s">
        <v>2158</v>
      </c>
      <c r="O300" s="128" t="s">
        <v>2159</v>
      </c>
      <c r="P300" s="59"/>
      <c r="Q300" s="131">
        <v>0</v>
      </c>
      <c r="R300" s="131"/>
      <c r="S300" s="63" t="s">
        <v>943</v>
      </c>
      <c r="T300" s="67" t="s">
        <v>2160</v>
      </c>
      <c r="U300" s="67" t="s">
        <v>2161</v>
      </c>
      <c r="V300" s="79" t="s">
        <v>2162</v>
      </c>
      <c r="W300" s="76">
        <v>31546</v>
      </c>
      <c r="X300" s="147" t="s">
        <v>2163</v>
      </c>
      <c r="Y300" s="236"/>
      <c r="Z300" s="234"/>
      <c r="AA300" s="79" t="s">
        <v>2158</v>
      </c>
      <c r="AB300" s="135"/>
      <c r="AC300" s="136"/>
      <c r="AD300" s="79"/>
      <c r="AE300" s="128"/>
      <c r="AF300" s="128"/>
      <c r="AG300" s="128"/>
      <c r="AH300" s="128"/>
      <c r="AI300" s="135"/>
      <c r="AJ300" s="135"/>
      <c r="AK300" s="58"/>
      <c r="AL300" s="287"/>
      <c r="AM300" s="288"/>
      <c r="AN300" s="288"/>
      <c r="AO300" s="288">
        <v>67240</v>
      </c>
      <c r="AP300" s="288"/>
      <c r="AQ300" s="288"/>
      <c r="AR300" s="288"/>
      <c r="AS300" s="207" t="s">
        <v>132</v>
      </c>
      <c r="AT300" s="116" t="s">
        <v>532</v>
      </c>
      <c r="AU300" s="67" t="s">
        <v>2164</v>
      </c>
      <c r="AV300" s="66"/>
      <c r="AW300" s="67" t="s">
        <v>2161</v>
      </c>
      <c r="AX300" s="79" t="s">
        <v>2162</v>
      </c>
      <c r="AY300" s="76">
        <v>31546</v>
      </c>
      <c r="AZ300" s="77" t="s">
        <v>2159</v>
      </c>
      <c r="BA300" s="75"/>
    </row>
    <row r="301" spans="1:53" s="251" customFormat="1" ht="14.15" customHeight="1" x14ac:dyDescent="0.4">
      <c r="A301" s="256" t="s">
        <v>2165</v>
      </c>
      <c r="B301" s="67" t="s">
        <v>98</v>
      </c>
      <c r="C301" s="111" t="s">
        <v>99</v>
      </c>
      <c r="D301" s="113"/>
      <c r="E301" s="120" t="s">
        <v>100</v>
      </c>
      <c r="F301" s="80"/>
      <c r="G301" s="84"/>
      <c r="H301" s="90" t="s">
        <v>100</v>
      </c>
      <c r="I301" s="86"/>
      <c r="J301" s="97"/>
      <c r="K301" s="102">
        <v>44349</v>
      </c>
      <c r="L301" s="327"/>
      <c r="M301" s="106">
        <v>44750</v>
      </c>
      <c r="N301" s="113" t="s">
        <v>2166</v>
      </c>
      <c r="O301" s="113" t="s">
        <v>2167</v>
      </c>
      <c r="P301" s="57" t="s">
        <v>2168</v>
      </c>
      <c r="Q301" s="132">
        <v>0.1075</v>
      </c>
      <c r="R301" s="132">
        <v>9.5000000000000001E-2</v>
      </c>
      <c r="S301" s="63" t="s">
        <v>113</v>
      </c>
      <c r="T301" s="67" t="s">
        <v>2169</v>
      </c>
      <c r="U301" s="67" t="s">
        <v>324</v>
      </c>
      <c r="V301" s="113" t="s">
        <v>106</v>
      </c>
      <c r="W301" s="222">
        <v>94501</v>
      </c>
      <c r="X301" s="139" t="s">
        <v>2170</v>
      </c>
      <c r="Y301" s="139" t="s">
        <v>2170</v>
      </c>
      <c r="Z301" s="139" t="s">
        <v>2170</v>
      </c>
      <c r="AA301" s="200"/>
      <c r="AB301" s="130"/>
      <c r="AC301" s="202"/>
      <c r="AD301" s="200"/>
      <c r="AE301" s="113"/>
      <c r="AF301" s="113"/>
      <c r="AG301" s="113"/>
      <c r="AH301" s="113"/>
      <c r="AI301" s="130" t="s">
        <v>2171</v>
      </c>
      <c r="AJ301" s="135"/>
      <c r="AK301" s="57"/>
      <c r="AL301" s="289" t="s">
        <v>149</v>
      </c>
      <c r="AM301" s="289" t="s">
        <v>198</v>
      </c>
      <c r="AN301" s="289">
        <v>13305</v>
      </c>
      <c r="AO301" s="289">
        <v>62245</v>
      </c>
      <c r="AP301" s="289"/>
      <c r="AQ301" s="289"/>
      <c r="AR301" s="289"/>
      <c r="AS301" s="207" t="s">
        <v>132</v>
      </c>
      <c r="AT301" s="116" t="s">
        <v>447</v>
      </c>
      <c r="AU301" s="67" t="s">
        <v>2169</v>
      </c>
      <c r="AW301" s="67" t="s">
        <v>324</v>
      </c>
      <c r="AX301" s="113" t="s">
        <v>106</v>
      </c>
      <c r="AY301" s="222">
        <v>94501</v>
      </c>
      <c r="AZ301" s="199" t="s">
        <v>2167</v>
      </c>
      <c r="BA301" s="207"/>
    </row>
    <row r="302" spans="1:53" s="251" customFormat="1" ht="14.15" customHeight="1" x14ac:dyDescent="0.4">
      <c r="A302" s="256" t="s">
        <v>2172</v>
      </c>
      <c r="B302" s="67" t="s">
        <v>98</v>
      </c>
      <c r="C302" s="110" t="s">
        <v>99</v>
      </c>
      <c r="D302" s="112"/>
      <c r="E302" s="119" t="s">
        <v>100</v>
      </c>
      <c r="F302" s="83"/>
      <c r="G302" s="209"/>
      <c r="H302" s="88" t="s">
        <v>100</v>
      </c>
      <c r="I302" s="89"/>
      <c r="J302" s="98"/>
      <c r="K302" s="101">
        <v>44267</v>
      </c>
      <c r="L302" s="329"/>
      <c r="M302" s="105"/>
      <c r="N302" s="112" t="s">
        <v>2173</v>
      </c>
      <c r="O302" s="112" t="s">
        <v>2174</v>
      </c>
      <c r="P302" s="198"/>
      <c r="Q302" s="132">
        <v>0.10249999999999999</v>
      </c>
      <c r="R302" s="132">
        <v>9.5000000000000001E-2</v>
      </c>
      <c r="S302" s="63" t="s">
        <v>113</v>
      </c>
      <c r="T302" s="198" t="s">
        <v>2175</v>
      </c>
      <c r="U302" s="198" t="s">
        <v>115</v>
      </c>
      <c r="V302" s="112" t="s">
        <v>106</v>
      </c>
      <c r="W302" s="205">
        <v>94611</v>
      </c>
      <c r="X302" s="293"/>
      <c r="Y302" s="205"/>
      <c r="Z302" s="205"/>
      <c r="AA302" s="203"/>
      <c r="AB302" s="205"/>
      <c r="AC302" s="206"/>
      <c r="AD302" s="203"/>
      <c r="AE302" s="205"/>
      <c r="AF302" s="205"/>
      <c r="AG302" s="205"/>
      <c r="AH302" s="205"/>
      <c r="AI302" s="205"/>
      <c r="AJ302" s="135"/>
      <c r="AK302" s="318"/>
      <c r="AL302" s="287" t="s">
        <v>149</v>
      </c>
      <c r="AM302" s="288">
        <v>13305</v>
      </c>
      <c r="AN302" s="288"/>
      <c r="AO302" s="288">
        <v>62245</v>
      </c>
      <c r="AP302" s="288"/>
      <c r="AQ302" s="288"/>
      <c r="AR302" s="288"/>
      <c r="AS302" s="207" t="s">
        <v>132</v>
      </c>
      <c r="AT302" s="116" t="s">
        <v>1176</v>
      </c>
      <c r="AU302" s="198" t="s">
        <v>2175</v>
      </c>
      <c r="AV302" s="39"/>
      <c r="AW302" s="198" t="s">
        <v>115</v>
      </c>
      <c r="AX302" s="112" t="s">
        <v>106</v>
      </c>
      <c r="AY302" s="205">
        <v>94611</v>
      </c>
      <c r="AZ302" s="198" t="s">
        <v>2174</v>
      </c>
      <c r="BA302" s="75"/>
    </row>
    <row r="303" spans="1:53" s="251" customFormat="1" ht="14.15" customHeight="1" x14ac:dyDescent="0.4">
      <c r="A303" s="256" t="s">
        <v>6468</v>
      </c>
      <c r="B303" s="67" t="s">
        <v>98</v>
      </c>
      <c r="C303" s="110" t="s">
        <v>99</v>
      </c>
      <c r="D303" s="112"/>
      <c r="E303" s="119" t="s">
        <v>100</v>
      </c>
      <c r="F303" s="83"/>
      <c r="G303" s="209"/>
      <c r="H303" s="88" t="s">
        <v>100</v>
      </c>
      <c r="I303" s="89"/>
      <c r="J303" s="98"/>
      <c r="K303" s="101">
        <v>45855</v>
      </c>
      <c r="L303" s="329"/>
      <c r="M303" s="105"/>
      <c r="N303" s="112" t="s">
        <v>6469</v>
      </c>
      <c r="O303" s="112" t="s">
        <v>6470</v>
      </c>
      <c r="P303" s="198"/>
      <c r="Q303" s="132">
        <v>9.7500000000000003E-2</v>
      </c>
      <c r="R303" s="132"/>
      <c r="S303" s="63" t="s">
        <v>2934</v>
      </c>
      <c r="T303" s="198" t="s">
        <v>6471</v>
      </c>
      <c r="U303" s="198" t="s">
        <v>2934</v>
      </c>
      <c r="V303" s="112" t="s">
        <v>106</v>
      </c>
      <c r="W303" s="205">
        <v>94509</v>
      </c>
      <c r="X303" s="141" t="s">
        <v>6472</v>
      </c>
      <c r="Y303" s="205" t="s">
        <v>6472</v>
      </c>
      <c r="Z303" s="205"/>
      <c r="AA303" s="203"/>
      <c r="AB303" s="205"/>
      <c r="AC303" s="206"/>
      <c r="AD303" s="203"/>
      <c r="AE303" s="205"/>
      <c r="AF303" s="205"/>
      <c r="AG303" s="205"/>
      <c r="AH303" s="205"/>
      <c r="AI303" s="205"/>
      <c r="AJ303" s="135"/>
      <c r="AK303" s="318"/>
      <c r="AL303" s="287" t="s">
        <v>251</v>
      </c>
      <c r="AM303" s="288"/>
      <c r="AN303" s="288"/>
      <c r="AO303" s="288"/>
      <c r="AP303" s="288"/>
      <c r="AQ303" s="288"/>
      <c r="AR303" s="288"/>
      <c r="AS303" s="207"/>
      <c r="AT303" s="116"/>
      <c r="AU303" s="198" t="s">
        <v>6471</v>
      </c>
      <c r="AV303" s="39"/>
      <c r="AW303" s="198" t="s">
        <v>2934</v>
      </c>
      <c r="AX303" s="112" t="s">
        <v>106</v>
      </c>
      <c r="AY303" s="205">
        <v>94509</v>
      </c>
      <c r="AZ303" s="198" t="s">
        <v>6470</v>
      </c>
      <c r="BA303" s="75"/>
    </row>
    <row r="304" spans="1:53" s="210" customFormat="1" ht="14.15" customHeight="1" x14ac:dyDescent="0.4">
      <c r="A304" s="256" t="s">
        <v>2176</v>
      </c>
      <c r="B304" s="67" t="s">
        <v>434</v>
      </c>
      <c r="C304" s="111" t="s">
        <v>119</v>
      </c>
      <c r="D304" s="113"/>
      <c r="E304" s="120" t="s">
        <v>173</v>
      </c>
      <c r="F304" s="82" t="s">
        <v>174</v>
      </c>
      <c r="G304" s="84"/>
      <c r="H304" s="90" t="s">
        <v>276</v>
      </c>
      <c r="I304" s="91" t="s">
        <v>244</v>
      </c>
      <c r="J304" s="97"/>
      <c r="K304" s="102">
        <v>45610</v>
      </c>
      <c r="L304" s="327"/>
      <c r="M304" s="106">
        <v>44676</v>
      </c>
      <c r="N304" s="113" t="s">
        <v>855</v>
      </c>
      <c r="O304" s="113" t="s">
        <v>2177</v>
      </c>
      <c r="P304" s="57" t="s">
        <v>2178</v>
      </c>
      <c r="Q304" s="132">
        <v>8.6249999999999993E-2</v>
      </c>
      <c r="R304" s="132">
        <v>8.7499999999999994E-2</v>
      </c>
      <c r="S304" s="63" t="s">
        <v>103</v>
      </c>
      <c r="T304" s="67" t="s">
        <v>2179</v>
      </c>
      <c r="U304" s="67" t="s">
        <v>105</v>
      </c>
      <c r="V304" s="113" t="s">
        <v>106</v>
      </c>
      <c r="W304" s="222">
        <v>94109</v>
      </c>
      <c r="X304" s="141" t="s">
        <v>2180</v>
      </c>
      <c r="Y304" s="236"/>
      <c r="Z304" s="236"/>
      <c r="AA304" s="200" t="s">
        <v>2181</v>
      </c>
      <c r="AB304" s="130"/>
      <c r="AC304" s="202" t="s">
        <v>2182</v>
      </c>
      <c r="AD304" s="200"/>
      <c r="AE304" s="113" t="s">
        <v>855</v>
      </c>
      <c r="AF304" s="113"/>
      <c r="AG304" s="113"/>
      <c r="AH304" s="113"/>
      <c r="AI304" s="130" t="s">
        <v>2183</v>
      </c>
      <c r="AJ304" s="135" t="s">
        <v>116</v>
      </c>
      <c r="AK304" s="57"/>
      <c r="AL304" s="287" t="s">
        <v>289</v>
      </c>
      <c r="AM304" s="288"/>
      <c r="AN304" s="288"/>
      <c r="AO304" s="303">
        <v>67240</v>
      </c>
      <c r="AP304" s="288"/>
      <c r="AQ304" s="288"/>
      <c r="AR304" s="288"/>
      <c r="AS304" s="207" t="s">
        <v>132</v>
      </c>
      <c r="AT304" s="116" t="s">
        <v>1176</v>
      </c>
      <c r="AU304" s="67" t="str">
        <f>PROPER(AV304)</f>
        <v>1906 Van Ness Avenue</v>
      </c>
      <c r="AV304" s="251" t="s">
        <v>2184</v>
      </c>
      <c r="AW304" s="67" t="s">
        <v>105</v>
      </c>
      <c r="AX304" s="113" t="s">
        <v>106</v>
      </c>
      <c r="AY304" s="222">
        <v>94109</v>
      </c>
      <c r="AZ304" s="199" t="s">
        <v>2185</v>
      </c>
      <c r="BA304" s="207"/>
    </row>
    <row r="305" spans="1:53" s="210" customFormat="1" ht="14.15" customHeight="1" x14ac:dyDescent="0.4">
      <c r="A305" s="256" t="s">
        <v>2186</v>
      </c>
      <c r="B305" s="67" t="s">
        <v>98</v>
      </c>
      <c r="C305" s="111" t="s">
        <v>99</v>
      </c>
      <c r="D305" s="115"/>
      <c r="E305" s="120" t="s">
        <v>100</v>
      </c>
      <c r="F305" s="82"/>
      <c r="G305" s="84"/>
      <c r="H305" s="90" t="s">
        <v>100</v>
      </c>
      <c r="I305" s="91"/>
      <c r="J305" s="97"/>
      <c r="K305" s="102">
        <v>44384</v>
      </c>
      <c r="L305" s="327"/>
      <c r="M305" s="106">
        <v>44253</v>
      </c>
      <c r="N305" s="113" t="s">
        <v>2187</v>
      </c>
      <c r="O305" s="113" t="s">
        <v>2188</v>
      </c>
      <c r="P305" s="57"/>
      <c r="Q305" s="132">
        <v>8.7499999999999994E-2</v>
      </c>
      <c r="R305" s="132"/>
      <c r="S305" s="63" t="s">
        <v>309</v>
      </c>
      <c r="T305" s="67" t="s">
        <v>2189</v>
      </c>
      <c r="U305" s="67" t="s">
        <v>311</v>
      </c>
      <c r="V305" s="113" t="s">
        <v>106</v>
      </c>
      <c r="W305" s="222">
        <v>95814</v>
      </c>
      <c r="X305" s="141"/>
      <c r="Y305" s="236"/>
      <c r="Z305" s="236"/>
      <c r="AA305" s="200"/>
      <c r="AB305" s="130"/>
      <c r="AC305" s="202"/>
      <c r="AD305" s="200"/>
      <c r="AE305" s="113"/>
      <c r="AF305" s="113"/>
      <c r="AG305" s="113"/>
      <c r="AH305" s="113"/>
      <c r="AI305" s="130"/>
      <c r="AJ305" s="135"/>
      <c r="AK305" s="57"/>
      <c r="AL305" s="287" t="s">
        <v>149</v>
      </c>
      <c r="AM305" s="288">
        <v>13305</v>
      </c>
      <c r="AN305" s="288"/>
      <c r="AO305" s="288">
        <v>62245</v>
      </c>
      <c r="AP305" s="288"/>
      <c r="AQ305" s="288"/>
      <c r="AR305" s="288"/>
      <c r="AS305" s="207"/>
      <c r="AT305" s="116"/>
      <c r="AU305" s="67" t="s">
        <v>2189</v>
      </c>
      <c r="AV305" s="251"/>
      <c r="AW305" s="67" t="s">
        <v>311</v>
      </c>
      <c r="AX305" s="113" t="s">
        <v>106</v>
      </c>
      <c r="AY305" s="222">
        <v>95814</v>
      </c>
      <c r="AZ305" s="199" t="s">
        <v>2188</v>
      </c>
      <c r="BA305" s="317"/>
    </row>
    <row r="306" spans="1:53" s="210" customFormat="1" ht="14.15" customHeight="1" x14ac:dyDescent="0.4">
      <c r="A306" s="256" t="s">
        <v>2190</v>
      </c>
      <c r="B306" s="67" t="s">
        <v>98</v>
      </c>
      <c r="C306" s="111" t="s">
        <v>99</v>
      </c>
      <c r="D306" s="115"/>
      <c r="E306" s="120" t="s">
        <v>100</v>
      </c>
      <c r="F306" s="82"/>
      <c r="G306" s="84"/>
      <c r="H306" s="90" t="s">
        <v>100</v>
      </c>
      <c r="I306" s="91"/>
      <c r="J306" s="97"/>
      <c r="K306" s="102">
        <v>45632</v>
      </c>
      <c r="L306" s="327"/>
      <c r="M306" s="106">
        <v>44203</v>
      </c>
      <c r="N306" s="113" t="s">
        <v>2187</v>
      </c>
      <c r="O306" s="113" t="s">
        <v>2191</v>
      </c>
      <c r="P306" s="57" t="s">
        <v>6358</v>
      </c>
      <c r="Q306" s="132">
        <v>9.2499999999999999E-2</v>
      </c>
      <c r="R306" s="132"/>
      <c r="S306" s="63" t="s">
        <v>303</v>
      </c>
      <c r="T306" s="67" t="s">
        <v>2192</v>
      </c>
      <c r="U306" s="67" t="s">
        <v>1533</v>
      </c>
      <c r="V306" s="113" t="s">
        <v>106</v>
      </c>
      <c r="W306" s="222">
        <v>94590</v>
      </c>
      <c r="X306" s="141"/>
      <c r="Y306" s="139" t="s">
        <v>6364</v>
      </c>
      <c r="Z306" s="236"/>
      <c r="AA306" s="200"/>
      <c r="AB306" s="130"/>
      <c r="AC306" s="202"/>
      <c r="AD306" s="200"/>
      <c r="AE306" s="113"/>
      <c r="AF306" s="113"/>
      <c r="AG306" s="113"/>
      <c r="AH306" s="113"/>
      <c r="AI306" s="130"/>
      <c r="AJ306" s="135"/>
      <c r="AK306" s="57"/>
      <c r="AL306" s="287" t="s">
        <v>289</v>
      </c>
      <c r="AM306" s="288">
        <v>13305</v>
      </c>
      <c r="AN306" s="288"/>
      <c r="AO306" s="288">
        <v>62245</v>
      </c>
      <c r="AP306" s="288"/>
      <c r="AQ306" s="288"/>
      <c r="AR306" s="288"/>
      <c r="AS306" s="207"/>
      <c r="AT306" s="116"/>
      <c r="AU306" s="67" t="s">
        <v>2192</v>
      </c>
      <c r="AV306" s="251"/>
      <c r="AW306" s="67" t="s">
        <v>1533</v>
      </c>
      <c r="AX306" s="113" t="s">
        <v>106</v>
      </c>
      <c r="AY306" s="222">
        <v>94590</v>
      </c>
      <c r="AZ306" s="199" t="s">
        <v>2191</v>
      </c>
      <c r="BA306" s="317"/>
    </row>
    <row r="307" spans="1:53" s="210" customFormat="1" ht="14.15" customHeight="1" x14ac:dyDescent="0.4">
      <c r="A307" s="256" t="s">
        <v>2193</v>
      </c>
      <c r="B307" s="67" t="s">
        <v>244</v>
      </c>
      <c r="C307" s="111" t="s">
        <v>2194</v>
      </c>
      <c r="D307" s="115"/>
      <c r="E307" s="120" t="s">
        <v>173</v>
      </c>
      <c r="F307" s="82" t="s">
        <v>174</v>
      </c>
      <c r="G307" s="84"/>
      <c r="H307" s="90"/>
      <c r="I307" s="91"/>
      <c r="J307" s="97"/>
      <c r="K307" s="102">
        <v>44706</v>
      </c>
      <c r="L307" s="327"/>
      <c r="M307" s="106"/>
      <c r="N307" s="113" t="s">
        <v>2195</v>
      </c>
      <c r="O307" s="283" t="s">
        <v>2196</v>
      </c>
      <c r="P307" s="57"/>
      <c r="Q307" s="132">
        <v>0.08</v>
      </c>
      <c r="R307" s="132"/>
      <c r="S307" s="63" t="s">
        <v>943</v>
      </c>
      <c r="T307" s="67" t="s">
        <v>2197</v>
      </c>
      <c r="U307" s="67" t="s">
        <v>2198</v>
      </c>
      <c r="V307" s="113" t="s">
        <v>2162</v>
      </c>
      <c r="W307" s="222">
        <v>31331</v>
      </c>
      <c r="X307" s="141" t="s">
        <v>2199</v>
      </c>
      <c r="Y307" s="141" t="s">
        <v>2199</v>
      </c>
      <c r="Z307" s="141" t="s">
        <v>2199</v>
      </c>
      <c r="AA307" s="200"/>
      <c r="AB307" s="130"/>
      <c r="AC307" s="202"/>
      <c r="AD307" s="200"/>
      <c r="AE307" s="113"/>
      <c r="AF307" s="113"/>
      <c r="AG307" s="113"/>
      <c r="AH307" s="113"/>
      <c r="AI307" s="130"/>
      <c r="AJ307" s="135"/>
      <c r="AK307" s="57"/>
      <c r="AL307" s="287"/>
      <c r="AM307" s="288"/>
      <c r="AN307" s="288"/>
      <c r="AO307" s="288"/>
      <c r="AP307" s="288"/>
      <c r="AQ307" s="288"/>
      <c r="AR307" s="288"/>
      <c r="AS307" s="207"/>
      <c r="AT307" s="116"/>
      <c r="AU307" s="67" t="s">
        <v>2197</v>
      </c>
      <c r="AV307" s="251"/>
      <c r="AW307" s="67" t="s">
        <v>2198</v>
      </c>
      <c r="AX307" s="113" t="s">
        <v>2162</v>
      </c>
      <c r="AY307" s="222">
        <v>31331</v>
      </c>
      <c r="AZ307" s="284" t="s">
        <v>2196</v>
      </c>
      <c r="BA307" s="317"/>
    </row>
    <row r="308" spans="1:53" s="251" customFormat="1" ht="14.15" customHeight="1" x14ac:dyDescent="0.4">
      <c r="A308" s="256" t="s">
        <v>2200</v>
      </c>
      <c r="B308" s="67" t="s">
        <v>174</v>
      </c>
      <c r="C308" s="109" t="s">
        <v>99</v>
      </c>
      <c r="D308" s="79"/>
      <c r="E308" s="120" t="s">
        <v>173</v>
      </c>
      <c r="F308" s="82" t="s">
        <v>174</v>
      </c>
      <c r="G308" s="84"/>
      <c r="H308" s="90" t="s">
        <v>100</v>
      </c>
      <c r="I308" s="91"/>
      <c r="J308" s="97"/>
      <c r="K308" s="102">
        <v>46007</v>
      </c>
      <c r="L308" s="327"/>
      <c r="M308" s="106"/>
      <c r="N308" s="128" t="s">
        <v>2201</v>
      </c>
      <c r="O308" s="128" t="s">
        <v>2202</v>
      </c>
      <c r="P308" s="59" t="s">
        <v>2203</v>
      </c>
      <c r="Q308" s="131">
        <v>8.6249999999999993E-2</v>
      </c>
      <c r="R308" s="131"/>
      <c r="S308" s="63" t="s">
        <v>103</v>
      </c>
      <c r="T308" s="67" t="s">
        <v>2204</v>
      </c>
      <c r="U308" s="67" t="s">
        <v>105</v>
      </c>
      <c r="V308" s="79" t="s">
        <v>106</v>
      </c>
      <c r="W308" s="76">
        <v>94121</v>
      </c>
      <c r="X308" s="141" t="s">
        <v>2205</v>
      </c>
      <c r="Y308" s="236"/>
      <c r="Z308" s="234"/>
      <c r="AA308" s="79"/>
      <c r="AB308" s="135"/>
      <c r="AC308" s="136"/>
      <c r="AD308" s="79"/>
      <c r="AE308" s="128"/>
      <c r="AF308" s="128"/>
      <c r="AG308" s="128"/>
      <c r="AH308" s="128"/>
      <c r="AI308" s="135"/>
      <c r="AJ308" s="135"/>
      <c r="AK308" s="58"/>
      <c r="AL308" s="287"/>
      <c r="AM308" s="288"/>
      <c r="AN308" s="288"/>
      <c r="AO308" s="288"/>
      <c r="AP308" s="288"/>
      <c r="AQ308" s="288"/>
      <c r="AR308" s="288"/>
      <c r="AS308" s="207"/>
      <c r="AT308" s="116"/>
      <c r="AU308" s="67"/>
      <c r="AV308" s="66"/>
      <c r="AW308" s="67"/>
      <c r="AX308" s="79"/>
      <c r="AY308" s="76"/>
      <c r="AZ308" s="77"/>
      <c r="BA308" s="75"/>
    </row>
    <row r="309" spans="1:53" s="251" customFormat="1" ht="14.15" customHeight="1" x14ac:dyDescent="0.4">
      <c r="A309" s="256" t="s">
        <v>2206</v>
      </c>
      <c r="B309" s="67" t="s">
        <v>269</v>
      </c>
      <c r="C309" s="111" t="s">
        <v>119</v>
      </c>
      <c r="D309" s="115"/>
      <c r="E309" s="120" t="s">
        <v>100</v>
      </c>
      <c r="F309" s="82"/>
      <c r="G309" s="84"/>
      <c r="H309" s="90" t="s">
        <v>100</v>
      </c>
      <c r="I309" s="91"/>
      <c r="J309" s="97"/>
      <c r="K309" s="102"/>
      <c r="L309" s="327"/>
      <c r="M309" s="106"/>
      <c r="N309" s="113" t="s">
        <v>2207</v>
      </c>
      <c r="O309" s="113"/>
      <c r="P309" s="57"/>
      <c r="Q309" s="132">
        <v>7.2499999999999995E-2</v>
      </c>
      <c r="R309" s="132"/>
      <c r="S309" s="63" t="s">
        <v>2208</v>
      </c>
      <c r="T309" s="67" t="s">
        <v>2209</v>
      </c>
      <c r="U309" s="67" t="s">
        <v>2210</v>
      </c>
      <c r="V309" s="113" t="s">
        <v>106</v>
      </c>
      <c r="W309" s="222">
        <v>95603</v>
      </c>
      <c r="X309" s="139" t="s">
        <v>2211</v>
      </c>
      <c r="Y309" s="139" t="s">
        <v>2211</v>
      </c>
      <c r="Z309" s="139" t="s">
        <v>2211</v>
      </c>
      <c r="AA309" s="200"/>
      <c r="AB309" s="130"/>
      <c r="AC309" s="202"/>
      <c r="AD309" s="200"/>
      <c r="AE309" s="113"/>
      <c r="AF309" s="113"/>
      <c r="AG309" s="113"/>
      <c r="AH309" s="113"/>
      <c r="AI309" s="130"/>
      <c r="AJ309" s="135"/>
      <c r="AK309" s="57"/>
      <c r="AL309" s="287"/>
      <c r="AM309" s="288"/>
      <c r="AN309" s="288"/>
      <c r="AO309" s="288"/>
      <c r="AP309" s="288"/>
      <c r="AQ309" s="288"/>
      <c r="AR309" s="288"/>
      <c r="AS309" s="207"/>
      <c r="AT309" s="116"/>
      <c r="AU309" s="67" t="s">
        <v>2212</v>
      </c>
      <c r="AW309" s="67" t="s">
        <v>2213</v>
      </c>
      <c r="AX309" s="113" t="s">
        <v>106</v>
      </c>
      <c r="AY309" s="222">
        <v>95603</v>
      </c>
      <c r="AZ309" s="199" t="s">
        <v>2214</v>
      </c>
      <c r="BA309" s="317"/>
    </row>
    <row r="310" spans="1:53" s="251" customFormat="1" ht="14.15" customHeight="1" x14ac:dyDescent="0.4">
      <c r="A310" s="256" t="s">
        <v>2215</v>
      </c>
      <c r="B310" s="67" t="s">
        <v>244</v>
      </c>
      <c r="C310" s="111" t="s">
        <v>2216</v>
      </c>
      <c r="D310" s="115"/>
      <c r="E310" s="120" t="s">
        <v>173</v>
      </c>
      <c r="F310" s="82" t="s">
        <v>174</v>
      </c>
      <c r="G310" s="84"/>
      <c r="H310" s="90"/>
      <c r="I310" s="91"/>
      <c r="J310" s="97"/>
      <c r="K310" s="102"/>
      <c r="L310" s="327"/>
      <c r="M310" s="106"/>
      <c r="N310" s="130" t="s">
        <v>2217</v>
      </c>
      <c r="O310" s="130" t="s">
        <v>2214</v>
      </c>
      <c r="P310" s="57" t="s">
        <v>2218</v>
      </c>
      <c r="Q310" s="132">
        <v>7.2499999999999995E-2</v>
      </c>
      <c r="R310" s="132"/>
      <c r="S310" s="63" t="s">
        <v>2208</v>
      </c>
      <c r="T310" s="57" t="s">
        <v>2212</v>
      </c>
      <c r="U310" s="67" t="s">
        <v>2213</v>
      </c>
      <c r="V310" s="113" t="s">
        <v>106</v>
      </c>
      <c r="W310" s="222">
        <v>95603</v>
      </c>
      <c r="X310" s="141" t="s">
        <v>2219</v>
      </c>
      <c r="Y310" s="141" t="s">
        <v>2219</v>
      </c>
      <c r="Z310" s="141" t="s">
        <v>2219</v>
      </c>
      <c r="AA310" s="200"/>
      <c r="AB310" s="130"/>
      <c r="AC310" s="202"/>
      <c r="AD310" s="200"/>
      <c r="AE310" s="113"/>
      <c r="AF310" s="113"/>
      <c r="AG310" s="113"/>
      <c r="AH310" s="113"/>
      <c r="AI310" s="130"/>
      <c r="AJ310" s="135"/>
      <c r="AK310" s="57"/>
      <c r="AL310" s="287"/>
      <c r="AM310" s="288"/>
      <c r="AN310" s="288"/>
      <c r="AO310" s="288"/>
      <c r="AP310" s="288"/>
      <c r="AQ310" s="288"/>
      <c r="AR310" s="288"/>
      <c r="AS310" s="207"/>
      <c r="AT310" s="116"/>
      <c r="AU310" s="67" t="s">
        <v>2212</v>
      </c>
      <c r="AW310" s="67" t="s">
        <v>2213</v>
      </c>
      <c r="AX310" s="113" t="s">
        <v>106</v>
      </c>
      <c r="AY310" s="222">
        <v>95603</v>
      </c>
      <c r="AZ310" s="57" t="s">
        <v>2214</v>
      </c>
      <c r="BA310" s="317"/>
    </row>
    <row r="311" spans="1:53" ht="14.15" customHeight="1" x14ac:dyDescent="0.4">
      <c r="A311" s="256" t="s">
        <v>2220</v>
      </c>
      <c r="B311" s="67" t="s">
        <v>269</v>
      </c>
      <c r="C311" s="111" t="s">
        <v>99</v>
      </c>
      <c r="D311" s="113"/>
      <c r="E311" s="120" t="s">
        <v>100</v>
      </c>
      <c r="F311" s="82"/>
      <c r="G311" s="84"/>
      <c r="H311" s="90" t="s">
        <v>100</v>
      </c>
      <c r="I311" s="91"/>
      <c r="J311" s="97"/>
      <c r="K311" s="102"/>
      <c r="L311" s="327"/>
      <c r="M311" s="106">
        <v>45432</v>
      </c>
      <c r="N311" s="113" t="s">
        <v>1530</v>
      </c>
      <c r="O311" s="113" t="s">
        <v>2221</v>
      </c>
      <c r="P311" s="57"/>
      <c r="Q311" s="132">
        <v>8.6249999999999993E-2</v>
      </c>
      <c r="R311" s="132"/>
      <c r="S311" s="63" t="s">
        <v>103</v>
      </c>
      <c r="T311" s="67" t="s">
        <v>2222</v>
      </c>
      <c r="U311" s="67" t="s">
        <v>105</v>
      </c>
      <c r="V311" s="113" t="s">
        <v>106</v>
      </c>
      <c r="W311" s="222">
        <v>94102</v>
      </c>
      <c r="X311" s="141"/>
      <c r="Y311" s="141"/>
      <c r="Z311" s="141"/>
      <c r="AA311" s="200"/>
      <c r="AB311" s="130"/>
      <c r="AC311" s="202"/>
      <c r="AD311" s="200"/>
      <c r="AE311" s="113"/>
      <c r="AF311" s="113"/>
      <c r="AG311" s="113"/>
      <c r="AH311" s="113"/>
      <c r="AI311" s="130"/>
      <c r="AK311" s="57"/>
      <c r="AL311" s="290"/>
      <c r="AM311" s="290"/>
      <c r="AN311" s="290"/>
      <c r="AO311" s="290"/>
      <c r="AP311" s="290"/>
      <c r="AQ311" s="290"/>
      <c r="AR311" s="290"/>
      <c r="AS311" s="207"/>
      <c r="AT311" s="116" t="s">
        <v>406</v>
      </c>
      <c r="AU311" s="67" t="s">
        <v>2222</v>
      </c>
      <c r="AV311" s="251"/>
      <c r="AW311" s="67" t="s">
        <v>105</v>
      </c>
      <c r="AX311" s="113" t="s">
        <v>106</v>
      </c>
      <c r="AY311" s="222">
        <v>94102</v>
      </c>
      <c r="AZ311" s="199" t="s">
        <v>2221</v>
      </c>
      <c r="BA311" s="317"/>
    </row>
    <row r="312" spans="1:53" ht="14.15" customHeight="1" x14ac:dyDescent="0.4">
      <c r="A312" s="256" t="s">
        <v>2223</v>
      </c>
      <c r="B312" s="67" t="s">
        <v>269</v>
      </c>
      <c r="C312" s="111" t="s">
        <v>109</v>
      </c>
      <c r="D312" s="115"/>
      <c r="E312" s="120" t="s">
        <v>100</v>
      </c>
      <c r="F312" s="82"/>
      <c r="G312" s="84"/>
      <c r="H312" s="90" t="s">
        <v>100</v>
      </c>
      <c r="I312" s="91"/>
      <c r="J312" s="97"/>
      <c r="K312" s="102"/>
      <c r="L312" s="327"/>
      <c r="M312" s="106">
        <v>44631</v>
      </c>
      <c r="N312" s="113" t="s">
        <v>2224</v>
      </c>
      <c r="O312" s="113" t="s">
        <v>2225</v>
      </c>
      <c r="P312" s="57"/>
      <c r="Q312" s="132">
        <v>8.6249999999999993E-2</v>
      </c>
      <c r="R312" s="132"/>
      <c r="S312" s="63" t="s">
        <v>103</v>
      </c>
      <c r="T312" s="67" t="s">
        <v>2226</v>
      </c>
      <c r="U312" s="67" t="s">
        <v>105</v>
      </c>
      <c r="V312" s="113" t="s">
        <v>106</v>
      </c>
      <c r="W312" s="222">
        <v>94102</v>
      </c>
      <c r="X312" s="141" t="s">
        <v>2227</v>
      </c>
      <c r="Z312" s="236"/>
      <c r="AA312" s="200"/>
      <c r="AB312" s="130"/>
      <c r="AC312" s="202"/>
      <c r="AD312" s="200"/>
      <c r="AE312" s="113"/>
      <c r="AF312" s="113"/>
      <c r="AG312" s="113"/>
      <c r="AH312" s="113"/>
      <c r="AI312" s="130"/>
      <c r="AK312" s="57"/>
      <c r="AS312" s="207"/>
      <c r="AU312" s="67" t="s">
        <v>2226</v>
      </c>
      <c r="AV312" s="251"/>
      <c r="AW312" s="67" t="s">
        <v>105</v>
      </c>
      <c r="AX312" s="113" t="s">
        <v>106</v>
      </c>
      <c r="AY312" s="222">
        <v>94102</v>
      </c>
      <c r="AZ312" s="199" t="s">
        <v>2225</v>
      </c>
      <c r="BA312" s="317"/>
    </row>
    <row r="313" spans="1:53" ht="14.15" customHeight="1" x14ac:dyDescent="0.4">
      <c r="A313" s="256" t="s">
        <v>2228</v>
      </c>
      <c r="B313" s="67" t="s">
        <v>434</v>
      </c>
      <c r="C313" s="111" t="s">
        <v>254</v>
      </c>
      <c r="D313" s="113"/>
      <c r="E313" s="120" t="s">
        <v>173</v>
      </c>
      <c r="F313" s="82" t="s">
        <v>174</v>
      </c>
      <c r="G313" s="84"/>
      <c r="H313" s="90" t="s">
        <v>276</v>
      </c>
      <c r="I313" s="91" t="s">
        <v>434</v>
      </c>
      <c r="J313" s="97"/>
      <c r="K313" s="102">
        <v>46020</v>
      </c>
      <c r="L313" s="327"/>
      <c r="M313" s="106">
        <v>44540</v>
      </c>
      <c r="N313" s="113" t="s">
        <v>2229</v>
      </c>
      <c r="O313" s="113" t="s">
        <v>2230</v>
      </c>
      <c r="P313" s="57"/>
      <c r="Q313" s="132">
        <v>9.2499999999999999E-2</v>
      </c>
      <c r="R313" s="132">
        <v>0.09</v>
      </c>
      <c r="S313" s="63" t="s">
        <v>536</v>
      </c>
      <c r="T313" s="67" t="s">
        <v>2231</v>
      </c>
      <c r="U313" s="67" t="s">
        <v>538</v>
      </c>
      <c r="V313" s="113" t="s">
        <v>106</v>
      </c>
      <c r="W313" s="222">
        <v>94960</v>
      </c>
      <c r="X313" s="141" t="s">
        <v>2232</v>
      </c>
      <c r="Y313" s="139" t="s">
        <v>2233</v>
      </c>
      <c r="Z313" s="236"/>
      <c r="AA313" s="200" t="s">
        <v>2234</v>
      </c>
      <c r="AB313" s="130"/>
      <c r="AC313" s="202" t="s">
        <v>2235</v>
      </c>
      <c r="AD313" s="200"/>
      <c r="AE313" s="113" t="s">
        <v>2236</v>
      </c>
      <c r="AF313" s="113" t="s">
        <v>2237</v>
      </c>
      <c r="AG313" s="113"/>
      <c r="AH313" s="113"/>
      <c r="AI313" s="130" t="s">
        <v>2238</v>
      </c>
      <c r="AJ313" s="135" t="s">
        <v>116</v>
      </c>
      <c r="AK313" s="57"/>
      <c r="AL313" s="287" t="s">
        <v>289</v>
      </c>
      <c r="AM313" s="288">
        <v>13305</v>
      </c>
      <c r="AN313" s="288" t="s">
        <v>290</v>
      </c>
      <c r="AO313" s="288">
        <v>62245</v>
      </c>
      <c r="AS313" s="207" t="s">
        <v>132</v>
      </c>
      <c r="AT313" s="116" t="s">
        <v>1176</v>
      </c>
      <c r="AU313" s="67" t="str">
        <f>PROPER(AV313)</f>
        <v>120 Sir Francis Drake Blvd</v>
      </c>
      <c r="AV313" s="251" t="s">
        <v>2239</v>
      </c>
      <c r="AW313" s="67" t="s">
        <v>538</v>
      </c>
      <c r="AX313" s="113" t="s">
        <v>106</v>
      </c>
      <c r="AY313" s="222">
        <v>94960</v>
      </c>
      <c r="AZ313" s="199" t="s">
        <v>2230</v>
      </c>
    </row>
    <row r="314" spans="1:53" ht="13.5" customHeight="1" x14ac:dyDescent="0.4">
      <c r="A314" s="256" t="s">
        <v>2240</v>
      </c>
      <c r="B314" s="67" t="s">
        <v>269</v>
      </c>
      <c r="C314" s="111" t="s">
        <v>1076</v>
      </c>
      <c r="D314" s="115"/>
      <c r="E314" s="120" t="s">
        <v>100</v>
      </c>
      <c r="F314" s="82"/>
      <c r="G314" s="84"/>
      <c r="H314" s="90" t="s">
        <v>100</v>
      </c>
      <c r="I314" s="91"/>
      <c r="J314" s="97"/>
      <c r="K314" s="102">
        <v>44386</v>
      </c>
      <c r="L314" s="327"/>
      <c r="M314" s="106">
        <v>45597</v>
      </c>
      <c r="N314" s="113" t="s">
        <v>2241</v>
      </c>
      <c r="O314" s="113" t="s">
        <v>2242</v>
      </c>
      <c r="P314" s="57"/>
      <c r="Q314" s="132">
        <v>8.2500000000000004E-2</v>
      </c>
      <c r="R314" s="132"/>
      <c r="S314" s="63" t="s">
        <v>759</v>
      </c>
      <c r="T314" s="67" t="s">
        <v>2243</v>
      </c>
      <c r="U314" s="67" t="s">
        <v>2244</v>
      </c>
      <c r="V314" s="113" t="s">
        <v>106</v>
      </c>
      <c r="W314" s="222">
        <v>94937</v>
      </c>
      <c r="X314" s="141" t="s">
        <v>2245</v>
      </c>
      <c r="Y314" s="139" t="s">
        <v>2246</v>
      </c>
      <c r="Z314" s="139" t="s">
        <v>2245</v>
      </c>
      <c r="AA314" s="200"/>
      <c r="AB314" s="130"/>
      <c r="AC314" s="202"/>
      <c r="AD314" s="200"/>
      <c r="AE314" s="113"/>
      <c r="AF314" s="113"/>
      <c r="AG314" s="113"/>
      <c r="AH314" s="113"/>
      <c r="AI314" s="130"/>
      <c r="AK314" s="57"/>
      <c r="AS314" s="207" t="s">
        <v>132</v>
      </c>
      <c r="AT314" s="116" t="s">
        <v>1176</v>
      </c>
      <c r="AU314" s="67" t="s">
        <v>2243</v>
      </c>
      <c r="AV314" s="251"/>
      <c r="AW314" s="67" t="s">
        <v>2247</v>
      </c>
      <c r="AX314" s="113" t="s">
        <v>106</v>
      </c>
      <c r="AY314" s="222">
        <v>94937</v>
      </c>
      <c r="AZ314" s="199" t="s">
        <v>2242</v>
      </c>
      <c r="BA314" s="317"/>
    </row>
    <row r="315" spans="1:53" ht="14.15" customHeight="1" x14ac:dyDescent="0.4">
      <c r="A315" s="256" t="s">
        <v>2248</v>
      </c>
      <c r="B315" s="67" t="s">
        <v>244</v>
      </c>
      <c r="C315" s="111" t="s">
        <v>99</v>
      </c>
      <c r="D315" s="115"/>
      <c r="E315" s="120" t="s">
        <v>173</v>
      </c>
      <c r="F315" s="82" t="s">
        <v>174</v>
      </c>
      <c r="G315" s="84"/>
      <c r="H315" s="90"/>
      <c r="I315" s="91"/>
      <c r="J315" s="97"/>
      <c r="K315" s="102">
        <v>45958</v>
      </c>
      <c r="L315" s="327"/>
      <c r="M315" s="106"/>
      <c r="N315" s="113" t="s">
        <v>500</v>
      </c>
      <c r="O315" s="113" t="s">
        <v>2249</v>
      </c>
      <c r="P315" s="57"/>
      <c r="Q315" s="132">
        <v>7.7499999999999999E-2</v>
      </c>
      <c r="R315" s="132"/>
      <c r="S315" s="63" t="s">
        <v>2250</v>
      </c>
      <c r="T315" s="67" t="s">
        <v>2251</v>
      </c>
      <c r="U315" s="67" t="s">
        <v>2252</v>
      </c>
      <c r="V315" s="113" t="s">
        <v>106</v>
      </c>
      <c r="W315" s="222">
        <v>95366</v>
      </c>
      <c r="X315" s="141"/>
      <c r="Z315" s="236"/>
      <c r="AA315" s="200"/>
      <c r="AB315" s="130"/>
      <c r="AC315" s="202"/>
      <c r="AD315" s="200"/>
      <c r="AE315" s="113"/>
      <c r="AF315" s="113"/>
      <c r="AG315" s="113"/>
      <c r="AH315" s="113"/>
      <c r="AI315" s="130"/>
      <c r="AK315" s="57"/>
      <c r="AQ315" s="288" t="s">
        <v>2253</v>
      </c>
      <c r="AS315" s="207"/>
      <c r="AU315" s="67" t="s">
        <v>2251</v>
      </c>
      <c r="AV315" s="251"/>
      <c r="AW315" s="67" t="s">
        <v>2252</v>
      </c>
      <c r="AX315" s="113" t="s">
        <v>106</v>
      </c>
      <c r="AY315" s="222">
        <v>95366</v>
      </c>
      <c r="AZ315" s="199" t="s">
        <v>2249</v>
      </c>
      <c r="BA315" s="317"/>
    </row>
    <row r="316" spans="1:53" ht="14.15" customHeight="1" x14ac:dyDescent="0.4">
      <c r="A316" s="256" t="s">
        <v>2254</v>
      </c>
      <c r="B316" s="67" t="s">
        <v>98</v>
      </c>
      <c r="C316" s="111" t="s">
        <v>99</v>
      </c>
      <c r="D316" s="115"/>
      <c r="E316" s="120" t="s">
        <v>100</v>
      </c>
      <c r="F316" s="82"/>
      <c r="G316" s="84"/>
      <c r="H316" s="90" t="s">
        <v>100</v>
      </c>
      <c r="I316" s="91"/>
      <c r="J316" s="97"/>
      <c r="K316" s="102">
        <v>45119</v>
      </c>
      <c r="L316" s="327"/>
      <c r="M316" s="106"/>
      <c r="N316" s="113" t="s">
        <v>2255</v>
      </c>
      <c r="O316" s="113" t="s">
        <v>2256</v>
      </c>
      <c r="P316" s="57"/>
      <c r="Q316" s="132">
        <v>8.6249999999999993E-2</v>
      </c>
      <c r="R316" s="132"/>
      <c r="S316" s="63" t="s">
        <v>2257</v>
      </c>
      <c r="T316" s="67" t="s">
        <v>2258</v>
      </c>
      <c r="U316" s="67" t="s">
        <v>2257</v>
      </c>
      <c r="V316" s="113" t="s">
        <v>106</v>
      </c>
      <c r="W316" s="222">
        <v>95328</v>
      </c>
      <c r="X316" s="141"/>
      <c r="Z316" s="236"/>
      <c r="AA316" s="200"/>
      <c r="AB316" s="130"/>
      <c r="AC316" s="202"/>
      <c r="AD316" s="200"/>
      <c r="AE316" s="113"/>
      <c r="AF316" s="113"/>
      <c r="AG316" s="113"/>
      <c r="AH316" s="113"/>
      <c r="AI316" s="130"/>
      <c r="AK316" s="57"/>
      <c r="AL316" s="287">
        <v>15741</v>
      </c>
      <c r="AM316" s="288">
        <v>1681</v>
      </c>
      <c r="AS316" s="207"/>
      <c r="AU316" s="67" t="s">
        <v>2258</v>
      </c>
      <c r="AV316" s="251"/>
      <c r="AW316" s="67" t="s">
        <v>2257</v>
      </c>
      <c r="AX316" s="113" t="s">
        <v>106</v>
      </c>
      <c r="AY316" s="222">
        <v>95328</v>
      </c>
      <c r="AZ316" s="199" t="s">
        <v>2256</v>
      </c>
      <c r="BA316" s="317"/>
    </row>
    <row r="317" spans="1:53" ht="14.15" customHeight="1" x14ac:dyDescent="0.4">
      <c r="A317" s="256" t="s">
        <v>2259</v>
      </c>
      <c r="B317" s="67" t="s">
        <v>108</v>
      </c>
      <c r="C317" s="109" t="s">
        <v>109</v>
      </c>
      <c r="D317" s="113" t="s">
        <v>1585</v>
      </c>
      <c r="E317" s="120" t="s">
        <v>100</v>
      </c>
      <c r="F317" s="82"/>
      <c r="G317" s="84"/>
      <c r="H317" s="90" t="s">
        <v>100</v>
      </c>
      <c r="I317" s="91"/>
      <c r="J317" s="97"/>
      <c r="K317" s="102"/>
      <c r="L317" s="327"/>
      <c r="M317" s="106">
        <v>43977</v>
      </c>
      <c r="N317" s="113" t="s">
        <v>2260</v>
      </c>
      <c r="O317" s="113" t="s">
        <v>2261</v>
      </c>
      <c r="P317" s="57"/>
      <c r="Q317" s="132">
        <v>0.10249999999999999</v>
      </c>
      <c r="R317" s="132">
        <v>9.5000000000000001E-2</v>
      </c>
      <c r="S317" s="63" t="s">
        <v>113</v>
      </c>
      <c r="T317" s="67" t="s">
        <v>2262</v>
      </c>
      <c r="U317" s="67" t="s">
        <v>115</v>
      </c>
      <c r="V317" s="113" t="s">
        <v>106</v>
      </c>
      <c r="W317" s="222">
        <v>94601</v>
      </c>
      <c r="Z317" s="236"/>
      <c r="AA317" s="200"/>
      <c r="AB317" s="130"/>
      <c r="AC317" s="202"/>
      <c r="AD317" s="200"/>
      <c r="AE317" s="113"/>
      <c r="AF317" s="113"/>
      <c r="AG317" s="113"/>
      <c r="AH317" s="113"/>
      <c r="AI317" s="130"/>
      <c r="AK317" s="57"/>
      <c r="AS317" s="207" t="s">
        <v>132</v>
      </c>
      <c r="AT317" s="116" t="s">
        <v>1176</v>
      </c>
      <c r="AU317" s="67" t="s">
        <v>2262</v>
      </c>
      <c r="AV317" s="251"/>
      <c r="AW317" s="67" t="s">
        <v>115</v>
      </c>
      <c r="AX317" s="113" t="s">
        <v>106</v>
      </c>
      <c r="AY317" s="222">
        <v>94601</v>
      </c>
      <c r="AZ317" s="199" t="s">
        <v>2261</v>
      </c>
    </row>
    <row r="318" spans="1:53" ht="14.15" customHeight="1" x14ac:dyDescent="0.4">
      <c r="A318" s="256" t="s">
        <v>2263</v>
      </c>
      <c r="B318" s="67" t="s">
        <v>98</v>
      </c>
      <c r="C318" s="109" t="s">
        <v>99</v>
      </c>
      <c r="E318" s="118" t="s">
        <v>100</v>
      </c>
      <c r="F318" s="82"/>
      <c r="G318" s="81"/>
      <c r="H318" s="87" t="s">
        <v>100</v>
      </c>
      <c r="I318" s="86"/>
      <c r="J318" s="96"/>
      <c r="K318" s="100">
        <v>45931</v>
      </c>
      <c r="L318" s="328"/>
      <c r="M318" s="104"/>
      <c r="N318" s="128" t="s">
        <v>2264</v>
      </c>
      <c r="O318" s="128" t="s">
        <v>2265</v>
      </c>
      <c r="P318" s="59" t="s">
        <v>2266</v>
      </c>
      <c r="Q318" s="132">
        <v>9.8750000000000004E-2</v>
      </c>
      <c r="R318" s="132">
        <v>8.5000000000000006E-2</v>
      </c>
      <c r="S318" s="63" t="s">
        <v>1685</v>
      </c>
      <c r="T318" s="67" t="s">
        <v>2267</v>
      </c>
      <c r="U318" s="67" t="s">
        <v>1761</v>
      </c>
      <c r="V318" s="79" t="s">
        <v>106</v>
      </c>
      <c r="W318" s="76">
        <v>94019</v>
      </c>
      <c r="X318" s="141" t="s">
        <v>2268</v>
      </c>
      <c r="Y318" s="141" t="s">
        <v>2268</v>
      </c>
      <c r="Z318" s="141" t="s">
        <v>2268</v>
      </c>
      <c r="AA318" s="79" t="s">
        <v>2269</v>
      </c>
      <c r="AB318" s="135" t="s">
        <v>2270</v>
      </c>
      <c r="AI318" s="135" t="s">
        <v>2271</v>
      </c>
      <c r="AJ318" s="135" t="s">
        <v>2272</v>
      </c>
      <c r="AL318" s="287" t="s">
        <v>289</v>
      </c>
      <c r="AM318" s="288">
        <v>13305</v>
      </c>
      <c r="AO318" s="288">
        <v>62245</v>
      </c>
      <c r="AS318" s="207" t="s">
        <v>132</v>
      </c>
      <c r="AT318" s="116" t="s">
        <v>1176</v>
      </c>
      <c r="AU318" s="67" t="str">
        <f>PROPER(AV318)</f>
        <v>401 Main Street</v>
      </c>
      <c r="AV318" s="66" t="s">
        <v>2273</v>
      </c>
      <c r="AW318" s="67" t="s">
        <v>1761</v>
      </c>
      <c r="AX318" s="79" t="s">
        <v>106</v>
      </c>
      <c r="AY318" s="76">
        <v>94019</v>
      </c>
      <c r="AZ318" s="77" t="s">
        <v>2265</v>
      </c>
    </row>
    <row r="319" spans="1:53" ht="14.15" customHeight="1" x14ac:dyDescent="0.4">
      <c r="A319" s="256" t="s">
        <v>2274</v>
      </c>
      <c r="B319" s="67" t="s">
        <v>125</v>
      </c>
      <c r="C319" s="110" t="s">
        <v>99</v>
      </c>
      <c r="D319" s="112" t="s">
        <v>2275</v>
      </c>
      <c r="E319" s="119" t="s">
        <v>100</v>
      </c>
      <c r="F319" s="82"/>
      <c r="G319" s="209"/>
      <c r="H319" s="88" t="s">
        <v>100</v>
      </c>
      <c r="I319" s="89"/>
      <c r="J319" s="98"/>
      <c r="K319" s="101">
        <v>44518</v>
      </c>
      <c r="L319" s="329"/>
      <c r="M319" s="105">
        <v>44757</v>
      </c>
      <c r="N319" s="112" t="s">
        <v>2276</v>
      </c>
      <c r="O319" s="112" t="s">
        <v>2277</v>
      </c>
      <c r="P319" s="198" t="s">
        <v>2278</v>
      </c>
      <c r="Q319" s="132">
        <v>0.1075</v>
      </c>
      <c r="R319" s="132">
        <v>0.1</v>
      </c>
      <c r="S319" s="63" t="s">
        <v>2279</v>
      </c>
      <c r="T319" s="198" t="s">
        <v>2280</v>
      </c>
      <c r="U319" s="198" t="s">
        <v>1274</v>
      </c>
      <c r="V319" s="112" t="s">
        <v>106</v>
      </c>
      <c r="W319" s="205">
        <v>94578</v>
      </c>
      <c r="X319" s="141" t="s">
        <v>2281</v>
      </c>
      <c r="Y319" s="139" t="s">
        <v>2282</v>
      </c>
      <c r="Z319" s="205"/>
      <c r="AA319" s="203"/>
      <c r="AB319" s="205"/>
      <c r="AC319" s="206"/>
      <c r="AD319" s="203"/>
      <c r="AE319" s="205"/>
      <c r="AF319" s="205"/>
      <c r="AG319" s="205"/>
      <c r="AH319" s="205"/>
      <c r="AI319" s="205"/>
      <c r="AK319" s="318" t="s">
        <v>1469</v>
      </c>
      <c r="AL319" s="287">
        <v>15157</v>
      </c>
      <c r="AS319" s="207" t="s">
        <v>132</v>
      </c>
      <c r="AT319" s="116" t="s">
        <v>1176</v>
      </c>
      <c r="AU319" s="198" t="s">
        <v>2280</v>
      </c>
      <c r="AV319" s="39"/>
      <c r="AW319" s="198" t="s">
        <v>1274</v>
      </c>
      <c r="AX319" s="112" t="s">
        <v>106</v>
      </c>
      <c r="AY319" s="205">
        <v>94578</v>
      </c>
      <c r="AZ319" s="198" t="s">
        <v>2277</v>
      </c>
    </row>
    <row r="320" spans="1:53" ht="14.15" customHeight="1" x14ac:dyDescent="0.4">
      <c r="A320" s="256" t="s">
        <v>2283</v>
      </c>
      <c r="B320" s="67" t="s">
        <v>244</v>
      </c>
      <c r="C320" s="109" t="s">
        <v>254</v>
      </c>
      <c r="E320" s="120" t="s">
        <v>173</v>
      </c>
      <c r="F320" s="82" t="s">
        <v>174</v>
      </c>
      <c r="G320" s="81" t="s">
        <v>0</v>
      </c>
      <c r="H320" s="92"/>
      <c r="I320" s="86"/>
      <c r="J320" s="96"/>
      <c r="K320" s="100">
        <v>46000</v>
      </c>
      <c r="L320" s="328"/>
      <c r="M320" s="104">
        <v>44405</v>
      </c>
      <c r="N320" s="128" t="s">
        <v>2284</v>
      </c>
      <c r="O320" s="128" t="s">
        <v>2285</v>
      </c>
      <c r="P320" s="59" t="s">
        <v>2286</v>
      </c>
      <c r="Q320" s="132">
        <v>0.09</v>
      </c>
      <c r="R320" s="132">
        <v>0.09</v>
      </c>
      <c r="S320" s="63" t="s">
        <v>875</v>
      </c>
      <c r="T320" s="67" t="s">
        <v>2287</v>
      </c>
      <c r="U320" s="67" t="s">
        <v>875</v>
      </c>
      <c r="V320" s="79" t="s">
        <v>106</v>
      </c>
      <c r="W320" s="76">
        <v>94930</v>
      </c>
      <c r="X320" s="141" t="s">
        <v>2288</v>
      </c>
      <c r="Y320" s="141" t="s">
        <v>2288</v>
      </c>
      <c r="Z320" s="146" t="s">
        <v>2288</v>
      </c>
      <c r="AA320" s="79" t="s">
        <v>2289</v>
      </c>
      <c r="AB320" s="135" t="s">
        <v>2290</v>
      </c>
      <c r="AI320" s="135" t="s">
        <v>0</v>
      </c>
      <c r="AJ320" s="135" t="s">
        <v>116</v>
      </c>
      <c r="AL320" s="287" t="s">
        <v>149</v>
      </c>
      <c r="AN320" s="288">
        <v>15741</v>
      </c>
      <c r="AS320" s="207" t="s">
        <v>132</v>
      </c>
      <c r="AT320" s="116" t="s">
        <v>1184</v>
      </c>
      <c r="AU320" s="67" t="s">
        <v>2291</v>
      </c>
      <c r="AV320" s="66" t="s">
        <v>2292</v>
      </c>
      <c r="AW320" s="67" t="s">
        <v>875</v>
      </c>
      <c r="AX320" s="79" t="s">
        <v>106</v>
      </c>
      <c r="AY320" s="76">
        <v>94930</v>
      </c>
      <c r="AZ320" s="77" t="s">
        <v>2285</v>
      </c>
      <c r="BA320" s="317"/>
    </row>
    <row r="321" spans="1:53" ht="14.15" customHeight="1" x14ac:dyDescent="0.4">
      <c r="A321" s="256" t="s">
        <v>2293</v>
      </c>
      <c r="B321" s="67" t="s">
        <v>244</v>
      </c>
      <c r="C321" s="109" t="s">
        <v>254</v>
      </c>
      <c r="E321" s="120" t="s">
        <v>173</v>
      </c>
      <c r="F321" s="82" t="s">
        <v>174</v>
      </c>
      <c r="G321" s="81" t="s">
        <v>0</v>
      </c>
      <c r="H321" s="92"/>
      <c r="I321" s="86"/>
      <c r="J321" s="96"/>
      <c r="K321" s="100">
        <v>44440</v>
      </c>
      <c r="L321" s="328"/>
      <c r="M321" s="104">
        <v>44053</v>
      </c>
      <c r="N321" s="128" t="s">
        <v>2284</v>
      </c>
      <c r="O321" s="128" t="s">
        <v>2294</v>
      </c>
      <c r="P321" s="59" t="s">
        <v>2286</v>
      </c>
      <c r="Q321" s="132">
        <v>0.10249999999999999</v>
      </c>
      <c r="R321" s="132">
        <v>8.2500000000000004E-2</v>
      </c>
      <c r="S321" s="63" t="s">
        <v>653</v>
      </c>
      <c r="T321" s="67" t="s">
        <v>2295</v>
      </c>
      <c r="U321" s="67" t="s">
        <v>653</v>
      </c>
      <c r="V321" s="79" t="s">
        <v>106</v>
      </c>
      <c r="W321" s="76">
        <v>94952</v>
      </c>
      <c r="X321" s="141" t="s">
        <v>2288</v>
      </c>
      <c r="Y321" s="141" t="s">
        <v>2288</v>
      </c>
      <c r="Z321" s="146" t="s">
        <v>2288</v>
      </c>
      <c r="AA321" s="79" t="s">
        <v>2289</v>
      </c>
      <c r="AB321" s="135" t="s">
        <v>2290</v>
      </c>
      <c r="AI321" s="135" t="s">
        <v>0</v>
      </c>
      <c r="AJ321" s="135" t="s">
        <v>116</v>
      </c>
      <c r="AL321" s="290" t="s">
        <v>149</v>
      </c>
      <c r="AM321" s="290"/>
      <c r="AN321" s="290"/>
      <c r="AO321" s="290"/>
      <c r="AP321" s="290"/>
      <c r="AQ321" s="290"/>
      <c r="AR321" s="290"/>
      <c r="AS321" s="207" t="s">
        <v>132</v>
      </c>
      <c r="AT321" s="116" t="s">
        <v>1184</v>
      </c>
      <c r="AU321" s="67" t="s">
        <v>2291</v>
      </c>
      <c r="AV321" s="66" t="s">
        <v>2296</v>
      </c>
      <c r="AW321" s="67" t="s">
        <v>653</v>
      </c>
      <c r="AX321" s="79" t="s">
        <v>106</v>
      </c>
      <c r="AY321" s="76">
        <v>94930</v>
      </c>
      <c r="AZ321" s="77" t="s">
        <v>2294</v>
      </c>
    </row>
    <row r="322" spans="1:53" ht="14.15" customHeight="1" x14ac:dyDescent="0.4">
      <c r="A322" s="256" t="s">
        <v>2297</v>
      </c>
      <c r="B322" s="67" t="s">
        <v>98</v>
      </c>
      <c r="C322" s="111" t="s">
        <v>99</v>
      </c>
      <c r="D322" s="115"/>
      <c r="E322" s="120" t="s">
        <v>100</v>
      </c>
      <c r="F322" s="82"/>
      <c r="G322" s="84"/>
      <c r="H322" s="90" t="s">
        <v>100</v>
      </c>
      <c r="I322" s="91"/>
      <c r="J322" s="97"/>
      <c r="K322" s="102">
        <v>44887</v>
      </c>
      <c r="L322" s="327"/>
      <c r="M322" s="106"/>
      <c r="N322" s="113" t="s">
        <v>2298</v>
      </c>
      <c r="O322" s="113" t="s">
        <v>2299</v>
      </c>
      <c r="P322" s="57"/>
      <c r="Q322" s="132">
        <v>8.6249999999999993E-2</v>
      </c>
      <c r="R322" s="132"/>
      <c r="S322" s="63" t="s">
        <v>103</v>
      </c>
      <c r="T322" s="67" t="s">
        <v>2300</v>
      </c>
      <c r="U322" s="67" t="s">
        <v>105</v>
      </c>
      <c r="V322" s="113" t="s">
        <v>106</v>
      </c>
      <c r="W322" s="222">
        <v>94110</v>
      </c>
      <c r="X322" s="141"/>
      <c r="Z322" s="236"/>
      <c r="AA322" s="200"/>
      <c r="AB322" s="130"/>
      <c r="AC322" s="202"/>
      <c r="AD322" s="200"/>
      <c r="AE322" s="113"/>
      <c r="AF322" s="113"/>
      <c r="AG322" s="113"/>
      <c r="AH322" s="113"/>
      <c r="AI322" s="130"/>
      <c r="AK322" s="57"/>
      <c r="AM322" s="288">
        <v>15157</v>
      </c>
      <c r="AS322" s="207"/>
      <c r="AT322" s="116" t="s">
        <v>399</v>
      </c>
      <c r="AU322" s="67" t="s">
        <v>2300</v>
      </c>
      <c r="AV322" s="251"/>
      <c r="AW322" s="67" t="s">
        <v>105</v>
      </c>
      <c r="AX322" s="113" t="s">
        <v>106</v>
      </c>
      <c r="AY322" s="222">
        <v>94110</v>
      </c>
      <c r="AZ322" s="199" t="s">
        <v>2299</v>
      </c>
      <c r="BA322" s="317"/>
    </row>
    <row r="323" spans="1:53" ht="14.15" customHeight="1" x14ac:dyDescent="0.4">
      <c r="A323" s="256" t="s">
        <v>2301</v>
      </c>
      <c r="B323" s="67" t="s">
        <v>125</v>
      </c>
      <c r="C323" s="111" t="s">
        <v>99</v>
      </c>
      <c r="D323" s="79" t="s">
        <v>2109</v>
      </c>
      <c r="E323" s="120" t="s">
        <v>100</v>
      </c>
      <c r="F323" s="82"/>
      <c r="G323" s="84"/>
      <c r="H323" s="90" t="s">
        <v>100</v>
      </c>
      <c r="I323" s="91"/>
      <c r="J323" s="97"/>
      <c r="K323" s="102">
        <v>45748</v>
      </c>
      <c r="L323" s="327"/>
      <c r="M323" s="106">
        <v>45726</v>
      </c>
      <c r="N323" s="113" t="s">
        <v>2302</v>
      </c>
      <c r="O323" s="113" t="s">
        <v>2303</v>
      </c>
      <c r="P323" s="57"/>
      <c r="Q323" s="132">
        <v>9.2499999999999999E-2</v>
      </c>
      <c r="R323" s="132">
        <v>8.6199999999999999E-2</v>
      </c>
      <c r="S323" s="63" t="s">
        <v>2127</v>
      </c>
      <c r="T323" s="67" t="s">
        <v>2304</v>
      </c>
      <c r="U323" s="67" t="s">
        <v>2129</v>
      </c>
      <c r="V323" s="113" t="s">
        <v>106</v>
      </c>
      <c r="W323" s="222">
        <v>95437</v>
      </c>
      <c r="X323" s="139" t="s">
        <v>2305</v>
      </c>
      <c r="Y323" s="139" t="s">
        <v>2305</v>
      </c>
      <c r="Z323" s="139" t="s">
        <v>2305</v>
      </c>
      <c r="AA323" s="200" t="s">
        <v>2306</v>
      </c>
      <c r="AB323" s="130"/>
      <c r="AC323" s="202" t="s">
        <v>2302</v>
      </c>
      <c r="AD323" s="200"/>
      <c r="AE323" s="113"/>
      <c r="AF323" s="113"/>
      <c r="AG323" s="113"/>
      <c r="AH323" s="113"/>
      <c r="AI323" s="130" t="s">
        <v>2307</v>
      </c>
      <c r="AJ323" s="135" t="s">
        <v>116</v>
      </c>
      <c r="AK323" s="57"/>
      <c r="AL323" s="289">
        <v>15157</v>
      </c>
      <c r="AM323" s="289"/>
      <c r="AN323" s="289"/>
      <c r="AO323" s="289"/>
      <c r="AP323" s="289"/>
      <c r="AQ323" s="289"/>
      <c r="AR323" s="289"/>
      <c r="AS323" s="207" t="s">
        <v>132</v>
      </c>
      <c r="AT323" s="116" t="s">
        <v>116</v>
      </c>
      <c r="AU323" s="67" t="s">
        <v>2304</v>
      </c>
      <c r="AV323" s="251"/>
      <c r="AW323" s="67" t="s">
        <v>2129</v>
      </c>
      <c r="AX323" s="113" t="s">
        <v>106</v>
      </c>
      <c r="AY323" s="222">
        <v>95437</v>
      </c>
      <c r="AZ323" s="199" t="s">
        <v>2303</v>
      </c>
      <c r="BA323" s="207"/>
    </row>
    <row r="324" spans="1:53" ht="14.15" customHeight="1" x14ac:dyDescent="0.4">
      <c r="A324" s="256" t="s">
        <v>2308</v>
      </c>
      <c r="B324" s="67" t="s">
        <v>2309</v>
      </c>
      <c r="C324" s="111" t="s">
        <v>1076</v>
      </c>
      <c r="D324" s="113"/>
      <c r="E324" s="120" t="s">
        <v>100</v>
      </c>
      <c r="F324" s="82" t="s">
        <v>288</v>
      </c>
      <c r="G324" s="84"/>
      <c r="H324" s="90" t="s">
        <v>100</v>
      </c>
      <c r="I324" s="91"/>
      <c r="J324" s="97"/>
      <c r="K324" s="102">
        <v>45271</v>
      </c>
      <c r="L324" s="327"/>
      <c r="M324" s="106"/>
      <c r="N324" s="113" t="s">
        <v>2310</v>
      </c>
      <c r="O324" s="113" t="s">
        <v>2311</v>
      </c>
      <c r="P324" s="57" t="s">
        <v>2312</v>
      </c>
      <c r="Q324" s="132">
        <v>8.8749999999999996E-2</v>
      </c>
      <c r="R324" s="132">
        <v>7.6249999999999998E-2</v>
      </c>
      <c r="S324" s="63" t="s">
        <v>376</v>
      </c>
      <c r="T324" s="67" t="s">
        <v>2313</v>
      </c>
      <c r="U324" s="67" t="s">
        <v>1859</v>
      </c>
      <c r="V324" s="113" t="s">
        <v>106</v>
      </c>
      <c r="W324" s="222">
        <v>95482</v>
      </c>
      <c r="X324" s="141" t="s">
        <v>2314</v>
      </c>
      <c r="Z324" s="236"/>
      <c r="AA324" s="200" t="s">
        <v>2315</v>
      </c>
      <c r="AB324" s="130" t="s">
        <v>2316</v>
      </c>
      <c r="AC324" s="202"/>
      <c r="AD324" s="200"/>
      <c r="AE324" s="113"/>
      <c r="AF324" s="113"/>
      <c r="AG324" s="113"/>
      <c r="AH324" s="113"/>
      <c r="AI324" s="130" t="s">
        <v>2317</v>
      </c>
      <c r="AJ324" s="135" t="s">
        <v>116</v>
      </c>
      <c r="AK324" s="57"/>
      <c r="AL324" s="289">
        <v>54230</v>
      </c>
      <c r="AM324" s="289">
        <v>13305</v>
      </c>
      <c r="AN324" s="289"/>
      <c r="AO324" s="289">
        <v>62245</v>
      </c>
      <c r="AP324" s="289"/>
      <c r="AQ324" s="289"/>
      <c r="AR324" s="289"/>
      <c r="AS324" s="207" t="s">
        <v>132</v>
      </c>
      <c r="AT324" s="116" t="s">
        <v>116</v>
      </c>
      <c r="AU324" s="67" t="str">
        <f>PROPER(AV324)</f>
        <v>1550 Lovers Lane</v>
      </c>
      <c r="AV324" s="251" t="s">
        <v>2318</v>
      </c>
      <c r="AW324" s="67" t="s">
        <v>1859</v>
      </c>
      <c r="AX324" s="113" t="s">
        <v>106</v>
      </c>
      <c r="AY324" s="222">
        <v>95482</v>
      </c>
      <c r="AZ324" s="199" t="s">
        <v>2311</v>
      </c>
      <c r="BA324" s="207"/>
    </row>
    <row r="325" spans="1:53" ht="14.15" customHeight="1" x14ac:dyDescent="0.4">
      <c r="A325" s="256" t="s">
        <v>2319</v>
      </c>
      <c r="B325" s="67" t="s">
        <v>244</v>
      </c>
      <c r="C325" s="111" t="s">
        <v>254</v>
      </c>
      <c r="D325" s="115"/>
      <c r="E325" s="120" t="s">
        <v>173</v>
      </c>
      <c r="F325" s="82" t="s">
        <v>174</v>
      </c>
      <c r="G325" s="84"/>
      <c r="H325" s="90"/>
      <c r="I325" s="91"/>
      <c r="J325" s="97"/>
      <c r="K325" s="102">
        <v>44119</v>
      </c>
      <c r="L325" s="327"/>
      <c r="M325" s="106"/>
      <c r="N325" s="113" t="s">
        <v>2320</v>
      </c>
      <c r="O325" s="113" t="s">
        <v>2321</v>
      </c>
      <c r="P325" s="57"/>
      <c r="Q325" s="132">
        <v>9.2499999999999999E-2</v>
      </c>
      <c r="R325" s="132"/>
      <c r="S325" s="63" t="s">
        <v>420</v>
      </c>
      <c r="T325" s="67" t="s">
        <v>2322</v>
      </c>
      <c r="U325" s="67" t="s">
        <v>420</v>
      </c>
      <c r="V325" s="113" t="s">
        <v>106</v>
      </c>
      <c r="W325" s="222">
        <v>94945</v>
      </c>
      <c r="X325" s="141"/>
      <c r="Z325" s="236"/>
      <c r="AA325" s="200"/>
      <c r="AB325" s="130"/>
      <c r="AC325" s="202"/>
      <c r="AD325" s="200"/>
      <c r="AE325" s="113"/>
      <c r="AF325" s="113"/>
      <c r="AG325" s="113"/>
      <c r="AH325" s="113"/>
      <c r="AI325" s="130"/>
      <c r="AK325" s="57"/>
      <c r="AS325" s="207"/>
      <c r="AU325" s="67" t="s">
        <v>2323</v>
      </c>
      <c r="AV325" s="251"/>
      <c r="AW325" s="67" t="s">
        <v>420</v>
      </c>
      <c r="AX325" s="113" t="s">
        <v>106</v>
      </c>
      <c r="AY325" s="222">
        <v>94945</v>
      </c>
      <c r="AZ325" s="199" t="s">
        <v>2321</v>
      </c>
      <c r="BA325" s="317"/>
    </row>
    <row r="326" spans="1:53" s="210" customFormat="1" ht="14.15" customHeight="1" x14ac:dyDescent="0.4">
      <c r="A326" s="256" t="s">
        <v>2324</v>
      </c>
      <c r="B326" s="67" t="s">
        <v>125</v>
      </c>
      <c r="C326" s="111" t="s">
        <v>99</v>
      </c>
      <c r="D326" s="115" t="s">
        <v>2131</v>
      </c>
      <c r="E326" s="120" t="s">
        <v>100</v>
      </c>
      <c r="F326" s="82"/>
      <c r="G326" s="84"/>
      <c r="H326" s="90" t="s">
        <v>100</v>
      </c>
      <c r="I326" s="91"/>
      <c r="J326" s="97"/>
      <c r="K326" s="102">
        <v>44700</v>
      </c>
      <c r="L326" s="327"/>
      <c r="M326" s="106">
        <v>43528</v>
      </c>
      <c r="N326" s="113" t="s">
        <v>2325</v>
      </c>
      <c r="O326" s="113" t="s">
        <v>2326</v>
      </c>
      <c r="P326" s="57"/>
      <c r="Q326" s="132">
        <v>8.6249999999999993E-2</v>
      </c>
      <c r="R326" s="132"/>
      <c r="S326" s="63" t="s">
        <v>103</v>
      </c>
      <c r="T326" s="67" t="s">
        <v>2327</v>
      </c>
      <c r="U326" s="67" t="s">
        <v>105</v>
      </c>
      <c r="V326" s="113" t="s">
        <v>106</v>
      </c>
      <c r="W326" s="222">
        <v>94122</v>
      </c>
      <c r="X326" s="141"/>
      <c r="Y326" s="236"/>
      <c r="Z326" s="236"/>
      <c r="AA326" s="200"/>
      <c r="AB326" s="130"/>
      <c r="AC326" s="202"/>
      <c r="AD326" s="200"/>
      <c r="AE326" s="113"/>
      <c r="AF326" s="113"/>
      <c r="AG326" s="113"/>
      <c r="AH326" s="113"/>
      <c r="AI326" s="130"/>
      <c r="AJ326" s="135"/>
      <c r="AK326" s="57"/>
      <c r="AL326" s="287">
        <v>15157</v>
      </c>
      <c r="AM326" s="288">
        <v>15741</v>
      </c>
      <c r="AN326" s="288"/>
      <c r="AO326" s="288"/>
      <c r="AP326" s="288"/>
      <c r="AQ326" s="288"/>
      <c r="AR326" s="288"/>
      <c r="AS326" s="207" t="s">
        <v>132</v>
      </c>
      <c r="AT326" s="116" t="s">
        <v>116</v>
      </c>
      <c r="AU326" s="67" t="s">
        <v>2328</v>
      </c>
      <c r="AV326" s="251"/>
      <c r="AW326" s="67" t="s">
        <v>105</v>
      </c>
      <c r="AX326" s="113" t="s">
        <v>106</v>
      </c>
      <c r="AY326" s="222">
        <v>94122</v>
      </c>
      <c r="AZ326" s="199" t="s">
        <v>2326</v>
      </c>
      <c r="BA326" s="317"/>
    </row>
    <row r="327" spans="1:53" s="210" customFormat="1" ht="14.15" customHeight="1" x14ac:dyDescent="0.4">
      <c r="A327" s="256" t="s">
        <v>2329</v>
      </c>
      <c r="B327" s="67" t="s">
        <v>98</v>
      </c>
      <c r="C327" s="111" t="s">
        <v>563</v>
      </c>
      <c r="D327" s="113"/>
      <c r="E327" s="120" t="s">
        <v>100</v>
      </c>
      <c r="F327" s="82"/>
      <c r="G327" s="84"/>
      <c r="H327" s="90" t="s">
        <v>100</v>
      </c>
      <c r="I327" s="91"/>
      <c r="J327" s="97"/>
      <c r="K327" s="102">
        <v>44379</v>
      </c>
      <c r="L327" s="327"/>
      <c r="M327" s="106"/>
      <c r="N327" s="113" t="s">
        <v>2329</v>
      </c>
      <c r="O327" s="113" t="s">
        <v>2330</v>
      </c>
      <c r="P327" s="57"/>
      <c r="Q327" s="132">
        <v>0</v>
      </c>
      <c r="R327" s="132">
        <v>9.5000000000000001E-2</v>
      </c>
      <c r="S327" s="63" t="s">
        <v>992</v>
      </c>
      <c r="T327" s="67" t="s">
        <v>2331</v>
      </c>
      <c r="U327" s="67" t="s">
        <v>324</v>
      </c>
      <c r="V327" s="113" t="s">
        <v>106</v>
      </c>
      <c r="W327" s="222">
        <v>94501</v>
      </c>
      <c r="X327" s="147"/>
      <c r="Y327" s="236"/>
      <c r="Z327" s="236"/>
      <c r="AA327" s="200"/>
      <c r="AB327" s="130"/>
      <c r="AC327" s="202"/>
      <c r="AD327" s="200"/>
      <c r="AE327" s="113"/>
      <c r="AF327" s="113"/>
      <c r="AG327" s="113"/>
      <c r="AH327" s="113"/>
      <c r="AI327" s="130"/>
      <c r="AJ327" s="135"/>
      <c r="AK327" s="57"/>
      <c r="AL327" s="289" t="s">
        <v>953</v>
      </c>
      <c r="AM327" s="288"/>
      <c r="AN327" s="289"/>
      <c r="AO327" s="289"/>
      <c r="AP327" s="289"/>
      <c r="AQ327" s="289"/>
      <c r="AR327" s="289"/>
      <c r="AS327" s="207" t="s">
        <v>132</v>
      </c>
      <c r="AT327" s="116" t="s">
        <v>116</v>
      </c>
      <c r="AU327" s="67" t="s">
        <v>2331</v>
      </c>
      <c r="AV327" s="251"/>
      <c r="AW327" s="67" t="s">
        <v>324</v>
      </c>
      <c r="AX327" s="113" t="s">
        <v>106</v>
      </c>
      <c r="AY327" s="222">
        <v>94501</v>
      </c>
      <c r="AZ327" s="199" t="s">
        <v>2330</v>
      </c>
      <c r="BA327" s="75"/>
    </row>
    <row r="328" spans="1:53" s="210" customFormat="1" ht="14.15" customHeight="1" x14ac:dyDescent="0.4">
      <c r="A328" s="256" t="s">
        <v>2332</v>
      </c>
      <c r="B328" s="67" t="s">
        <v>98</v>
      </c>
      <c r="C328" s="109" t="s">
        <v>99</v>
      </c>
      <c r="D328" s="79"/>
      <c r="E328" s="120" t="s">
        <v>100</v>
      </c>
      <c r="F328" s="82"/>
      <c r="G328" s="84"/>
      <c r="H328" s="90" t="s">
        <v>100</v>
      </c>
      <c r="I328" s="91"/>
      <c r="J328" s="97"/>
      <c r="K328" s="102">
        <v>45911</v>
      </c>
      <c r="L328" s="327"/>
      <c r="M328" s="106"/>
      <c r="N328" s="128" t="s">
        <v>2264</v>
      </c>
      <c r="O328" s="128" t="s">
        <v>2333</v>
      </c>
      <c r="P328" s="59" t="s">
        <v>2265</v>
      </c>
      <c r="Q328" s="131">
        <v>9.8750000000000004E-2</v>
      </c>
      <c r="R328" s="131"/>
      <c r="S328" s="63" t="s">
        <v>1685</v>
      </c>
      <c r="T328" s="67" t="s">
        <v>2334</v>
      </c>
      <c r="U328" s="67" t="s">
        <v>1761</v>
      </c>
      <c r="V328" s="79" t="s">
        <v>106</v>
      </c>
      <c r="W328" s="76">
        <v>94019</v>
      </c>
      <c r="X328" s="147"/>
      <c r="Y328" s="236"/>
      <c r="Z328" s="234"/>
      <c r="AA328" s="79"/>
      <c r="AB328" s="135"/>
      <c r="AC328" s="136"/>
      <c r="AD328" s="79"/>
      <c r="AE328" s="128"/>
      <c r="AF328" s="128"/>
      <c r="AG328" s="128"/>
      <c r="AH328" s="128"/>
      <c r="AI328" s="135"/>
      <c r="AJ328" s="135"/>
      <c r="AK328" s="58"/>
      <c r="AL328" s="287" t="s">
        <v>251</v>
      </c>
      <c r="AM328" s="288">
        <v>13305</v>
      </c>
      <c r="AN328" s="288"/>
      <c r="AO328" s="288">
        <v>62245</v>
      </c>
      <c r="AP328" s="288"/>
      <c r="AQ328" s="288"/>
      <c r="AR328" s="288"/>
      <c r="AS328" s="207"/>
      <c r="AT328" s="116"/>
      <c r="AU328" s="67" t="s">
        <v>2335</v>
      </c>
      <c r="AV328" s="66"/>
      <c r="AW328" s="67" t="s">
        <v>1761</v>
      </c>
      <c r="AX328" s="79" t="s">
        <v>106</v>
      </c>
      <c r="AY328" s="76">
        <v>94019</v>
      </c>
      <c r="AZ328" s="77" t="s">
        <v>2265</v>
      </c>
      <c r="BA328" s="75"/>
    </row>
    <row r="329" spans="1:53" s="210" customFormat="1" ht="14.15" customHeight="1" x14ac:dyDescent="0.4">
      <c r="A329" s="256" t="s">
        <v>2336</v>
      </c>
      <c r="B329" s="67" t="s">
        <v>434</v>
      </c>
      <c r="C329" s="109" t="s">
        <v>99</v>
      </c>
      <c r="D329" s="79"/>
      <c r="E329" s="120" t="s">
        <v>173</v>
      </c>
      <c r="F329" s="82" t="s">
        <v>174</v>
      </c>
      <c r="G329" s="84"/>
      <c r="H329" s="90"/>
      <c r="I329" s="91"/>
      <c r="J329" s="97"/>
      <c r="K329" s="102">
        <v>45985</v>
      </c>
      <c r="L329" s="327"/>
      <c r="M329" s="106"/>
      <c r="N329" s="128" t="s">
        <v>2337</v>
      </c>
      <c r="O329" s="128" t="s">
        <v>2338</v>
      </c>
      <c r="P329" s="59"/>
      <c r="Q329" s="131">
        <v>8.6249999999999993E-2</v>
      </c>
      <c r="R329" s="131"/>
      <c r="S329" s="63" t="s">
        <v>103</v>
      </c>
      <c r="T329" s="67" t="s">
        <v>2339</v>
      </c>
      <c r="U329" s="67" t="s">
        <v>105</v>
      </c>
      <c r="V329" s="79" t="s">
        <v>106</v>
      </c>
      <c r="W329" s="76">
        <v>94102</v>
      </c>
      <c r="X329" s="147"/>
      <c r="Y329" s="236" t="s">
        <v>6473</v>
      </c>
      <c r="Z329" s="234"/>
      <c r="AA329" s="79"/>
      <c r="AB329" s="135"/>
      <c r="AC329" s="136"/>
      <c r="AD329" s="79"/>
      <c r="AE329" s="128"/>
      <c r="AF329" s="128"/>
      <c r="AG329" s="128"/>
      <c r="AH329" s="128"/>
      <c r="AI329" s="135"/>
      <c r="AJ329" s="135"/>
      <c r="AK329" s="58"/>
      <c r="AL329" s="287" t="s">
        <v>251</v>
      </c>
      <c r="AM329" s="288" t="s">
        <v>545</v>
      </c>
      <c r="AN329" s="288" t="s">
        <v>180</v>
      </c>
      <c r="AO329" s="288">
        <v>62245</v>
      </c>
      <c r="AP329" s="288"/>
      <c r="AQ329" s="288"/>
      <c r="AR329" s="288"/>
      <c r="AS329" s="207" t="s">
        <v>132</v>
      </c>
      <c r="AT329" s="116" t="s">
        <v>532</v>
      </c>
      <c r="AU329" s="67" t="s">
        <v>2339</v>
      </c>
      <c r="AV329" s="66"/>
      <c r="AW329" s="67" t="s">
        <v>105</v>
      </c>
      <c r="AX329" s="79" t="s">
        <v>106</v>
      </c>
      <c r="AY329" s="76">
        <v>94102</v>
      </c>
      <c r="AZ329" s="77" t="s">
        <v>2338</v>
      </c>
      <c r="BA329" s="75"/>
    </row>
    <row r="330" spans="1:53" s="210" customFormat="1" ht="14.15" customHeight="1" x14ac:dyDescent="0.4">
      <c r="A330" s="256" t="s">
        <v>2340</v>
      </c>
      <c r="B330" s="67" t="s">
        <v>244</v>
      </c>
      <c r="C330" s="111" t="s">
        <v>99</v>
      </c>
      <c r="D330" s="115"/>
      <c r="E330" s="120" t="s">
        <v>173</v>
      </c>
      <c r="F330" s="82" t="s">
        <v>174</v>
      </c>
      <c r="G330" s="84"/>
      <c r="H330" s="90" t="s">
        <v>100</v>
      </c>
      <c r="I330" s="91"/>
      <c r="J330" s="97"/>
      <c r="K330" s="102">
        <v>45945</v>
      </c>
      <c r="L330" s="327"/>
      <c r="M330" s="106"/>
      <c r="N330" s="113" t="s">
        <v>2341</v>
      </c>
      <c r="O330" s="113" t="s">
        <v>2342</v>
      </c>
      <c r="P330" s="57"/>
      <c r="Q330" s="132">
        <v>8.2500000000000004E-2</v>
      </c>
      <c r="R330" s="132"/>
      <c r="S330" s="63" t="s">
        <v>2343</v>
      </c>
      <c r="T330" s="67" t="s">
        <v>2344</v>
      </c>
      <c r="U330" s="67" t="s">
        <v>2343</v>
      </c>
      <c r="V330" s="113" t="s">
        <v>106</v>
      </c>
      <c r="W330" s="222">
        <v>95376</v>
      </c>
      <c r="X330" s="141"/>
      <c r="Y330" s="141"/>
      <c r="Z330" s="141"/>
      <c r="AA330" s="200"/>
      <c r="AB330" s="130"/>
      <c r="AC330" s="202"/>
      <c r="AD330" s="200"/>
      <c r="AE330" s="113"/>
      <c r="AF330" s="113"/>
      <c r="AG330" s="113"/>
      <c r="AH330" s="113"/>
      <c r="AI330" s="130"/>
      <c r="AJ330" s="135"/>
      <c r="AK330" s="57"/>
      <c r="AL330" s="290" t="s">
        <v>251</v>
      </c>
      <c r="AM330" s="290"/>
      <c r="AN330" s="290" t="s">
        <v>257</v>
      </c>
      <c r="AO330" s="290">
        <v>62245</v>
      </c>
      <c r="AP330" s="290"/>
      <c r="AQ330" s="290"/>
      <c r="AR330" s="290"/>
      <c r="AS330" s="207"/>
      <c r="AT330" s="116" t="s">
        <v>589</v>
      </c>
      <c r="AU330" s="67" t="s">
        <v>2345</v>
      </c>
      <c r="AV330" s="251"/>
      <c r="AW330" s="67" t="s">
        <v>2343</v>
      </c>
      <c r="AX330" s="113" t="s">
        <v>106</v>
      </c>
      <c r="AY330" s="222">
        <v>95376</v>
      </c>
      <c r="AZ330" s="199" t="s">
        <v>2342</v>
      </c>
      <c r="BA330" s="317"/>
    </row>
    <row r="331" spans="1:53" s="210" customFormat="1" ht="14.15" customHeight="1" x14ac:dyDescent="0.4">
      <c r="A331" s="256" t="s">
        <v>2346</v>
      </c>
      <c r="B331" s="67" t="s">
        <v>244</v>
      </c>
      <c r="C331" s="111" t="s">
        <v>99</v>
      </c>
      <c r="D331" s="115"/>
      <c r="E331" s="120" t="s">
        <v>173</v>
      </c>
      <c r="F331" s="82" t="s">
        <v>174</v>
      </c>
      <c r="G331" s="84"/>
      <c r="H331" s="90"/>
      <c r="I331" s="91"/>
      <c r="J331" s="97"/>
      <c r="K331" s="102">
        <v>44834</v>
      </c>
      <c r="L331" s="327"/>
      <c r="M331" s="106"/>
      <c r="N331" s="113" t="s">
        <v>40</v>
      </c>
      <c r="O331" s="113" t="s">
        <v>2347</v>
      </c>
      <c r="P331" s="57"/>
      <c r="Q331" s="132">
        <v>9.7500000000000003E-2</v>
      </c>
      <c r="R331" s="132"/>
      <c r="S331" s="63" t="s">
        <v>205</v>
      </c>
      <c r="T331" s="67" t="s">
        <v>2348</v>
      </c>
      <c r="U331" s="67" t="s">
        <v>576</v>
      </c>
      <c r="V331" s="113" t="s">
        <v>106</v>
      </c>
      <c r="W331" s="222">
        <v>94553</v>
      </c>
      <c r="X331" s="141"/>
      <c r="Y331" s="236"/>
      <c r="Z331" s="236"/>
      <c r="AA331" s="200"/>
      <c r="AB331" s="130"/>
      <c r="AC331" s="202"/>
      <c r="AD331" s="200"/>
      <c r="AE331" s="113"/>
      <c r="AF331" s="113"/>
      <c r="AG331" s="113"/>
      <c r="AH331" s="113"/>
      <c r="AI331" s="130"/>
      <c r="AJ331" s="135"/>
      <c r="AK331" s="57"/>
      <c r="AL331" s="287" t="s">
        <v>251</v>
      </c>
      <c r="AM331" s="288"/>
      <c r="AN331" s="288"/>
      <c r="AO331" s="288"/>
      <c r="AP331" s="288"/>
      <c r="AQ331" s="288"/>
      <c r="AR331" s="288"/>
      <c r="AS331" s="207"/>
      <c r="AT331" s="116" t="s">
        <v>406</v>
      </c>
      <c r="AU331" s="67" t="s">
        <v>2348</v>
      </c>
      <c r="AV331" s="251"/>
      <c r="AW331" s="67" t="s">
        <v>576</v>
      </c>
      <c r="AX331" s="113" t="s">
        <v>106</v>
      </c>
      <c r="AY331" s="222">
        <v>94553</v>
      </c>
      <c r="AZ331" s="199" t="s">
        <v>2347</v>
      </c>
      <c r="BA331" s="317"/>
    </row>
    <row r="332" spans="1:53" s="210" customFormat="1" ht="14.15" customHeight="1" x14ac:dyDescent="0.4">
      <c r="A332" s="256" t="s">
        <v>2349</v>
      </c>
      <c r="B332" s="67" t="s">
        <v>1637</v>
      </c>
      <c r="C332" s="111" t="s">
        <v>99</v>
      </c>
      <c r="D332" s="115"/>
      <c r="E332" s="120" t="s">
        <v>100</v>
      </c>
      <c r="F332" s="82"/>
      <c r="G332" s="84"/>
      <c r="H332" s="90" t="s">
        <v>100</v>
      </c>
      <c r="I332" s="91"/>
      <c r="J332" s="97"/>
      <c r="K332" s="102"/>
      <c r="L332" s="327"/>
      <c r="M332" s="106">
        <v>44274</v>
      </c>
      <c r="N332" s="113" t="s">
        <v>1778</v>
      </c>
      <c r="O332" s="113" t="s">
        <v>2350</v>
      </c>
      <c r="P332" s="57"/>
      <c r="Q332" s="132">
        <v>0.1</v>
      </c>
      <c r="R332" s="132"/>
      <c r="S332" s="63" t="s">
        <v>186</v>
      </c>
      <c r="T332" s="67" t="s">
        <v>2351</v>
      </c>
      <c r="U332" s="67" t="s">
        <v>188</v>
      </c>
      <c r="V332" s="113" t="s">
        <v>106</v>
      </c>
      <c r="W332" s="222">
        <v>95403</v>
      </c>
      <c r="X332" s="141"/>
      <c r="Y332" s="236"/>
      <c r="Z332" s="236"/>
      <c r="AA332" s="200"/>
      <c r="AB332" s="130"/>
      <c r="AC332" s="202"/>
      <c r="AD332" s="200"/>
      <c r="AE332" s="113"/>
      <c r="AF332" s="113"/>
      <c r="AG332" s="113"/>
      <c r="AH332" s="113"/>
      <c r="AI332" s="130"/>
      <c r="AJ332" s="135"/>
      <c r="AK332" s="57"/>
      <c r="AL332" s="287"/>
      <c r="AM332" s="288"/>
      <c r="AN332" s="288"/>
      <c r="AO332" s="288"/>
      <c r="AP332" s="288"/>
      <c r="AQ332" s="288"/>
      <c r="AR332" s="288"/>
      <c r="AS332" s="207"/>
      <c r="AT332" s="116"/>
      <c r="AU332" s="67" t="s">
        <v>2351</v>
      </c>
      <c r="AV332" s="251"/>
      <c r="AW332" s="67" t="s">
        <v>188</v>
      </c>
      <c r="AX332" s="113" t="s">
        <v>106</v>
      </c>
      <c r="AY332" s="222">
        <v>95403</v>
      </c>
      <c r="AZ332" s="199" t="s">
        <v>2350</v>
      </c>
      <c r="BA332" s="317"/>
    </row>
    <row r="333" spans="1:53" s="210" customFormat="1" ht="14.15" customHeight="1" x14ac:dyDescent="0.4">
      <c r="A333" s="256" t="s">
        <v>2352</v>
      </c>
      <c r="B333" s="67" t="s">
        <v>98</v>
      </c>
      <c r="C333" s="111" t="s">
        <v>99</v>
      </c>
      <c r="D333" s="115"/>
      <c r="E333" s="120" t="s">
        <v>100</v>
      </c>
      <c r="F333" s="82"/>
      <c r="G333" s="84"/>
      <c r="H333" s="90" t="s">
        <v>100</v>
      </c>
      <c r="I333" s="91"/>
      <c r="J333" s="97"/>
      <c r="K333" s="102">
        <v>44995</v>
      </c>
      <c r="L333" s="327"/>
      <c r="M333" s="106"/>
      <c r="N333" s="113" t="s">
        <v>2353</v>
      </c>
      <c r="O333" s="113" t="s">
        <v>2354</v>
      </c>
      <c r="P333" s="57"/>
      <c r="Q333" s="132">
        <v>0.10249999999999999</v>
      </c>
      <c r="R333" s="132"/>
      <c r="S333" s="63" t="s">
        <v>113</v>
      </c>
      <c r="T333" s="67" t="s">
        <v>2355</v>
      </c>
      <c r="U333" s="67" t="s">
        <v>398</v>
      </c>
      <c r="V333" s="113" t="s">
        <v>106</v>
      </c>
      <c r="W333" s="222">
        <v>94588</v>
      </c>
      <c r="X333" s="141" t="s">
        <v>2356</v>
      </c>
      <c r="Y333" s="236"/>
      <c r="Z333" s="236"/>
      <c r="AA333" s="200"/>
      <c r="AB333" s="130"/>
      <c r="AC333" s="202"/>
      <c r="AD333" s="200"/>
      <c r="AE333" s="113"/>
      <c r="AF333" s="113"/>
      <c r="AG333" s="113"/>
      <c r="AH333" s="113"/>
      <c r="AI333" s="130"/>
      <c r="AJ333" s="135"/>
      <c r="AK333" s="57"/>
      <c r="AL333" s="287"/>
      <c r="AM333" s="288"/>
      <c r="AN333" s="288" t="s">
        <v>180</v>
      </c>
      <c r="AO333" s="288"/>
      <c r="AP333" s="288"/>
      <c r="AQ333" s="288"/>
      <c r="AR333" s="288"/>
      <c r="AS333" s="207"/>
      <c r="AT333" s="116" t="s">
        <v>2357</v>
      </c>
      <c r="AU333" s="67" t="s">
        <v>2355</v>
      </c>
      <c r="AV333" s="251"/>
      <c r="AW333" s="67" t="s">
        <v>398</v>
      </c>
      <c r="AX333" s="113" t="s">
        <v>106</v>
      </c>
      <c r="AY333" s="222">
        <v>94588</v>
      </c>
      <c r="AZ333" s="199" t="s">
        <v>2354</v>
      </c>
      <c r="BA333" s="317"/>
    </row>
    <row r="334" spans="1:53" s="210" customFormat="1" ht="14.15" customHeight="1" x14ac:dyDescent="0.4">
      <c r="A334" s="256" t="s">
        <v>2358</v>
      </c>
      <c r="B334" s="67" t="s">
        <v>244</v>
      </c>
      <c r="C334" s="111" t="s">
        <v>435</v>
      </c>
      <c r="D334" s="113"/>
      <c r="E334" s="120" t="s">
        <v>173</v>
      </c>
      <c r="F334" s="82" t="s">
        <v>174</v>
      </c>
      <c r="G334" s="84"/>
      <c r="H334" s="90"/>
      <c r="I334" s="91"/>
      <c r="J334" s="97"/>
      <c r="K334" s="102">
        <v>45216</v>
      </c>
      <c r="L334" s="327"/>
      <c r="M334" s="106">
        <v>45083</v>
      </c>
      <c r="N334" s="113" t="s">
        <v>2359</v>
      </c>
      <c r="O334" s="113" t="s">
        <v>2360</v>
      </c>
      <c r="P334" s="57" t="s">
        <v>2361</v>
      </c>
      <c r="Q334" s="132">
        <v>8.6249999999999993E-2</v>
      </c>
      <c r="R334" s="132">
        <v>8.7499999999999994E-2</v>
      </c>
      <c r="S334" s="63" t="s">
        <v>103</v>
      </c>
      <c r="T334" s="67" t="s">
        <v>2362</v>
      </c>
      <c r="U334" s="67" t="s">
        <v>105</v>
      </c>
      <c r="V334" s="113" t="s">
        <v>106</v>
      </c>
      <c r="W334" s="222">
        <v>94133</v>
      </c>
      <c r="X334" s="141" t="s">
        <v>2363</v>
      </c>
      <c r="Y334" s="236"/>
      <c r="Z334" s="236"/>
      <c r="AA334" s="200" t="s">
        <v>873</v>
      </c>
      <c r="AB334" s="130" t="s">
        <v>2364</v>
      </c>
      <c r="AC334" s="202" t="s">
        <v>2365</v>
      </c>
      <c r="AD334" s="200" t="s">
        <v>2366</v>
      </c>
      <c r="AE334" s="113"/>
      <c r="AF334" s="113"/>
      <c r="AG334" s="113"/>
      <c r="AH334" s="113"/>
      <c r="AI334" s="130" t="s">
        <v>2367</v>
      </c>
      <c r="AJ334" s="135" t="s">
        <v>116</v>
      </c>
      <c r="AK334" s="57"/>
      <c r="AL334" s="287">
        <v>54230</v>
      </c>
      <c r="AM334" s="288" t="s">
        <v>257</v>
      </c>
      <c r="AN334" s="288">
        <v>15741</v>
      </c>
      <c r="AO334" s="288">
        <v>62245</v>
      </c>
      <c r="AP334" s="288"/>
      <c r="AQ334" s="288"/>
      <c r="AR334" s="288"/>
      <c r="AS334" s="207" t="s">
        <v>132</v>
      </c>
      <c r="AT334" s="116" t="s">
        <v>116</v>
      </c>
      <c r="AU334" s="67" t="str">
        <f>PROPER(AV334)</f>
        <v>530 Jackson St</v>
      </c>
      <c r="AV334" s="251" t="s">
        <v>2368</v>
      </c>
      <c r="AW334" s="67" t="s">
        <v>105</v>
      </c>
      <c r="AX334" s="113" t="s">
        <v>106</v>
      </c>
      <c r="AY334" s="222">
        <v>94133</v>
      </c>
      <c r="AZ334" s="199" t="s">
        <v>2360</v>
      </c>
      <c r="BA334" s="75"/>
    </row>
    <row r="335" spans="1:53" s="210" customFormat="1" ht="14.15" customHeight="1" x14ac:dyDescent="0.4">
      <c r="A335" s="256" t="s">
        <v>2369</v>
      </c>
      <c r="B335" s="67" t="s">
        <v>244</v>
      </c>
      <c r="C335" s="111" t="s">
        <v>963</v>
      </c>
      <c r="D335" s="115"/>
      <c r="E335" s="120" t="s">
        <v>1166</v>
      </c>
      <c r="F335" s="82" t="s">
        <v>174</v>
      </c>
      <c r="G335" s="84"/>
      <c r="H335" s="296" t="s">
        <v>253</v>
      </c>
      <c r="I335" s="91"/>
      <c r="J335" s="97"/>
      <c r="K335" s="102">
        <v>45135</v>
      </c>
      <c r="L335" s="327"/>
      <c r="M335" s="106">
        <v>44874</v>
      </c>
      <c r="N335" s="113" t="s">
        <v>2370</v>
      </c>
      <c r="O335" s="113"/>
      <c r="P335" s="57"/>
      <c r="Q335" s="132">
        <v>8.6249999999999993E-2</v>
      </c>
      <c r="R335" s="132"/>
      <c r="S335" s="63" t="s">
        <v>103</v>
      </c>
      <c r="T335" s="67" t="s">
        <v>2371</v>
      </c>
      <c r="U335" s="67" t="s">
        <v>105</v>
      </c>
      <c r="V335" s="113" t="s">
        <v>106</v>
      </c>
      <c r="W335" s="222">
        <v>94133</v>
      </c>
      <c r="X335" s="141" t="s">
        <v>2372</v>
      </c>
      <c r="Y335" s="236"/>
      <c r="Z335" s="236"/>
      <c r="AA335" s="200"/>
      <c r="AB335" s="130"/>
      <c r="AC335" s="202"/>
      <c r="AD335" s="200"/>
      <c r="AE335" s="113"/>
      <c r="AF335" s="113"/>
      <c r="AG335" s="113"/>
      <c r="AH335" s="113"/>
      <c r="AI335" s="130"/>
      <c r="AJ335" s="135"/>
      <c r="AK335" s="57"/>
      <c r="AL335" s="287" t="s">
        <v>251</v>
      </c>
      <c r="AM335" s="288">
        <v>13305</v>
      </c>
      <c r="AN335" s="288" t="s">
        <v>325</v>
      </c>
      <c r="AO335" s="288">
        <v>62245</v>
      </c>
      <c r="AP335" s="288"/>
      <c r="AQ335" s="288">
        <v>15741</v>
      </c>
      <c r="AR335" s="288"/>
      <c r="AS335" s="207"/>
      <c r="AT335" s="116" t="s">
        <v>406</v>
      </c>
      <c r="AU335" s="67" t="s">
        <v>2371</v>
      </c>
      <c r="AV335" s="251"/>
      <c r="AW335" s="67" t="s">
        <v>105</v>
      </c>
      <c r="AX335" s="113" t="s">
        <v>106</v>
      </c>
      <c r="AY335" s="222">
        <v>94133</v>
      </c>
      <c r="AZ335" s="199"/>
      <c r="BA335" s="317"/>
    </row>
    <row r="336" spans="1:53" s="210" customFormat="1" ht="14.15" customHeight="1" x14ac:dyDescent="0.4">
      <c r="A336" s="256" t="s">
        <v>2373</v>
      </c>
      <c r="B336" s="67" t="s">
        <v>98</v>
      </c>
      <c r="C336" s="111" t="s">
        <v>99</v>
      </c>
      <c r="D336" s="113" t="s">
        <v>2374</v>
      </c>
      <c r="E336" s="120" t="s">
        <v>100</v>
      </c>
      <c r="F336" s="82"/>
      <c r="G336" s="84"/>
      <c r="H336" s="90" t="s">
        <v>100</v>
      </c>
      <c r="I336" s="91"/>
      <c r="J336" s="97"/>
      <c r="K336" s="102">
        <v>45869</v>
      </c>
      <c r="L336" s="327"/>
      <c r="M336" s="106">
        <v>43126</v>
      </c>
      <c r="N336" s="113" t="s">
        <v>2375</v>
      </c>
      <c r="O336" s="113" t="s">
        <v>2376</v>
      </c>
      <c r="P336" s="57"/>
      <c r="Q336" s="132">
        <v>8.6249999999999993E-2</v>
      </c>
      <c r="R336" s="132"/>
      <c r="S336" s="63" t="s">
        <v>103</v>
      </c>
      <c r="T336" s="67" t="s">
        <v>2377</v>
      </c>
      <c r="U336" s="67" t="s">
        <v>105</v>
      </c>
      <c r="V336" s="113" t="s">
        <v>106</v>
      </c>
      <c r="W336" s="222">
        <v>94117</v>
      </c>
      <c r="X336" s="141" t="s">
        <v>2378</v>
      </c>
      <c r="Y336" s="236"/>
      <c r="Z336" s="236"/>
      <c r="AA336" s="200"/>
      <c r="AB336" s="130"/>
      <c r="AC336" s="202"/>
      <c r="AD336" s="200"/>
      <c r="AE336" s="113"/>
      <c r="AF336" s="113"/>
      <c r="AG336" s="113"/>
      <c r="AH336" s="113"/>
      <c r="AI336" s="130"/>
      <c r="AJ336" s="135"/>
      <c r="AK336" s="57"/>
      <c r="AL336" s="287" t="s">
        <v>149</v>
      </c>
      <c r="AM336" s="288">
        <v>13305</v>
      </c>
      <c r="AN336" s="288">
        <v>13305</v>
      </c>
      <c r="AO336" s="288"/>
      <c r="AP336" s="288"/>
      <c r="AQ336" s="288"/>
      <c r="AR336" s="288"/>
      <c r="AS336" s="207" t="s">
        <v>132</v>
      </c>
      <c r="AT336" s="116" t="s">
        <v>116</v>
      </c>
      <c r="AU336" s="67" t="s">
        <v>2377</v>
      </c>
      <c r="AV336" s="251"/>
      <c r="AW336" s="67" t="s">
        <v>105</v>
      </c>
      <c r="AX336" s="113" t="s">
        <v>106</v>
      </c>
      <c r="AY336" s="222">
        <v>94117</v>
      </c>
      <c r="AZ336" s="199" t="s">
        <v>2376</v>
      </c>
      <c r="BA336" s="75"/>
    </row>
    <row r="337" spans="1:53" s="210" customFormat="1" ht="14.15" customHeight="1" x14ac:dyDescent="0.4">
      <c r="A337" s="256" t="s">
        <v>2379</v>
      </c>
      <c r="B337" s="67" t="s">
        <v>98</v>
      </c>
      <c r="C337" s="109" t="s">
        <v>99</v>
      </c>
      <c r="D337" s="79"/>
      <c r="E337" s="120" t="s">
        <v>598</v>
      </c>
      <c r="F337" s="82" t="s">
        <v>174</v>
      </c>
      <c r="G337" s="84"/>
      <c r="H337" s="90" t="s">
        <v>100</v>
      </c>
      <c r="I337" s="91"/>
      <c r="J337" s="97"/>
      <c r="K337" s="102">
        <v>45187</v>
      </c>
      <c r="L337" s="327"/>
      <c r="M337" s="106"/>
      <c r="N337" s="128" t="s">
        <v>2380</v>
      </c>
      <c r="O337" s="128" t="s">
        <v>2381</v>
      </c>
      <c r="P337" s="59"/>
      <c r="Q337" s="131">
        <v>9.2499999999999999E-2</v>
      </c>
      <c r="R337" s="131"/>
      <c r="S337" s="63" t="s">
        <v>759</v>
      </c>
      <c r="T337" s="67" t="s">
        <v>2382</v>
      </c>
      <c r="U337" s="67" t="s">
        <v>538</v>
      </c>
      <c r="V337" s="79" t="s">
        <v>106</v>
      </c>
      <c r="W337" s="76">
        <v>94960</v>
      </c>
      <c r="X337" s="141" t="s">
        <v>2383</v>
      </c>
      <c r="Y337" s="236"/>
      <c r="Z337" s="234"/>
      <c r="AA337" s="79"/>
      <c r="AB337" s="135"/>
      <c r="AC337" s="136"/>
      <c r="AD337" s="79"/>
      <c r="AE337" s="128"/>
      <c r="AF337" s="128"/>
      <c r="AG337" s="128"/>
      <c r="AH337" s="128"/>
      <c r="AI337" s="135"/>
      <c r="AJ337" s="135"/>
      <c r="AK337" s="58"/>
      <c r="AL337" s="287"/>
      <c r="AM337" s="288"/>
      <c r="AN337" s="288"/>
      <c r="AO337" s="288"/>
      <c r="AP337" s="288"/>
      <c r="AQ337" s="288"/>
      <c r="AR337" s="288"/>
      <c r="AS337" s="207"/>
      <c r="AT337" s="116"/>
      <c r="AU337" s="67"/>
      <c r="AV337" s="66"/>
      <c r="AW337" s="67"/>
      <c r="AX337" s="79"/>
      <c r="AY337" s="76"/>
      <c r="AZ337" s="77"/>
      <c r="BA337" s="75"/>
    </row>
    <row r="338" spans="1:53" s="210" customFormat="1" ht="14.15" customHeight="1" x14ac:dyDescent="0.4">
      <c r="A338" s="256" t="s">
        <v>2384</v>
      </c>
      <c r="B338" s="67" t="s">
        <v>98</v>
      </c>
      <c r="C338" s="110" t="s">
        <v>99</v>
      </c>
      <c r="D338" s="112"/>
      <c r="E338" s="119" t="s">
        <v>100</v>
      </c>
      <c r="F338" s="83"/>
      <c r="G338" s="209"/>
      <c r="H338" s="88" t="s">
        <v>100</v>
      </c>
      <c r="I338" s="89"/>
      <c r="J338" s="98"/>
      <c r="K338" s="101">
        <v>45999</v>
      </c>
      <c r="L338" s="329"/>
      <c r="M338" s="105"/>
      <c r="N338" s="112" t="s">
        <v>2385</v>
      </c>
      <c r="O338" s="112" t="s">
        <v>2386</v>
      </c>
      <c r="P338" s="198" t="s">
        <v>2387</v>
      </c>
      <c r="Q338" s="132">
        <v>9.6250000000000002E-2</v>
      </c>
      <c r="R338" s="132"/>
      <c r="S338" s="63" t="s">
        <v>303</v>
      </c>
      <c r="T338" s="198" t="s">
        <v>2388</v>
      </c>
      <c r="U338" s="198" t="s">
        <v>2389</v>
      </c>
      <c r="V338" s="112" t="s">
        <v>106</v>
      </c>
      <c r="W338" s="205">
        <v>94510</v>
      </c>
      <c r="X338" s="141" t="s">
        <v>2390</v>
      </c>
      <c r="Y338" s="139" t="s">
        <v>2391</v>
      </c>
      <c r="Z338" s="139" t="s">
        <v>2392</v>
      </c>
      <c r="AA338" s="203"/>
      <c r="AB338" s="205"/>
      <c r="AC338" s="206"/>
      <c r="AD338" s="203"/>
      <c r="AE338" s="205"/>
      <c r="AF338" s="205"/>
      <c r="AG338" s="205"/>
      <c r="AH338" s="205"/>
      <c r="AI338" s="205"/>
      <c r="AJ338" s="135"/>
      <c r="AK338" s="318"/>
      <c r="AL338" s="287" t="s">
        <v>149</v>
      </c>
      <c r="AM338" s="288">
        <v>13305</v>
      </c>
      <c r="AN338" s="288">
        <v>15303</v>
      </c>
      <c r="AO338" s="288">
        <v>62245</v>
      </c>
      <c r="AP338" s="288"/>
      <c r="AQ338" s="288"/>
      <c r="AR338" s="288"/>
      <c r="AS338" s="207" t="s">
        <v>2393</v>
      </c>
      <c r="AT338" s="116" t="s">
        <v>116</v>
      </c>
      <c r="AU338" s="198" t="s">
        <v>2388</v>
      </c>
      <c r="AV338" s="39"/>
      <c r="AW338" s="198" t="s">
        <v>2389</v>
      </c>
      <c r="AX338" s="112" t="s">
        <v>106</v>
      </c>
      <c r="AY338" s="205">
        <v>94510</v>
      </c>
      <c r="AZ338" s="198" t="s">
        <v>2386</v>
      </c>
      <c r="BA338" s="75"/>
    </row>
    <row r="339" spans="1:53" s="210" customFormat="1" ht="14.15" customHeight="1" x14ac:dyDescent="0.4">
      <c r="A339" s="256" t="s">
        <v>2394</v>
      </c>
      <c r="B339" s="67" t="s">
        <v>98</v>
      </c>
      <c r="C339" s="111" t="s">
        <v>99</v>
      </c>
      <c r="D339" s="115"/>
      <c r="E339" s="120" t="s">
        <v>100</v>
      </c>
      <c r="F339" s="82"/>
      <c r="G339" s="84"/>
      <c r="H339" s="90" t="s">
        <v>100</v>
      </c>
      <c r="I339" s="91"/>
      <c r="J339" s="97"/>
      <c r="K339" s="102">
        <v>45236</v>
      </c>
      <c r="L339" s="327"/>
      <c r="M339" s="106"/>
      <c r="N339" s="113" t="s">
        <v>2395</v>
      </c>
      <c r="O339" s="113" t="s">
        <v>2396</v>
      </c>
      <c r="P339" s="57" t="s">
        <v>2387</v>
      </c>
      <c r="Q339" s="132">
        <v>0.10249999999999999</v>
      </c>
      <c r="R339" s="132"/>
      <c r="S339" s="63" t="s">
        <v>113</v>
      </c>
      <c r="T339" s="67" t="s">
        <v>2397</v>
      </c>
      <c r="U339" s="67" t="s">
        <v>398</v>
      </c>
      <c r="V339" s="113" t="s">
        <v>106</v>
      </c>
      <c r="W339" s="222">
        <v>94588</v>
      </c>
      <c r="X339" s="141" t="s">
        <v>2390</v>
      </c>
      <c r="Y339" s="139" t="s">
        <v>2391</v>
      </c>
      <c r="Z339" s="139" t="s">
        <v>2392</v>
      </c>
      <c r="AA339" s="200"/>
      <c r="AB339" s="130"/>
      <c r="AC339" s="202"/>
      <c r="AD339" s="200"/>
      <c r="AE339" s="113"/>
      <c r="AF339" s="113"/>
      <c r="AG339" s="113"/>
      <c r="AH339" s="113"/>
      <c r="AI339" s="130"/>
      <c r="AJ339" s="135"/>
      <c r="AK339" s="57"/>
      <c r="AL339" s="287" t="s">
        <v>149</v>
      </c>
      <c r="AM339" s="288">
        <v>13305</v>
      </c>
      <c r="AN339" s="288">
        <v>15303</v>
      </c>
      <c r="AO339" s="288">
        <v>62245</v>
      </c>
      <c r="AP339" s="288"/>
      <c r="AQ339" s="288">
        <v>15185</v>
      </c>
      <c r="AR339" s="288"/>
      <c r="AS339" s="207" t="s">
        <v>132</v>
      </c>
      <c r="AT339" s="116" t="s">
        <v>116</v>
      </c>
      <c r="AU339" s="67" t="s">
        <v>2397</v>
      </c>
      <c r="AV339" s="251"/>
      <c r="AW339" s="67" t="s">
        <v>398</v>
      </c>
      <c r="AX339" s="113" t="s">
        <v>106</v>
      </c>
      <c r="AY339" s="222">
        <v>94588</v>
      </c>
      <c r="AZ339" s="199" t="s">
        <v>2396</v>
      </c>
      <c r="BA339" s="317"/>
    </row>
    <row r="340" spans="1:53" s="210" customFormat="1" ht="14.15" customHeight="1" x14ac:dyDescent="0.4">
      <c r="A340" s="256" t="s">
        <v>2398</v>
      </c>
      <c r="B340" s="67" t="s">
        <v>2399</v>
      </c>
      <c r="C340" s="111" t="s">
        <v>435</v>
      </c>
      <c r="D340" s="113"/>
      <c r="E340" s="120" t="s">
        <v>100</v>
      </c>
      <c r="F340" s="82"/>
      <c r="G340" s="84"/>
      <c r="H340" s="90" t="s">
        <v>100</v>
      </c>
      <c r="I340" s="91"/>
      <c r="J340" s="97"/>
      <c r="K340" s="102">
        <v>46003</v>
      </c>
      <c r="L340" s="327"/>
      <c r="M340" s="106">
        <v>43804</v>
      </c>
      <c r="N340" s="113" t="s">
        <v>2400</v>
      </c>
      <c r="O340" s="113" t="s">
        <v>2401</v>
      </c>
      <c r="P340" s="57" t="s">
        <v>2402</v>
      </c>
      <c r="Q340" s="132">
        <v>8.7499999999999994E-2</v>
      </c>
      <c r="R340" s="132">
        <v>0.08</v>
      </c>
      <c r="S340" s="63" t="s">
        <v>907</v>
      </c>
      <c r="T340" s="67" t="s">
        <v>2403</v>
      </c>
      <c r="U340" s="67" t="s">
        <v>1492</v>
      </c>
      <c r="V340" s="113" t="s">
        <v>106</v>
      </c>
      <c r="W340" s="222">
        <v>94559</v>
      </c>
      <c r="X340" s="147"/>
      <c r="Y340" s="236" t="s">
        <v>6474</v>
      </c>
      <c r="Z340" s="236"/>
      <c r="AA340" s="200" t="s">
        <v>2404</v>
      </c>
      <c r="AB340" s="130" t="s">
        <v>2405</v>
      </c>
      <c r="AC340" s="202" t="s">
        <v>2406</v>
      </c>
      <c r="AD340" s="200"/>
      <c r="AE340" s="113"/>
      <c r="AF340" s="113"/>
      <c r="AG340" s="113"/>
      <c r="AH340" s="113"/>
      <c r="AI340" s="130" t="s">
        <v>2407</v>
      </c>
      <c r="AJ340" s="135"/>
      <c r="AK340" s="57"/>
      <c r="AL340" s="290" t="s">
        <v>289</v>
      </c>
      <c r="AM340" s="290">
        <v>13305</v>
      </c>
      <c r="AN340" s="290" t="s">
        <v>325</v>
      </c>
      <c r="AO340" s="290">
        <v>62245</v>
      </c>
      <c r="AP340" s="292"/>
      <c r="AQ340" s="292" t="s">
        <v>198</v>
      </c>
      <c r="AR340" s="292"/>
      <c r="AS340" s="207" t="s">
        <v>132</v>
      </c>
      <c r="AT340" s="116" t="s">
        <v>116</v>
      </c>
      <c r="AU340" s="67" t="s">
        <v>2403</v>
      </c>
      <c r="AV340" s="251"/>
      <c r="AW340" s="67" t="s">
        <v>1492</v>
      </c>
      <c r="AX340" s="113" t="s">
        <v>106</v>
      </c>
      <c r="AY340" s="222">
        <v>94559</v>
      </c>
      <c r="AZ340" s="199" t="s">
        <v>2401</v>
      </c>
      <c r="BA340" s="75"/>
    </row>
    <row r="341" spans="1:53" s="251" customFormat="1" ht="14.15" customHeight="1" x14ac:dyDescent="0.4">
      <c r="A341" s="256" t="s">
        <v>2408</v>
      </c>
      <c r="B341" s="67" t="s">
        <v>125</v>
      </c>
      <c r="C341" s="111" t="s">
        <v>109</v>
      </c>
      <c r="D341" s="115" t="s">
        <v>2409</v>
      </c>
      <c r="E341" s="120" t="s">
        <v>100</v>
      </c>
      <c r="F341" s="82"/>
      <c r="G341" s="84"/>
      <c r="H341" s="90" t="s">
        <v>100</v>
      </c>
      <c r="I341" s="91"/>
      <c r="J341" s="97"/>
      <c r="K341" s="102">
        <v>44504</v>
      </c>
      <c r="L341" s="327"/>
      <c r="M341" s="106">
        <v>44497</v>
      </c>
      <c r="N341" s="113" t="s">
        <v>2410</v>
      </c>
      <c r="O341" s="113" t="s">
        <v>2411</v>
      </c>
      <c r="P341" s="57" t="s">
        <v>2412</v>
      </c>
      <c r="Q341" s="132">
        <v>0.105</v>
      </c>
      <c r="R341" s="131">
        <v>9.5000000000000001E-2</v>
      </c>
      <c r="S341" s="63" t="s">
        <v>164</v>
      </c>
      <c r="T341" s="67" t="s">
        <v>2413</v>
      </c>
      <c r="U341" s="67" t="s">
        <v>166</v>
      </c>
      <c r="V341" s="113" t="s">
        <v>106</v>
      </c>
      <c r="W341" s="222">
        <v>94608</v>
      </c>
      <c r="X341" s="141"/>
      <c r="Y341" s="236"/>
      <c r="Z341" s="236"/>
      <c r="AA341" s="200"/>
      <c r="AB341" s="130"/>
      <c r="AC341" s="202"/>
      <c r="AD341" s="200"/>
      <c r="AE341" s="113"/>
      <c r="AF341" s="113"/>
      <c r="AG341" s="113"/>
      <c r="AH341" s="113"/>
      <c r="AI341" s="130"/>
      <c r="AJ341" s="135"/>
      <c r="AK341" s="57"/>
      <c r="AL341" s="287"/>
      <c r="AM341" s="288"/>
      <c r="AN341" s="288"/>
      <c r="AO341" s="288"/>
      <c r="AP341" s="288"/>
      <c r="AQ341" s="288"/>
      <c r="AR341" s="288"/>
      <c r="AS341" s="207"/>
      <c r="AT341" s="116"/>
      <c r="AU341" s="67" t="s">
        <v>2413</v>
      </c>
      <c r="AW341" s="67" t="s">
        <v>166</v>
      </c>
      <c r="AX341" s="113" t="s">
        <v>106</v>
      </c>
      <c r="AY341" s="222">
        <v>94608</v>
      </c>
      <c r="AZ341" s="199" t="s">
        <v>2411</v>
      </c>
      <c r="BA341" s="317"/>
    </row>
    <row r="342" spans="1:53" s="251" customFormat="1" ht="14.15" customHeight="1" x14ac:dyDescent="0.4">
      <c r="A342" s="256" t="s">
        <v>2414</v>
      </c>
      <c r="B342" s="67" t="s">
        <v>98</v>
      </c>
      <c r="C342" s="111" t="s">
        <v>99</v>
      </c>
      <c r="D342" s="113"/>
      <c r="E342" s="120" t="s">
        <v>100</v>
      </c>
      <c r="F342" s="82"/>
      <c r="G342" s="84"/>
      <c r="H342" s="90" t="s">
        <v>100</v>
      </c>
      <c r="I342" s="91"/>
      <c r="J342" s="97"/>
      <c r="K342" s="102"/>
      <c r="L342" s="327"/>
      <c r="M342" s="106">
        <v>43834</v>
      </c>
      <c r="N342" s="113" t="s">
        <v>2415</v>
      </c>
      <c r="O342" s="113" t="s">
        <v>2416</v>
      </c>
      <c r="P342" s="57" t="s">
        <v>2417</v>
      </c>
      <c r="Q342" s="132">
        <v>9.375E-2</v>
      </c>
      <c r="R342" s="132">
        <v>0.09</v>
      </c>
      <c r="S342" s="63" t="s">
        <v>146</v>
      </c>
      <c r="T342" s="67" t="s">
        <v>2418</v>
      </c>
      <c r="U342" s="67" t="s">
        <v>148</v>
      </c>
      <c r="V342" s="113" t="s">
        <v>106</v>
      </c>
      <c r="W342" s="222">
        <v>95118</v>
      </c>
      <c r="X342" s="141" t="s">
        <v>2419</v>
      </c>
      <c r="Y342" s="236"/>
      <c r="Z342" s="236"/>
      <c r="AA342" s="200" t="s">
        <v>2420</v>
      </c>
      <c r="AB342" s="130" t="s">
        <v>2421</v>
      </c>
      <c r="AC342" s="202" t="s">
        <v>2422</v>
      </c>
      <c r="AD342" s="200" t="s">
        <v>2423</v>
      </c>
      <c r="AE342" s="113"/>
      <c r="AF342" s="113"/>
      <c r="AG342" s="113"/>
      <c r="AH342" s="113"/>
      <c r="AI342" s="130" t="s">
        <v>2424</v>
      </c>
      <c r="AJ342" s="135"/>
      <c r="AK342" s="57"/>
      <c r="AL342" s="290"/>
      <c r="AM342" s="290"/>
      <c r="AN342" s="290"/>
      <c r="AO342" s="290"/>
      <c r="AP342" s="290"/>
      <c r="AQ342" s="290"/>
      <c r="AR342" s="290"/>
      <c r="AS342" s="207" t="s">
        <v>132</v>
      </c>
      <c r="AT342" s="116" t="s">
        <v>116</v>
      </c>
      <c r="AU342" s="67" t="s">
        <v>2418</v>
      </c>
      <c r="AW342" s="67" t="s">
        <v>148</v>
      </c>
      <c r="AX342" s="113" t="s">
        <v>106</v>
      </c>
      <c r="AY342" s="222">
        <v>95118</v>
      </c>
      <c r="AZ342" s="199" t="s">
        <v>2416</v>
      </c>
      <c r="BA342" s="317"/>
    </row>
    <row r="343" spans="1:53" s="210" customFormat="1" ht="14.15" customHeight="1" x14ac:dyDescent="0.4">
      <c r="A343" s="256" t="s">
        <v>2425</v>
      </c>
      <c r="B343" s="67" t="s">
        <v>98</v>
      </c>
      <c r="C343" s="111" t="s">
        <v>99</v>
      </c>
      <c r="D343" s="113"/>
      <c r="E343" s="120" t="s">
        <v>100</v>
      </c>
      <c r="F343" s="82"/>
      <c r="G343" s="84"/>
      <c r="H343" s="90" t="s">
        <v>100</v>
      </c>
      <c r="I343" s="91"/>
      <c r="J343" s="97"/>
      <c r="K343" s="102"/>
      <c r="L343" s="327"/>
      <c r="M343" s="106">
        <v>44677</v>
      </c>
      <c r="N343" s="113" t="s">
        <v>2426</v>
      </c>
      <c r="O343" s="113" t="s">
        <v>2427</v>
      </c>
      <c r="P343" s="57"/>
      <c r="Q343" s="132">
        <v>0.10249999999999999</v>
      </c>
      <c r="R343" s="132">
        <v>9.5000000000000001E-2</v>
      </c>
      <c r="S343" s="63" t="s">
        <v>113</v>
      </c>
      <c r="T343" s="67" t="s">
        <v>2428</v>
      </c>
      <c r="U343" s="67" t="s">
        <v>1527</v>
      </c>
      <c r="V343" s="113" t="s">
        <v>106</v>
      </c>
      <c r="W343" s="222">
        <v>94546</v>
      </c>
      <c r="X343" s="147"/>
      <c r="Y343" s="236"/>
      <c r="Z343" s="236"/>
      <c r="AA343" s="200"/>
      <c r="AB343" s="130"/>
      <c r="AC343" s="202"/>
      <c r="AD343" s="200"/>
      <c r="AE343" s="113"/>
      <c r="AF343" s="113"/>
      <c r="AG343" s="113"/>
      <c r="AH343" s="113"/>
      <c r="AI343" s="130"/>
      <c r="AJ343" s="135"/>
      <c r="AK343" s="57"/>
      <c r="AL343" s="289"/>
      <c r="AM343" s="289"/>
      <c r="AN343" s="289"/>
      <c r="AO343" s="289"/>
      <c r="AP343" s="289"/>
      <c r="AQ343" s="289"/>
      <c r="AR343" s="289"/>
      <c r="AS343" s="207" t="s">
        <v>132</v>
      </c>
      <c r="AT343" s="116" t="s">
        <v>116</v>
      </c>
      <c r="AU343" s="67" t="s">
        <v>2428</v>
      </c>
      <c r="AV343" s="251"/>
      <c r="AW343" s="67" t="s">
        <v>1527</v>
      </c>
      <c r="AX343" s="113" t="s">
        <v>106</v>
      </c>
      <c r="AY343" s="222">
        <v>94546</v>
      </c>
      <c r="AZ343" s="199" t="s">
        <v>2427</v>
      </c>
      <c r="BA343" s="207"/>
    </row>
    <row r="344" spans="1:53" s="210" customFormat="1" ht="14.15" customHeight="1" x14ac:dyDescent="0.4">
      <c r="A344" s="256" t="s">
        <v>2429</v>
      </c>
      <c r="B344" s="67" t="s">
        <v>98</v>
      </c>
      <c r="C344" s="111" t="s">
        <v>99</v>
      </c>
      <c r="D344" s="115"/>
      <c r="E344" s="120" t="s">
        <v>100</v>
      </c>
      <c r="F344" s="80"/>
      <c r="G344" s="84"/>
      <c r="H344" s="90" t="s">
        <v>100</v>
      </c>
      <c r="I344" s="91"/>
      <c r="J344" s="97"/>
      <c r="K344" s="102">
        <v>44119</v>
      </c>
      <c r="L344" s="327"/>
      <c r="M344" s="106">
        <v>45784</v>
      </c>
      <c r="N344" s="113" t="s">
        <v>2430</v>
      </c>
      <c r="O344" s="113" t="s">
        <v>2431</v>
      </c>
      <c r="P344" s="57" t="s">
        <v>2432</v>
      </c>
      <c r="Q344" s="132">
        <v>8.3750000000000005E-2</v>
      </c>
      <c r="R344" s="132"/>
      <c r="S344" s="63" t="s">
        <v>2433</v>
      </c>
      <c r="T344" s="67" t="s">
        <v>2434</v>
      </c>
      <c r="U344" s="67" t="s">
        <v>2433</v>
      </c>
      <c r="V344" s="113" t="s">
        <v>106</v>
      </c>
      <c r="W344" s="222">
        <v>95307</v>
      </c>
      <c r="X344" s="141"/>
      <c r="Y344" s="139" t="s">
        <v>2435</v>
      </c>
      <c r="Z344" s="236"/>
      <c r="AA344" s="200"/>
      <c r="AB344" s="130"/>
      <c r="AC344" s="202"/>
      <c r="AD344" s="200"/>
      <c r="AE344" s="113"/>
      <c r="AF344" s="113"/>
      <c r="AG344" s="113"/>
      <c r="AH344" s="113"/>
      <c r="AI344" s="130"/>
      <c r="AJ344" s="135"/>
      <c r="AK344" s="57"/>
      <c r="AL344" s="287" t="s">
        <v>149</v>
      </c>
      <c r="AM344" s="288">
        <v>13305</v>
      </c>
      <c r="AN344" s="288"/>
      <c r="AO344" s="288"/>
      <c r="AP344" s="288"/>
      <c r="AQ344" s="288"/>
      <c r="AR344" s="288"/>
      <c r="AS344" s="207"/>
      <c r="AT344" s="116"/>
      <c r="AU344" s="67" t="s">
        <v>2434</v>
      </c>
      <c r="AV344" s="251"/>
      <c r="AW344" s="67" t="s">
        <v>2436</v>
      </c>
      <c r="AX344" s="113" t="s">
        <v>106</v>
      </c>
      <c r="AY344" s="222">
        <v>95307</v>
      </c>
      <c r="AZ344" s="199" t="s">
        <v>2431</v>
      </c>
      <c r="BA344" s="317"/>
    </row>
    <row r="345" spans="1:53" s="251" customFormat="1" ht="14.15" customHeight="1" x14ac:dyDescent="0.4">
      <c r="A345" s="256" t="s">
        <v>2437</v>
      </c>
      <c r="B345" s="67" t="s">
        <v>98</v>
      </c>
      <c r="C345" s="111" t="s">
        <v>99</v>
      </c>
      <c r="D345" s="113"/>
      <c r="E345" s="120" t="s">
        <v>100</v>
      </c>
      <c r="F345" s="82"/>
      <c r="G345" s="84"/>
      <c r="H345" s="90" t="s">
        <v>100</v>
      </c>
      <c r="I345" s="91"/>
      <c r="J345" s="97"/>
      <c r="K345" s="102"/>
      <c r="L345" s="327"/>
      <c r="M345" s="106">
        <v>43944</v>
      </c>
      <c r="N345" s="113" t="s">
        <v>2438</v>
      </c>
      <c r="O345" s="113" t="s">
        <v>2439</v>
      </c>
      <c r="P345" s="57"/>
      <c r="Q345" s="132">
        <v>9.8750000000000004E-2</v>
      </c>
      <c r="R345" s="132">
        <v>0.09</v>
      </c>
      <c r="S345" s="63" t="s">
        <v>2440</v>
      </c>
      <c r="T345" s="67" t="s">
        <v>2441</v>
      </c>
      <c r="U345" s="67" t="s">
        <v>2440</v>
      </c>
      <c r="V345" s="113" t="s">
        <v>106</v>
      </c>
      <c r="W345" s="222">
        <v>94014</v>
      </c>
      <c r="X345" s="147"/>
      <c r="Y345" s="319"/>
      <c r="Z345" s="236"/>
      <c r="AA345" s="200" t="s">
        <v>2442</v>
      </c>
      <c r="AB345" s="130"/>
      <c r="AC345" s="202"/>
      <c r="AD345" s="200"/>
      <c r="AE345" s="113"/>
      <c r="AF345" s="113"/>
      <c r="AG345" s="113"/>
      <c r="AH345" s="113"/>
      <c r="AI345" s="130" t="s">
        <v>0</v>
      </c>
      <c r="AJ345" s="135" t="s">
        <v>116</v>
      </c>
      <c r="AK345" s="57"/>
      <c r="AL345" s="370"/>
      <c r="AM345" s="289"/>
      <c r="AN345" s="289"/>
      <c r="AO345" s="289"/>
      <c r="AP345" s="289"/>
      <c r="AQ345" s="289"/>
      <c r="AR345" s="289"/>
      <c r="AS345" s="207" t="s">
        <v>132</v>
      </c>
      <c r="AT345" s="116" t="s">
        <v>116</v>
      </c>
      <c r="AU345" s="67" t="s">
        <v>2443</v>
      </c>
      <c r="AW345" s="67" t="s">
        <v>2440</v>
      </c>
      <c r="AX345" s="113" t="s">
        <v>106</v>
      </c>
      <c r="AY345" s="222">
        <v>94014</v>
      </c>
      <c r="AZ345" s="199" t="s">
        <v>2439</v>
      </c>
      <c r="BA345" s="75"/>
    </row>
    <row r="346" spans="1:53" s="251" customFormat="1" ht="14.15" customHeight="1" x14ac:dyDescent="0.4">
      <c r="A346" s="256" t="s">
        <v>2444</v>
      </c>
      <c r="B346" s="67" t="s">
        <v>98</v>
      </c>
      <c r="C346" s="111" t="s">
        <v>99</v>
      </c>
      <c r="D346" s="113"/>
      <c r="E346" s="120" t="s">
        <v>100</v>
      </c>
      <c r="F346" s="82"/>
      <c r="G346" s="84"/>
      <c r="H346" s="90" t="s">
        <v>100</v>
      </c>
      <c r="I346" s="91"/>
      <c r="J346" s="97"/>
      <c r="K346" s="102"/>
      <c r="L346" s="327"/>
      <c r="M346" s="106">
        <v>42780</v>
      </c>
      <c r="N346" s="113" t="s">
        <v>2445</v>
      </c>
      <c r="O346" s="113" t="s">
        <v>2446</v>
      </c>
      <c r="P346" s="57" t="s">
        <v>2447</v>
      </c>
      <c r="Q346" s="132">
        <v>9.5000000000000001E-2</v>
      </c>
      <c r="R346" s="132"/>
      <c r="S346" s="63" t="s">
        <v>1397</v>
      </c>
      <c r="T346" s="67" t="s">
        <v>2448</v>
      </c>
      <c r="U346" s="67" t="s">
        <v>2449</v>
      </c>
      <c r="V346" s="113" t="s">
        <v>106</v>
      </c>
      <c r="W346" s="222">
        <v>90041</v>
      </c>
      <c r="X346" s="141" t="s">
        <v>2450</v>
      </c>
      <c r="Y346" s="319"/>
      <c r="Z346" s="236"/>
      <c r="AA346" s="200"/>
      <c r="AB346" s="130"/>
      <c r="AC346" s="202"/>
      <c r="AD346" s="200"/>
      <c r="AE346" s="113"/>
      <c r="AF346" s="113"/>
      <c r="AG346" s="113"/>
      <c r="AH346" s="113"/>
      <c r="AI346" s="130"/>
      <c r="AJ346" s="135"/>
      <c r="AK346" s="57"/>
      <c r="AL346" s="289"/>
      <c r="AM346" s="289"/>
      <c r="AN346" s="289"/>
      <c r="AO346" s="289"/>
      <c r="AP346" s="289"/>
      <c r="AQ346" s="289"/>
      <c r="AR346" s="289"/>
      <c r="AS346" s="207" t="s">
        <v>132</v>
      </c>
      <c r="AT346" s="116" t="s">
        <v>116</v>
      </c>
      <c r="AU346" s="67" t="s">
        <v>2448</v>
      </c>
      <c r="AW346" s="67" t="s">
        <v>2449</v>
      </c>
      <c r="AX346" s="113" t="s">
        <v>106</v>
      </c>
      <c r="AY346" s="222">
        <v>90041</v>
      </c>
      <c r="AZ346" s="199" t="s">
        <v>2451</v>
      </c>
      <c r="BA346" s="75"/>
    </row>
    <row r="347" spans="1:53" s="251" customFormat="1" ht="14.15" customHeight="1" x14ac:dyDescent="0.4">
      <c r="A347" s="256" t="s">
        <v>2452</v>
      </c>
      <c r="B347" s="67" t="s">
        <v>98</v>
      </c>
      <c r="C347" s="111" t="s">
        <v>99</v>
      </c>
      <c r="D347" s="113"/>
      <c r="E347" s="120" t="s">
        <v>100</v>
      </c>
      <c r="F347" s="82"/>
      <c r="G347" s="84"/>
      <c r="H347" s="90" t="s">
        <v>100</v>
      </c>
      <c r="I347" s="91"/>
      <c r="J347" s="97"/>
      <c r="K347" s="102"/>
      <c r="L347" s="327"/>
      <c r="M347" s="106">
        <v>43775</v>
      </c>
      <c r="N347" s="113" t="s">
        <v>2453</v>
      </c>
      <c r="O347" s="113" t="s">
        <v>2454</v>
      </c>
      <c r="P347" s="57"/>
      <c r="Q347" s="132">
        <v>8.7499999999999994E-2</v>
      </c>
      <c r="R347" s="132">
        <v>0.08</v>
      </c>
      <c r="S347" s="63" t="s">
        <v>2455</v>
      </c>
      <c r="T347" s="67" t="s">
        <v>2456</v>
      </c>
      <c r="U347" s="67" t="s">
        <v>2457</v>
      </c>
      <c r="V347" s="113" t="s">
        <v>106</v>
      </c>
      <c r="W347" s="222">
        <v>95758</v>
      </c>
      <c r="X347" s="141" t="s">
        <v>2458</v>
      </c>
      <c r="Y347" s="319"/>
      <c r="Z347" s="236"/>
      <c r="AA347" s="200"/>
      <c r="AB347" s="130"/>
      <c r="AC347" s="202"/>
      <c r="AD347" s="200"/>
      <c r="AE347" s="113"/>
      <c r="AF347" s="113"/>
      <c r="AG347" s="113"/>
      <c r="AH347" s="113"/>
      <c r="AI347" s="130" t="s">
        <v>0</v>
      </c>
      <c r="AJ347" s="135" t="s">
        <v>116</v>
      </c>
      <c r="AK347" s="57"/>
      <c r="AL347" s="287"/>
      <c r="AM347" s="288"/>
      <c r="AN347" s="288"/>
      <c r="AO347" s="288"/>
      <c r="AP347" s="288"/>
      <c r="AQ347" s="288"/>
      <c r="AR347" s="288"/>
      <c r="AS347" s="207" t="s">
        <v>132</v>
      </c>
      <c r="AT347" s="116" t="s">
        <v>116</v>
      </c>
      <c r="AU347" s="67" t="s">
        <v>2456</v>
      </c>
      <c r="AW347" s="67" t="s">
        <v>2457</v>
      </c>
      <c r="AX347" s="113" t="s">
        <v>106</v>
      </c>
      <c r="AY347" s="222">
        <v>95758</v>
      </c>
      <c r="AZ347" s="199" t="s">
        <v>2454</v>
      </c>
      <c r="BA347" s="75"/>
    </row>
    <row r="348" spans="1:53" ht="14.15" customHeight="1" x14ac:dyDescent="0.4">
      <c r="A348" s="256" t="s">
        <v>2459</v>
      </c>
      <c r="B348" s="67" t="s">
        <v>98</v>
      </c>
      <c r="C348" s="111" t="s">
        <v>99</v>
      </c>
      <c r="D348" s="113"/>
      <c r="E348" s="120" t="s">
        <v>100</v>
      </c>
      <c r="F348" s="82"/>
      <c r="G348" s="84"/>
      <c r="H348" s="90" t="s">
        <v>100</v>
      </c>
      <c r="I348" s="91"/>
      <c r="J348" s="97"/>
      <c r="K348" s="102"/>
      <c r="L348" s="327"/>
      <c r="M348" s="106">
        <v>43395</v>
      </c>
      <c r="N348" s="113" t="s">
        <v>611</v>
      </c>
      <c r="O348" s="113" t="s">
        <v>2460</v>
      </c>
      <c r="P348" s="57"/>
      <c r="Q348" s="132">
        <v>0.10249999999999999</v>
      </c>
      <c r="R348" s="132">
        <v>9.5000000000000001E-2</v>
      </c>
      <c r="S348" s="63" t="s">
        <v>113</v>
      </c>
      <c r="T348" s="67" t="s">
        <v>2461</v>
      </c>
      <c r="U348" s="67" t="s">
        <v>1162</v>
      </c>
      <c r="V348" s="113" t="s">
        <v>106</v>
      </c>
      <c r="W348" s="222">
        <v>94538</v>
      </c>
      <c r="Z348" s="236"/>
      <c r="AA348" s="200"/>
      <c r="AB348" s="130"/>
      <c r="AC348" s="202"/>
      <c r="AD348" s="200"/>
      <c r="AE348" s="113"/>
      <c r="AF348" s="113"/>
      <c r="AG348" s="113"/>
      <c r="AH348" s="113"/>
      <c r="AI348" s="130"/>
      <c r="AK348" s="57"/>
      <c r="AS348" s="207" t="s">
        <v>132</v>
      </c>
      <c r="AT348" s="116" t="s">
        <v>116</v>
      </c>
      <c r="AU348" s="67" t="s">
        <v>2462</v>
      </c>
      <c r="AV348" s="251"/>
      <c r="AW348" s="67" t="s">
        <v>1162</v>
      </c>
      <c r="AX348" s="113" t="s">
        <v>106</v>
      </c>
      <c r="AY348" s="222">
        <v>94538</v>
      </c>
      <c r="AZ348" s="199" t="s">
        <v>2460</v>
      </c>
    </row>
    <row r="349" spans="1:53" ht="14.15" customHeight="1" x14ac:dyDescent="0.4">
      <c r="A349" s="256" t="s">
        <v>2463</v>
      </c>
      <c r="B349" s="67" t="s">
        <v>98</v>
      </c>
      <c r="C349" s="111" t="s">
        <v>99</v>
      </c>
      <c r="E349" s="120" t="s">
        <v>100</v>
      </c>
      <c r="F349" s="82"/>
      <c r="G349" s="84"/>
      <c r="H349" s="90" t="s">
        <v>100</v>
      </c>
      <c r="I349" s="91"/>
      <c r="J349" s="97"/>
      <c r="K349" s="102"/>
      <c r="L349" s="327"/>
      <c r="M349" s="106">
        <v>45573</v>
      </c>
      <c r="N349" s="128" t="s">
        <v>121</v>
      </c>
      <c r="O349" s="128" t="s">
        <v>2464</v>
      </c>
      <c r="Q349" s="131">
        <v>8.7499999999999994E-2</v>
      </c>
      <c r="S349" s="63" t="s">
        <v>2465</v>
      </c>
      <c r="T349" s="67" t="s">
        <v>2466</v>
      </c>
      <c r="U349" s="67" t="s">
        <v>311</v>
      </c>
      <c r="V349" s="79" t="s">
        <v>106</v>
      </c>
      <c r="W349" s="76">
        <v>95824</v>
      </c>
      <c r="AS349" s="207" t="s">
        <v>132</v>
      </c>
      <c r="AT349" s="116" t="s">
        <v>116</v>
      </c>
      <c r="AU349" s="67" t="s">
        <v>2466</v>
      </c>
      <c r="AW349" s="67" t="s">
        <v>311</v>
      </c>
      <c r="AX349" s="79" t="s">
        <v>106</v>
      </c>
      <c r="AY349" s="76">
        <v>95824</v>
      </c>
      <c r="AZ349" s="77" t="s">
        <v>2464</v>
      </c>
    </row>
    <row r="350" spans="1:53" ht="14.15" customHeight="1" x14ac:dyDescent="0.4">
      <c r="A350" s="256" t="s">
        <v>2467</v>
      </c>
      <c r="B350" s="67" t="s">
        <v>98</v>
      </c>
      <c r="C350" s="111" t="s">
        <v>99</v>
      </c>
      <c r="D350" s="113"/>
      <c r="E350" s="120" t="s">
        <v>100</v>
      </c>
      <c r="F350" s="82"/>
      <c r="G350" s="84"/>
      <c r="H350" s="90" t="s">
        <v>100</v>
      </c>
      <c r="I350" s="91"/>
      <c r="J350" s="97"/>
      <c r="K350" s="102"/>
      <c r="L350" s="327"/>
      <c r="M350" s="106">
        <v>43238</v>
      </c>
      <c r="N350" s="113" t="s">
        <v>2093</v>
      </c>
      <c r="O350" s="113" t="s">
        <v>2468</v>
      </c>
      <c r="P350" s="57"/>
      <c r="Q350" s="132">
        <v>9.1249999999999998E-2</v>
      </c>
      <c r="R350" s="132">
        <v>8.7499999999999994E-2</v>
      </c>
      <c r="S350" s="63" t="s">
        <v>177</v>
      </c>
      <c r="T350" s="67" t="s">
        <v>2469</v>
      </c>
      <c r="U350" s="67" t="s">
        <v>2470</v>
      </c>
      <c r="V350" s="113" t="s">
        <v>106</v>
      </c>
      <c r="W350" s="222">
        <v>95020</v>
      </c>
      <c r="Z350" s="236"/>
      <c r="AA350" s="200"/>
      <c r="AB350" s="130"/>
      <c r="AC350" s="202"/>
      <c r="AD350" s="200"/>
      <c r="AE350" s="113"/>
      <c r="AF350" s="113"/>
      <c r="AG350" s="113"/>
      <c r="AH350" s="113"/>
      <c r="AI350" s="130"/>
      <c r="AK350" s="57"/>
      <c r="AL350" s="289"/>
      <c r="AM350" s="289"/>
      <c r="AN350" s="289"/>
      <c r="AO350" s="289"/>
      <c r="AP350" s="289"/>
      <c r="AQ350" s="289"/>
      <c r="AR350" s="289"/>
      <c r="AS350" s="207" t="s">
        <v>132</v>
      </c>
      <c r="AT350" s="116" t="s">
        <v>116</v>
      </c>
      <c r="AU350" s="67" t="s">
        <v>2471</v>
      </c>
      <c r="AV350" s="251"/>
      <c r="AW350" s="67" t="s">
        <v>2470</v>
      </c>
      <c r="AX350" s="113" t="s">
        <v>106</v>
      </c>
      <c r="AY350" s="222">
        <v>95020</v>
      </c>
      <c r="AZ350" s="199" t="s">
        <v>2468</v>
      </c>
    </row>
    <row r="351" spans="1:53" s="210" customFormat="1" ht="14.15" customHeight="1" x14ac:dyDescent="0.4">
      <c r="A351" s="256" t="s">
        <v>2472</v>
      </c>
      <c r="B351" s="67" t="s">
        <v>98</v>
      </c>
      <c r="C351" s="111" t="s">
        <v>99</v>
      </c>
      <c r="D351" s="113"/>
      <c r="E351" s="120" t="s">
        <v>100</v>
      </c>
      <c r="F351" s="82"/>
      <c r="G351" s="84"/>
      <c r="H351" s="90" t="s">
        <v>100</v>
      </c>
      <c r="I351" s="91"/>
      <c r="J351" s="97"/>
      <c r="K351" s="102"/>
      <c r="L351" s="327"/>
      <c r="M351" s="106">
        <v>44621</v>
      </c>
      <c r="N351" s="113" t="s">
        <v>2473</v>
      </c>
      <c r="O351" s="113" t="s">
        <v>2474</v>
      </c>
      <c r="P351" s="57" t="s">
        <v>2475</v>
      </c>
      <c r="Q351" s="132">
        <v>0</v>
      </c>
      <c r="R351" s="132">
        <v>0</v>
      </c>
      <c r="S351" s="63" t="s">
        <v>943</v>
      </c>
      <c r="T351" s="67" t="s">
        <v>2476</v>
      </c>
      <c r="U351" s="67" t="s">
        <v>2477</v>
      </c>
      <c r="V351" s="113" t="s">
        <v>2478</v>
      </c>
      <c r="W351" s="222">
        <v>85085</v>
      </c>
      <c r="X351" s="147"/>
      <c r="Y351" s="236"/>
      <c r="Z351" s="236"/>
      <c r="AA351" s="200"/>
      <c r="AB351" s="130"/>
      <c r="AC351" s="202"/>
      <c r="AD351" s="200"/>
      <c r="AE351" s="113"/>
      <c r="AF351" s="113"/>
      <c r="AG351" s="113"/>
      <c r="AH351" s="113"/>
      <c r="AI351" s="130"/>
      <c r="AJ351" s="135"/>
      <c r="AK351" s="57"/>
      <c r="AL351" s="290"/>
      <c r="AM351" s="290"/>
      <c r="AN351" s="290"/>
      <c r="AO351" s="290"/>
      <c r="AP351" s="290"/>
      <c r="AQ351" s="290"/>
      <c r="AR351" s="290"/>
      <c r="AS351" s="207" t="s">
        <v>132</v>
      </c>
      <c r="AT351" s="116" t="s">
        <v>116</v>
      </c>
      <c r="AU351" s="67" t="s">
        <v>2476</v>
      </c>
      <c r="AV351" s="251"/>
      <c r="AW351" s="67" t="s">
        <v>2477</v>
      </c>
      <c r="AX351" s="113" t="s">
        <v>2479</v>
      </c>
      <c r="AY351" s="222">
        <v>85085</v>
      </c>
      <c r="AZ351" s="199" t="s">
        <v>2474</v>
      </c>
      <c r="BA351" s="207"/>
    </row>
    <row r="352" spans="1:53" s="210" customFormat="1" ht="14.15" customHeight="1" x14ac:dyDescent="0.4">
      <c r="A352" s="256" t="s">
        <v>2480</v>
      </c>
      <c r="B352" s="67" t="s">
        <v>98</v>
      </c>
      <c r="C352" s="111" t="s">
        <v>99</v>
      </c>
      <c r="D352" s="115"/>
      <c r="E352" s="120" t="s">
        <v>100</v>
      </c>
      <c r="F352" s="82"/>
      <c r="G352" s="84"/>
      <c r="H352" s="90" t="s">
        <v>100</v>
      </c>
      <c r="I352" s="91"/>
      <c r="J352" s="97"/>
      <c r="K352" s="102"/>
      <c r="L352" s="327"/>
      <c r="M352" s="106">
        <v>45659</v>
      </c>
      <c r="N352" s="113" t="s">
        <v>2276</v>
      </c>
      <c r="O352" s="113" t="s">
        <v>2481</v>
      </c>
      <c r="P352" s="57" t="s">
        <v>2482</v>
      </c>
      <c r="Q352" s="132">
        <v>0</v>
      </c>
      <c r="R352" s="132"/>
      <c r="S352" s="63" t="s">
        <v>943</v>
      </c>
      <c r="T352" s="67" t="s">
        <v>2483</v>
      </c>
      <c r="U352" s="67" t="s">
        <v>2484</v>
      </c>
      <c r="V352" s="113" t="s">
        <v>2485</v>
      </c>
      <c r="W352" s="222">
        <v>96795</v>
      </c>
      <c r="X352" s="141"/>
      <c r="Y352" s="236"/>
      <c r="Z352" s="236"/>
      <c r="AA352" s="200"/>
      <c r="AB352" s="130"/>
      <c r="AC352" s="202"/>
      <c r="AD352" s="200"/>
      <c r="AE352" s="113"/>
      <c r="AF352" s="113"/>
      <c r="AG352" s="113"/>
      <c r="AH352" s="113"/>
      <c r="AI352" s="130"/>
      <c r="AJ352" s="135"/>
      <c r="AK352" s="57"/>
      <c r="AL352" s="287"/>
      <c r="AM352" s="288"/>
      <c r="AN352" s="288"/>
      <c r="AO352" s="288"/>
      <c r="AP352" s="288"/>
      <c r="AQ352" s="288"/>
      <c r="AR352" s="288"/>
      <c r="AS352" s="207" t="s">
        <v>132</v>
      </c>
      <c r="AT352" s="116" t="s">
        <v>116</v>
      </c>
      <c r="AU352" s="67" t="s">
        <v>2483</v>
      </c>
      <c r="AV352" s="251"/>
      <c r="AW352" s="67" t="s">
        <v>2484</v>
      </c>
      <c r="AX352" s="113" t="s">
        <v>2485</v>
      </c>
      <c r="AY352" s="222">
        <v>96795</v>
      </c>
      <c r="AZ352" s="199" t="s">
        <v>2482</v>
      </c>
      <c r="BA352" s="317"/>
    </row>
    <row r="353" spans="1:53" s="251" customFormat="1" ht="14.15" customHeight="1" x14ac:dyDescent="0.4">
      <c r="A353" s="256" t="s">
        <v>2486</v>
      </c>
      <c r="B353" s="67" t="s">
        <v>98</v>
      </c>
      <c r="C353" s="111" t="s">
        <v>99</v>
      </c>
      <c r="D353" s="113"/>
      <c r="E353" s="120" t="s">
        <v>100</v>
      </c>
      <c r="F353" s="82"/>
      <c r="G353" s="84"/>
      <c r="H353" s="90" t="s">
        <v>100</v>
      </c>
      <c r="I353" s="91"/>
      <c r="J353" s="97"/>
      <c r="K353" s="102">
        <v>44356</v>
      </c>
      <c r="L353" s="327"/>
      <c r="M353" s="106">
        <v>43535</v>
      </c>
      <c r="N353" s="113" t="s">
        <v>2487</v>
      </c>
      <c r="O353" s="113" t="s">
        <v>2488</v>
      </c>
      <c r="P353" s="57"/>
      <c r="Q353" s="132">
        <v>9.2499999999999999E-2</v>
      </c>
      <c r="R353" s="132"/>
      <c r="S353" s="63" t="s">
        <v>2489</v>
      </c>
      <c r="T353" s="67" t="s">
        <v>2490</v>
      </c>
      <c r="U353" s="67" t="s">
        <v>2491</v>
      </c>
      <c r="V353" s="113" t="s">
        <v>106</v>
      </c>
      <c r="W353" s="222">
        <v>94547</v>
      </c>
      <c r="X353" s="147"/>
      <c r="Y353" s="236"/>
      <c r="Z353" s="236"/>
      <c r="AA353" s="200" t="s">
        <v>2492</v>
      </c>
      <c r="AB353" s="130"/>
      <c r="AC353" s="202"/>
      <c r="AD353" s="200"/>
      <c r="AE353" s="113"/>
      <c r="AF353" s="113"/>
      <c r="AG353" s="113"/>
      <c r="AH353" s="113"/>
      <c r="AI353" s="130"/>
      <c r="AJ353" s="135"/>
      <c r="AK353" s="57"/>
      <c r="AL353" s="290" t="s">
        <v>149</v>
      </c>
      <c r="AM353" s="290"/>
      <c r="AN353" s="290"/>
      <c r="AO353" s="290"/>
      <c r="AP353" s="290"/>
      <c r="AQ353" s="290"/>
      <c r="AR353" s="290"/>
      <c r="AS353" s="207" t="s">
        <v>132</v>
      </c>
      <c r="AT353" s="116" t="s">
        <v>116</v>
      </c>
      <c r="AU353" s="67" t="s">
        <v>2490</v>
      </c>
      <c r="AW353" s="67" t="s">
        <v>2491</v>
      </c>
      <c r="AX353" s="113" t="s">
        <v>106</v>
      </c>
      <c r="AY353" s="222">
        <v>94547</v>
      </c>
      <c r="AZ353" s="199" t="s">
        <v>2488</v>
      </c>
      <c r="BA353" s="207"/>
    </row>
    <row r="354" spans="1:53" s="251" customFormat="1" ht="14.15" customHeight="1" x14ac:dyDescent="0.4">
      <c r="A354" s="256" t="s">
        <v>2493</v>
      </c>
      <c r="B354" s="67" t="s">
        <v>98</v>
      </c>
      <c r="C354" s="111" t="s">
        <v>99</v>
      </c>
      <c r="D354" s="113"/>
      <c r="E354" s="120" t="s">
        <v>100</v>
      </c>
      <c r="F354" s="82"/>
      <c r="G354" s="84"/>
      <c r="H354" s="90" t="s">
        <v>100</v>
      </c>
      <c r="I354" s="91"/>
      <c r="J354" s="97"/>
      <c r="K354" s="102"/>
      <c r="L354" s="327"/>
      <c r="M354" s="106">
        <v>43411</v>
      </c>
      <c r="N354" s="113" t="s">
        <v>2494</v>
      </c>
      <c r="O354" s="113" t="s">
        <v>2495</v>
      </c>
      <c r="P354" s="57"/>
      <c r="Q354" s="132">
        <v>0</v>
      </c>
      <c r="R354" s="132">
        <v>0</v>
      </c>
      <c r="S354" s="63" t="s">
        <v>943</v>
      </c>
      <c r="T354" s="67" t="s">
        <v>2496</v>
      </c>
      <c r="U354" s="67" t="s">
        <v>2497</v>
      </c>
      <c r="V354" s="113" t="s">
        <v>2498</v>
      </c>
      <c r="W354" s="222">
        <v>89109</v>
      </c>
      <c r="X354" s="147"/>
      <c r="Y354" s="236"/>
      <c r="Z354" s="236"/>
      <c r="AA354" s="200"/>
      <c r="AB354" s="130"/>
      <c r="AC354" s="202"/>
      <c r="AD354" s="200"/>
      <c r="AE354" s="113"/>
      <c r="AF354" s="113"/>
      <c r="AG354" s="113"/>
      <c r="AH354" s="113"/>
      <c r="AI354" s="130"/>
      <c r="AJ354" s="135"/>
      <c r="AK354" s="57"/>
      <c r="AL354" s="290"/>
      <c r="AM354" s="290"/>
      <c r="AN354" s="290"/>
      <c r="AO354" s="290"/>
      <c r="AP354" s="290"/>
      <c r="AQ354" s="290"/>
      <c r="AR354" s="290"/>
      <c r="AS354" s="207" t="s">
        <v>132</v>
      </c>
      <c r="AT354" s="116" t="s">
        <v>116</v>
      </c>
      <c r="AU354" s="67" t="s">
        <v>2499</v>
      </c>
      <c r="AW354" s="67" t="s">
        <v>2497</v>
      </c>
      <c r="AX354" s="113" t="s">
        <v>2498</v>
      </c>
      <c r="AY354" s="222">
        <v>89109</v>
      </c>
      <c r="AZ354" s="199" t="s">
        <v>2495</v>
      </c>
      <c r="BA354" s="317"/>
    </row>
    <row r="355" spans="1:53" s="251" customFormat="1" ht="14.15" customHeight="1" x14ac:dyDescent="0.4">
      <c r="A355" s="256" t="s">
        <v>2500</v>
      </c>
      <c r="B355" s="67" t="s">
        <v>98</v>
      </c>
      <c r="C355" s="111" t="s">
        <v>99</v>
      </c>
      <c r="D355" s="113"/>
      <c r="E355" s="120" t="s">
        <v>100</v>
      </c>
      <c r="F355" s="82"/>
      <c r="G355" s="84"/>
      <c r="H355" s="90" t="s">
        <v>100</v>
      </c>
      <c r="I355" s="91"/>
      <c r="J355" s="97"/>
      <c r="K355" s="102"/>
      <c r="L355" s="327"/>
      <c r="M355" s="106">
        <v>45909</v>
      </c>
      <c r="N355" s="113" t="s">
        <v>2501</v>
      </c>
      <c r="O355" s="113" t="s">
        <v>2502</v>
      </c>
      <c r="P355" s="199" t="s">
        <v>2503</v>
      </c>
      <c r="Q355" s="132">
        <v>9.375E-2</v>
      </c>
      <c r="R355" s="132"/>
      <c r="S355" s="63" t="s">
        <v>1685</v>
      </c>
      <c r="T355" s="67" t="s">
        <v>2504</v>
      </c>
      <c r="U355" s="67" t="s">
        <v>2505</v>
      </c>
      <c r="V355" s="113" t="s">
        <v>106</v>
      </c>
      <c r="W355" s="222">
        <v>94030</v>
      </c>
      <c r="X355" s="229"/>
      <c r="Y355" s="319"/>
      <c r="Z355" s="236"/>
      <c r="AA355" s="200"/>
      <c r="AB355" s="130"/>
      <c r="AC355" s="202"/>
      <c r="AD355" s="200"/>
      <c r="AE355" s="113"/>
      <c r="AF355" s="113"/>
      <c r="AG355" s="113"/>
      <c r="AH355" s="113"/>
      <c r="AI355" s="130"/>
      <c r="AJ355" s="135"/>
      <c r="AK355" s="57"/>
      <c r="AL355" s="290"/>
      <c r="AM355" s="290"/>
      <c r="AN355" s="290"/>
      <c r="AO355" s="290"/>
      <c r="AP355" s="290"/>
      <c r="AQ355" s="290"/>
      <c r="AR355" s="290"/>
      <c r="AS355" s="207" t="s">
        <v>132</v>
      </c>
      <c r="AT355" s="116" t="s">
        <v>116</v>
      </c>
      <c r="AU355" s="67" t="s">
        <v>2504</v>
      </c>
      <c r="AW355" s="67" t="s">
        <v>2505</v>
      </c>
      <c r="AX355" s="113" t="s">
        <v>106</v>
      </c>
      <c r="AY355" s="222">
        <v>94030</v>
      </c>
      <c r="AZ355" s="199" t="s">
        <v>2502</v>
      </c>
      <c r="BA355" s="317"/>
    </row>
    <row r="356" spans="1:53" s="251" customFormat="1" ht="14.15" customHeight="1" x14ac:dyDescent="0.4">
      <c r="A356" s="256" t="s">
        <v>2506</v>
      </c>
      <c r="B356" s="67" t="s">
        <v>98</v>
      </c>
      <c r="C356" s="111" t="s">
        <v>99</v>
      </c>
      <c r="D356" s="113"/>
      <c r="E356" s="120" t="s">
        <v>100</v>
      </c>
      <c r="F356" s="82"/>
      <c r="G356" s="84"/>
      <c r="H356" s="90" t="s">
        <v>100</v>
      </c>
      <c r="I356" s="91"/>
      <c r="J356" s="97"/>
      <c r="K356" s="102"/>
      <c r="L356" s="327"/>
      <c r="M356" s="106">
        <v>42682</v>
      </c>
      <c r="N356" s="113" t="s">
        <v>2507</v>
      </c>
      <c r="O356" s="113" t="s">
        <v>2508</v>
      </c>
      <c r="P356" s="57"/>
      <c r="Q356" s="132">
        <v>9.375E-2</v>
      </c>
      <c r="R356" s="132">
        <v>8.7499999999999994E-2</v>
      </c>
      <c r="S356" s="63" t="s">
        <v>2509</v>
      </c>
      <c r="T356" s="67" t="s">
        <v>2510</v>
      </c>
      <c r="U356" s="67" t="s">
        <v>2511</v>
      </c>
      <c r="V356" s="113" t="s">
        <v>106</v>
      </c>
      <c r="W356" s="222">
        <v>95035</v>
      </c>
      <c r="X356" s="147"/>
      <c r="Y356" s="236"/>
      <c r="Z356" s="236"/>
      <c r="AA356" s="200" t="s">
        <v>2512</v>
      </c>
      <c r="AB356" s="130"/>
      <c r="AC356" s="202"/>
      <c r="AD356" s="200"/>
      <c r="AE356" s="113"/>
      <c r="AF356" s="113"/>
      <c r="AG356" s="113"/>
      <c r="AH356" s="113"/>
      <c r="AI356" s="130" t="s">
        <v>0</v>
      </c>
      <c r="AJ356" s="135" t="s">
        <v>116</v>
      </c>
      <c r="AK356" s="57"/>
      <c r="AL356" s="290"/>
      <c r="AM356" s="290"/>
      <c r="AN356" s="290"/>
      <c r="AO356" s="290"/>
      <c r="AP356" s="290"/>
      <c r="AQ356" s="290"/>
      <c r="AR356" s="290"/>
      <c r="AS356" s="207" t="s">
        <v>132</v>
      </c>
      <c r="AT356" s="116" t="s">
        <v>116</v>
      </c>
      <c r="AU356" s="67" t="s">
        <v>2510</v>
      </c>
      <c r="AV356" s="251" t="s">
        <v>2513</v>
      </c>
      <c r="AW356" s="67" t="s">
        <v>2511</v>
      </c>
      <c r="AX356" s="113" t="s">
        <v>106</v>
      </c>
      <c r="AY356" s="222">
        <v>95035</v>
      </c>
      <c r="AZ356" s="199" t="s">
        <v>2508</v>
      </c>
      <c r="BA356" s="317"/>
    </row>
    <row r="357" spans="1:53" s="251" customFormat="1" ht="14.15" customHeight="1" x14ac:dyDescent="0.4">
      <c r="A357" s="256" t="s">
        <v>2514</v>
      </c>
      <c r="B357" s="67" t="s">
        <v>98</v>
      </c>
      <c r="C357" s="111" t="s">
        <v>99</v>
      </c>
      <c r="D357" s="113"/>
      <c r="E357" s="120" t="s">
        <v>100</v>
      </c>
      <c r="F357" s="82"/>
      <c r="G357" s="84"/>
      <c r="H357" s="90" t="s">
        <v>100</v>
      </c>
      <c r="I357" s="91"/>
      <c r="J357" s="97"/>
      <c r="K357" s="102"/>
      <c r="L357" s="327"/>
      <c r="M357" s="106">
        <v>43340</v>
      </c>
      <c r="N357" s="113" t="s">
        <v>2515</v>
      </c>
      <c r="O357" s="113" t="s">
        <v>2502</v>
      </c>
      <c r="P357" s="57" t="s">
        <v>2516</v>
      </c>
      <c r="Q357" s="132">
        <v>9.1249999999999998E-2</v>
      </c>
      <c r="R357" s="132">
        <v>8.7499999999999994E-2</v>
      </c>
      <c r="S357" s="63" t="s">
        <v>177</v>
      </c>
      <c r="T357" s="153" t="s">
        <v>2517</v>
      </c>
      <c r="U357" s="67" t="s">
        <v>179</v>
      </c>
      <c r="V357" s="113" t="s">
        <v>106</v>
      </c>
      <c r="W357" s="222">
        <v>94043</v>
      </c>
      <c r="X357" s="147"/>
      <c r="Y357" s="319"/>
      <c r="Z357" s="236"/>
      <c r="AA357" s="200" t="s">
        <v>2518</v>
      </c>
      <c r="AB357" s="130" t="s">
        <v>2519</v>
      </c>
      <c r="AC357" s="202"/>
      <c r="AD357" s="200"/>
      <c r="AE357" s="113"/>
      <c r="AF357" s="113"/>
      <c r="AG357" s="113"/>
      <c r="AH357" s="113"/>
      <c r="AI357" s="130" t="s">
        <v>0</v>
      </c>
      <c r="AJ357" s="135" t="s">
        <v>116</v>
      </c>
      <c r="AK357" s="57"/>
      <c r="AL357" s="287"/>
      <c r="AM357" s="288"/>
      <c r="AN357" s="288"/>
      <c r="AO357" s="288"/>
      <c r="AP357" s="288"/>
      <c r="AQ357" s="288"/>
      <c r="AR357" s="288"/>
      <c r="AS357" s="207" t="s">
        <v>132</v>
      </c>
      <c r="AT357" s="116" t="s">
        <v>116</v>
      </c>
      <c r="AU357" s="153" t="s">
        <v>2517</v>
      </c>
      <c r="AW357" s="67" t="s">
        <v>179</v>
      </c>
      <c r="AX357" s="113" t="s">
        <v>106</v>
      </c>
      <c r="AY357" s="222">
        <v>94043</v>
      </c>
      <c r="AZ357" s="199" t="s">
        <v>2502</v>
      </c>
      <c r="BA357" s="75"/>
    </row>
    <row r="358" spans="1:53" s="251" customFormat="1" ht="14.15" customHeight="1" x14ac:dyDescent="0.4">
      <c r="A358" s="256" t="s">
        <v>2520</v>
      </c>
      <c r="B358" s="67" t="s">
        <v>98</v>
      </c>
      <c r="C358" s="111" t="s">
        <v>99</v>
      </c>
      <c r="D358" s="113"/>
      <c r="E358" s="120" t="s">
        <v>100</v>
      </c>
      <c r="F358" s="82"/>
      <c r="G358" s="84"/>
      <c r="H358" s="90" t="s">
        <v>100</v>
      </c>
      <c r="I358" s="91"/>
      <c r="J358" s="97"/>
      <c r="K358" s="102"/>
      <c r="L358" s="327"/>
      <c r="M358" s="106">
        <v>44420</v>
      </c>
      <c r="N358" s="113" t="s">
        <v>2445</v>
      </c>
      <c r="O358" s="113" t="s">
        <v>2446</v>
      </c>
      <c r="P358" s="57" t="s">
        <v>2447</v>
      </c>
      <c r="Q358" s="132">
        <v>9.7500000000000003E-2</v>
      </c>
      <c r="R358" s="132"/>
      <c r="S358" s="63" t="s">
        <v>1397</v>
      </c>
      <c r="T358" s="153" t="s">
        <v>2521</v>
      </c>
      <c r="U358" s="67" t="s">
        <v>2522</v>
      </c>
      <c r="V358" s="113" t="s">
        <v>106</v>
      </c>
      <c r="W358" s="222">
        <v>91324</v>
      </c>
      <c r="X358" s="141" t="s">
        <v>2450</v>
      </c>
      <c r="Y358" s="141" t="s">
        <v>2450</v>
      </c>
      <c r="Z358" s="141" t="s">
        <v>2450</v>
      </c>
      <c r="AA358" s="200"/>
      <c r="AB358" s="130"/>
      <c r="AC358" s="202"/>
      <c r="AD358" s="200"/>
      <c r="AE358" s="113"/>
      <c r="AF358" s="113"/>
      <c r="AG358" s="113"/>
      <c r="AH358" s="113"/>
      <c r="AI358" s="130"/>
      <c r="AJ358" s="135"/>
      <c r="AK358" s="57"/>
      <c r="AL358" s="287"/>
      <c r="AM358" s="288"/>
      <c r="AN358" s="288"/>
      <c r="AO358" s="288"/>
      <c r="AP358" s="288"/>
      <c r="AQ358" s="288"/>
      <c r="AR358" s="288"/>
      <c r="AS358" s="207" t="s">
        <v>132</v>
      </c>
      <c r="AT358" s="116" t="s">
        <v>116</v>
      </c>
      <c r="AU358" s="153" t="s">
        <v>2523</v>
      </c>
      <c r="AW358" s="67" t="s">
        <v>2522</v>
      </c>
      <c r="AX358" s="113" t="s">
        <v>106</v>
      </c>
      <c r="AY358" s="222">
        <v>91324</v>
      </c>
      <c r="AZ358" s="199" t="s">
        <v>2446</v>
      </c>
      <c r="BA358" s="75"/>
    </row>
    <row r="359" spans="1:53" s="251" customFormat="1" ht="14.15" customHeight="1" x14ac:dyDescent="0.4">
      <c r="A359" s="256" t="s">
        <v>2524</v>
      </c>
      <c r="B359" s="67" t="s">
        <v>98</v>
      </c>
      <c r="C359" s="111" t="s">
        <v>99</v>
      </c>
      <c r="D359" s="113"/>
      <c r="E359" s="120" t="s">
        <v>100</v>
      </c>
      <c r="F359" s="82"/>
      <c r="G359" s="84"/>
      <c r="H359" s="90" t="s">
        <v>100</v>
      </c>
      <c r="I359" s="91"/>
      <c r="J359" s="97"/>
      <c r="K359" s="102">
        <v>44979</v>
      </c>
      <c r="L359" s="327"/>
      <c r="M359" s="106">
        <v>44144</v>
      </c>
      <c r="N359" s="113" t="s">
        <v>2060</v>
      </c>
      <c r="O359" s="113" t="s">
        <v>2525</v>
      </c>
      <c r="P359" s="57" t="s">
        <v>2526</v>
      </c>
      <c r="Q359" s="132">
        <v>8.2500000000000004E-2</v>
      </c>
      <c r="R359" s="132">
        <v>0.08</v>
      </c>
      <c r="S359" s="63" t="s">
        <v>2527</v>
      </c>
      <c r="T359" s="67" t="s">
        <v>2528</v>
      </c>
      <c r="U359" s="67" t="s">
        <v>2529</v>
      </c>
      <c r="V359" s="113" t="s">
        <v>106</v>
      </c>
      <c r="W359" s="222">
        <v>92056</v>
      </c>
      <c r="X359" s="141" t="s">
        <v>2530</v>
      </c>
      <c r="Y359" s="141" t="s">
        <v>2530</v>
      </c>
      <c r="Z359" s="141" t="s">
        <v>2530</v>
      </c>
      <c r="AA359" s="200" t="s">
        <v>1351</v>
      </c>
      <c r="AB359" s="130"/>
      <c r="AC359" s="202"/>
      <c r="AD359" s="200"/>
      <c r="AE359" s="113"/>
      <c r="AF359" s="113"/>
      <c r="AG359" s="113"/>
      <c r="AH359" s="113"/>
      <c r="AI359" s="130"/>
      <c r="AJ359" s="135"/>
      <c r="AK359" s="57"/>
      <c r="AL359" s="287" t="s">
        <v>149</v>
      </c>
      <c r="AM359" s="288">
        <v>13305</v>
      </c>
      <c r="AN359" s="288"/>
      <c r="AO359" s="288">
        <v>62245</v>
      </c>
      <c r="AP359" s="288"/>
      <c r="AQ359" s="288"/>
      <c r="AR359" s="288"/>
      <c r="AS359" s="207" t="s">
        <v>132</v>
      </c>
      <c r="AT359" s="116" t="s">
        <v>116</v>
      </c>
      <c r="AU359" s="67" t="s">
        <v>2528</v>
      </c>
      <c r="AW359" s="67" t="s">
        <v>2529</v>
      </c>
      <c r="AX359" s="113" t="s">
        <v>106</v>
      </c>
      <c r="AY359" s="222">
        <v>92056</v>
      </c>
      <c r="AZ359" s="199" t="s">
        <v>2525</v>
      </c>
      <c r="BA359" s="75"/>
    </row>
    <row r="360" spans="1:53" s="251" customFormat="1" ht="14.15" customHeight="1" x14ac:dyDescent="0.4">
      <c r="A360" s="256" t="s">
        <v>2531</v>
      </c>
      <c r="B360" s="67" t="s">
        <v>98</v>
      </c>
      <c r="C360" s="111" t="s">
        <v>99</v>
      </c>
      <c r="D360" s="113"/>
      <c r="E360" s="120" t="s">
        <v>100</v>
      </c>
      <c r="F360" s="82"/>
      <c r="G360" s="84"/>
      <c r="H360" s="90" t="s">
        <v>100</v>
      </c>
      <c r="I360" s="91"/>
      <c r="J360" s="97"/>
      <c r="K360" s="102">
        <v>43700</v>
      </c>
      <c r="L360" s="327"/>
      <c r="M360" s="106">
        <v>42901</v>
      </c>
      <c r="N360" s="113" t="s">
        <v>2255</v>
      </c>
      <c r="O360" s="113" t="s">
        <v>2532</v>
      </c>
      <c r="P360" s="57"/>
      <c r="Q360" s="132">
        <v>9.8750000000000004E-2</v>
      </c>
      <c r="R360" s="132">
        <v>0.09</v>
      </c>
      <c r="S360" s="63" t="s">
        <v>1685</v>
      </c>
      <c r="T360" s="67" t="s">
        <v>2533</v>
      </c>
      <c r="U360" s="67" t="s">
        <v>1687</v>
      </c>
      <c r="V360" s="113" t="s">
        <v>106</v>
      </c>
      <c r="W360" s="222">
        <v>94044</v>
      </c>
      <c r="X360" s="147"/>
      <c r="Y360" s="236"/>
      <c r="Z360" s="236"/>
      <c r="AA360" s="200"/>
      <c r="AB360" s="130"/>
      <c r="AC360" s="202"/>
      <c r="AD360" s="200"/>
      <c r="AE360" s="113"/>
      <c r="AF360" s="113"/>
      <c r="AG360" s="113"/>
      <c r="AH360" s="113"/>
      <c r="AI360" s="130" t="s">
        <v>0</v>
      </c>
      <c r="AJ360" s="135" t="s">
        <v>116</v>
      </c>
      <c r="AK360" s="57"/>
      <c r="AL360" s="287" t="s">
        <v>289</v>
      </c>
      <c r="AM360" s="288">
        <v>13305</v>
      </c>
      <c r="AN360" s="288"/>
      <c r="AO360" s="288">
        <v>62245</v>
      </c>
      <c r="AP360" s="288"/>
      <c r="AQ360" s="288"/>
      <c r="AR360" s="288"/>
      <c r="AS360" s="207" t="s">
        <v>132</v>
      </c>
      <c r="AT360" s="116" t="s">
        <v>116</v>
      </c>
      <c r="AU360" s="67" t="s">
        <v>2533</v>
      </c>
      <c r="AW360" s="67" t="s">
        <v>1687</v>
      </c>
      <c r="AX360" s="113" t="s">
        <v>106</v>
      </c>
      <c r="AY360" s="222">
        <v>94044</v>
      </c>
      <c r="AZ360" s="199" t="s">
        <v>2532</v>
      </c>
      <c r="BA360" s="75"/>
    </row>
    <row r="361" spans="1:53" s="251" customFormat="1" ht="14.15" customHeight="1" x14ac:dyDescent="0.4">
      <c r="A361" s="256" t="s">
        <v>2534</v>
      </c>
      <c r="B361" s="67" t="s">
        <v>98</v>
      </c>
      <c r="C361" s="111" t="s">
        <v>99</v>
      </c>
      <c r="D361" s="113"/>
      <c r="E361" s="120" t="s">
        <v>100</v>
      </c>
      <c r="F361" s="82"/>
      <c r="G361" s="84"/>
      <c r="H361" s="90" t="s">
        <v>100</v>
      </c>
      <c r="I361" s="91"/>
      <c r="J361" s="97"/>
      <c r="K361" s="102">
        <v>45643</v>
      </c>
      <c r="L361" s="327"/>
      <c r="M361" s="106">
        <v>44116</v>
      </c>
      <c r="N361" s="113" t="s">
        <v>2535</v>
      </c>
      <c r="O361" s="113" t="s">
        <v>2536</v>
      </c>
      <c r="P361" s="57"/>
      <c r="Q361" s="132">
        <v>9.1249999999999998E-2</v>
      </c>
      <c r="R361" s="132">
        <v>8.7499999999999994E-2</v>
      </c>
      <c r="S361" s="63" t="s">
        <v>177</v>
      </c>
      <c r="T361" s="67" t="s">
        <v>2537</v>
      </c>
      <c r="U361" s="67" t="s">
        <v>476</v>
      </c>
      <c r="V361" s="113" t="s">
        <v>106</v>
      </c>
      <c r="W361" s="222">
        <v>94306</v>
      </c>
      <c r="X361" s="147"/>
      <c r="Y361" s="236"/>
      <c r="Z361" s="236"/>
      <c r="AA361" s="200"/>
      <c r="AB361" s="130"/>
      <c r="AC361" s="202"/>
      <c r="AD361" s="200"/>
      <c r="AE361" s="113"/>
      <c r="AF361" s="113"/>
      <c r="AG361" s="113"/>
      <c r="AH361" s="113"/>
      <c r="AI361" s="130" t="s">
        <v>0</v>
      </c>
      <c r="AJ361" s="135" t="s">
        <v>116</v>
      </c>
      <c r="AK361" s="57"/>
      <c r="AL361" s="287"/>
      <c r="AM361" s="288"/>
      <c r="AN361" s="288"/>
      <c r="AO361" s="288"/>
      <c r="AP361" s="288"/>
      <c r="AQ361" s="288"/>
      <c r="AR361" s="288"/>
      <c r="AS361" s="207" t="s">
        <v>132</v>
      </c>
      <c r="AT361" s="116" t="s">
        <v>116</v>
      </c>
      <c r="AU361" s="67" t="s">
        <v>2537</v>
      </c>
      <c r="AW361" s="67" t="s">
        <v>476</v>
      </c>
      <c r="AX361" s="113" t="s">
        <v>106</v>
      </c>
      <c r="AY361" s="222">
        <v>94306</v>
      </c>
      <c r="AZ361" s="199" t="s">
        <v>2536</v>
      </c>
      <c r="BA361" s="75"/>
    </row>
    <row r="362" spans="1:53" s="251" customFormat="1" ht="14.15" customHeight="1" x14ac:dyDescent="0.4">
      <c r="A362" s="256" t="s">
        <v>2538</v>
      </c>
      <c r="B362" s="67" t="s">
        <v>98</v>
      </c>
      <c r="C362" s="111" t="s">
        <v>99</v>
      </c>
      <c r="D362" s="115"/>
      <c r="E362" s="120" t="s">
        <v>100</v>
      </c>
      <c r="F362" s="82"/>
      <c r="G362" s="84"/>
      <c r="H362" s="90" t="s">
        <v>100</v>
      </c>
      <c r="I362" s="91"/>
      <c r="J362" s="97"/>
      <c r="K362" s="102">
        <v>44540</v>
      </c>
      <c r="L362" s="327"/>
      <c r="M362" s="106">
        <v>44728</v>
      </c>
      <c r="N362" s="113" t="s">
        <v>2539</v>
      </c>
      <c r="O362" s="113" t="s">
        <v>2540</v>
      </c>
      <c r="P362" s="57" t="s">
        <v>2541</v>
      </c>
      <c r="Q362" s="132">
        <v>7.8750000000000001E-2</v>
      </c>
      <c r="R362" s="132"/>
      <c r="S362" s="63" t="s">
        <v>2542</v>
      </c>
      <c r="T362" s="67" t="s">
        <v>2543</v>
      </c>
      <c r="U362" s="67" t="s">
        <v>2544</v>
      </c>
      <c r="V362" s="113" t="s">
        <v>106</v>
      </c>
      <c r="W362" s="222">
        <v>95363</v>
      </c>
      <c r="X362" s="141" t="s">
        <v>2545</v>
      </c>
      <c r="Y362" s="139" t="s">
        <v>2545</v>
      </c>
      <c r="Z362" s="236"/>
      <c r="AA362" s="200"/>
      <c r="AB362" s="130"/>
      <c r="AC362" s="202"/>
      <c r="AD362" s="200"/>
      <c r="AE362" s="113"/>
      <c r="AF362" s="113"/>
      <c r="AG362" s="113"/>
      <c r="AH362" s="113"/>
      <c r="AI362" s="130"/>
      <c r="AJ362" s="135"/>
      <c r="AK362" s="57"/>
      <c r="AL362" s="287"/>
      <c r="AM362" s="288"/>
      <c r="AN362" s="288"/>
      <c r="AO362" s="288"/>
      <c r="AP362" s="288"/>
      <c r="AQ362" s="288"/>
      <c r="AR362" s="288"/>
      <c r="AS362" s="207"/>
      <c r="AT362" s="116"/>
      <c r="AU362" s="67" t="s">
        <v>2543</v>
      </c>
      <c r="AW362" s="67" t="s">
        <v>2544</v>
      </c>
      <c r="AX362" s="113" t="s">
        <v>106</v>
      </c>
      <c r="AY362" s="222">
        <v>95363</v>
      </c>
      <c r="AZ362" s="199" t="s">
        <v>2540</v>
      </c>
      <c r="BA362" s="317"/>
    </row>
    <row r="363" spans="1:53" s="251" customFormat="1" ht="14.15" customHeight="1" x14ac:dyDescent="0.4">
      <c r="A363" s="256" t="s">
        <v>2546</v>
      </c>
      <c r="B363" s="67" t="s">
        <v>98</v>
      </c>
      <c r="C363" s="111" t="s">
        <v>99</v>
      </c>
      <c r="D363" s="115"/>
      <c r="E363" s="120" t="s">
        <v>100</v>
      </c>
      <c r="F363" s="82"/>
      <c r="G363" s="84"/>
      <c r="H363" s="90" t="s">
        <v>100</v>
      </c>
      <c r="I363" s="91"/>
      <c r="J363" s="97"/>
      <c r="K363" s="102">
        <v>43518</v>
      </c>
      <c r="L363" s="327"/>
      <c r="M363" s="106">
        <v>43535</v>
      </c>
      <c r="N363" s="113" t="s">
        <v>2487</v>
      </c>
      <c r="O363" s="113" t="s">
        <v>2547</v>
      </c>
      <c r="P363" s="57"/>
      <c r="Q363" s="132">
        <v>0.10249999999999999</v>
      </c>
      <c r="R363" s="132"/>
      <c r="S363" s="63" t="s">
        <v>113</v>
      </c>
      <c r="T363" s="67" t="s">
        <v>2548</v>
      </c>
      <c r="U363" s="67" t="s">
        <v>398</v>
      </c>
      <c r="V363" s="113" t="s">
        <v>106</v>
      </c>
      <c r="W363" s="222">
        <v>94588</v>
      </c>
      <c r="X363" s="141"/>
      <c r="Y363" s="236"/>
      <c r="Z363" s="236"/>
      <c r="AA363" s="200"/>
      <c r="AB363" s="130"/>
      <c r="AC363" s="202"/>
      <c r="AD363" s="200"/>
      <c r="AE363" s="113"/>
      <c r="AF363" s="113"/>
      <c r="AG363" s="113"/>
      <c r="AH363" s="113"/>
      <c r="AI363" s="130"/>
      <c r="AJ363" s="135"/>
      <c r="AK363" s="57"/>
      <c r="AL363" s="287" t="s">
        <v>149</v>
      </c>
      <c r="AM363" s="288"/>
      <c r="AN363" s="288"/>
      <c r="AO363" s="288"/>
      <c r="AP363" s="288"/>
      <c r="AQ363" s="288"/>
      <c r="AR363" s="288"/>
      <c r="AS363" s="207" t="s">
        <v>132</v>
      </c>
      <c r="AT363" s="116" t="s">
        <v>116</v>
      </c>
      <c r="AU363" s="67" t="s">
        <v>2549</v>
      </c>
      <c r="AW363" s="67" t="s">
        <v>398</v>
      </c>
      <c r="AX363" s="113" t="s">
        <v>106</v>
      </c>
      <c r="AY363" s="222">
        <v>94588</v>
      </c>
      <c r="AZ363" s="199" t="s">
        <v>2547</v>
      </c>
      <c r="BA363" s="317"/>
    </row>
    <row r="364" spans="1:53" s="251" customFormat="1" ht="14.15" customHeight="1" x14ac:dyDescent="0.4">
      <c r="A364" s="256" t="s">
        <v>2550</v>
      </c>
      <c r="B364" s="67" t="s">
        <v>98</v>
      </c>
      <c r="C364" s="111" t="s">
        <v>99</v>
      </c>
      <c r="D364" s="113"/>
      <c r="E364" s="120" t="s">
        <v>100</v>
      </c>
      <c r="F364" s="82"/>
      <c r="G364" s="84"/>
      <c r="H364" s="90" t="s">
        <v>100</v>
      </c>
      <c r="I364" s="91"/>
      <c r="J364" s="97"/>
      <c r="K364" s="102"/>
      <c r="L364" s="327"/>
      <c r="M364" s="106">
        <v>45777</v>
      </c>
      <c r="N364" s="113" t="s">
        <v>2093</v>
      </c>
      <c r="O364" s="113" t="s">
        <v>2551</v>
      </c>
      <c r="P364" s="57"/>
      <c r="Q364" s="132">
        <v>9.8750000000000004E-2</v>
      </c>
      <c r="R364" s="132">
        <v>0.09</v>
      </c>
      <c r="S364" s="63" t="s">
        <v>522</v>
      </c>
      <c r="T364" s="67" t="s">
        <v>2552</v>
      </c>
      <c r="U364" s="67" t="s">
        <v>524</v>
      </c>
      <c r="V364" s="113" t="s">
        <v>106</v>
      </c>
      <c r="W364" s="222">
        <v>94063</v>
      </c>
      <c r="X364" s="147"/>
      <c r="Y364" s="236"/>
      <c r="Z364" s="236"/>
      <c r="AA364" s="200" t="s">
        <v>2553</v>
      </c>
      <c r="AB364" s="130"/>
      <c r="AC364" s="202"/>
      <c r="AD364" s="200"/>
      <c r="AE364" s="113"/>
      <c r="AF364" s="113"/>
      <c r="AG364" s="113"/>
      <c r="AH364" s="113"/>
      <c r="AI364" s="130" t="s">
        <v>0</v>
      </c>
      <c r="AJ364" s="135" t="s">
        <v>116</v>
      </c>
      <c r="AK364" s="57"/>
      <c r="AL364" s="287"/>
      <c r="AM364" s="288"/>
      <c r="AN364" s="288"/>
      <c r="AO364" s="288"/>
      <c r="AP364" s="288"/>
      <c r="AQ364" s="288"/>
      <c r="AR364" s="288"/>
      <c r="AS364" s="207" t="s">
        <v>132</v>
      </c>
      <c r="AT364" s="116" t="s">
        <v>116</v>
      </c>
      <c r="AU364" s="67" t="s">
        <v>2552</v>
      </c>
      <c r="AW364" s="67" t="s">
        <v>524</v>
      </c>
      <c r="AX364" s="113" t="s">
        <v>106</v>
      </c>
      <c r="AY364" s="222">
        <v>94063</v>
      </c>
      <c r="AZ364" s="199" t="s">
        <v>2551</v>
      </c>
      <c r="BA364" s="75"/>
    </row>
    <row r="365" spans="1:53" s="251" customFormat="1" ht="14.15" customHeight="1" x14ac:dyDescent="0.4">
      <c r="A365" s="256" t="s">
        <v>2554</v>
      </c>
      <c r="B365" s="67" t="s">
        <v>98</v>
      </c>
      <c r="C365" s="111" t="s">
        <v>99</v>
      </c>
      <c r="D365" s="113"/>
      <c r="E365" s="120" t="s">
        <v>100</v>
      </c>
      <c r="F365" s="82" t="s">
        <v>0</v>
      </c>
      <c r="G365" s="84" t="s">
        <v>0</v>
      </c>
      <c r="H365" s="90" t="s">
        <v>2555</v>
      </c>
      <c r="I365" s="91" t="s">
        <v>0</v>
      </c>
      <c r="J365" s="97" t="s">
        <v>0</v>
      </c>
      <c r="K365" s="102">
        <v>44540</v>
      </c>
      <c r="L365" s="327"/>
      <c r="M365" s="106">
        <v>44540</v>
      </c>
      <c r="N365" s="113" t="s">
        <v>2430</v>
      </c>
      <c r="O365" s="113" t="s">
        <v>2556</v>
      </c>
      <c r="P365" s="57"/>
      <c r="Q365" s="132">
        <v>7.8750000000000001E-2</v>
      </c>
      <c r="R365" s="132">
        <v>0.09</v>
      </c>
      <c r="S365" s="63" t="s">
        <v>2542</v>
      </c>
      <c r="T365" s="67" t="s">
        <v>2557</v>
      </c>
      <c r="U365" s="67" t="s">
        <v>2558</v>
      </c>
      <c r="V365" s="113" t="s">
        <v>106</v>
      </c>
      <c r="W365" s="222">
        <v>95367</v>
      </c>
      <c r="X365" s="147"/>
      <c r="Y365" s="236"/>
      <c r="Z365" s="236"/>
      <c r="AA365" s="200"/>
      <c r="AB365" s="130"/>
      <c r="AC365" s="202"/>
      <c r="AD365" s="200"/>
      <c r="AE365" s="113"/>
      <c r="AF365" s="113"/>
      <c r="AG365" s="113"/>
      <c r="AH365" s="113"/>
      <c r="AI365" s="130"/>
      <c r="AJ365" s="135"/>
      <c r="AK365" s="57"/>
      <c r="AL365" s="287" t="s">
        <v>289</v>
      </c>
      <c r="AM365" s="288">
        <v>13305</v>
      </c>
      <c r="AN365" s="288"/>
      <c r="AO365" s="288"/>
      <c r="AP365" s="289"/>
      <c r="AQ365" s="289"/>
      <c r="AR365" s="289"/>
      <c r="AS365" s="207" t="s">
        <v>132</v>
      </c>
      <c r="AT365" s="116" t="s">
        <v>116</v>
      </c>
      <c r="AU365" s="67" t="s">
        <v>2557</v>
      </c>
      <c r="AW365" s="67" t="s">
        <v>2558</v>
      </c>
      <c r="AX365" s="113" t="s">
        <v>106</v>
      </c>
      <c r="AY365" s="222">
        <v>95367</v>
      </c>
      <c r="AZ365" s="199" t="s">
        <v>2556</v>
      </c>
      <c r="BA365" s="75"/>
    </row>
    <row r="366" spans="1:53" s="251" customFormat="1" ht="14.15" customHeight="1" x14ac:dyDescent="0.4">
      <c r="A366" s="256" t="s">
        <v>2559</v>
      </c>
      <c r="B366" s="67" t="s">
        <v>98</v>
      </c>
      <c r="C366" s="111" t="s">
        <v>99</v>
      </c>
      <c r="D366" s="113"/>
      <c r="E366" s="120" t="s">
        <v>100</v>
      </c>
      <c r="F366" s="82"/>
      <c r="G366" s="84"/>
      <c r="H366" s="90" t="s">
        <v>100</v>
      </c>
      <c r="I366" s="91"/>
      <c r="J366" s="97"/>
      <c r="K366" s="102">
        <v>43621</v>
      </c>
      <c r="L366" s="327"/>
      <c r="M366" s="106">
        <v>44936</v>
      </c>
      <c r="N366" s="113" t="s">
        <v>2560</v>
      </c>
      <c r="O366" s="113" t="s">
        <v>2561</v>
      </c>
      <c r="P366" s="57" t="s">
        <v>2562</v>
      </c>
      <c r="Q366" s="132">
        <v>8.7499999999999994E-2</v>
      </c>
      <c r="R366" s="132">
        <v>8.5000000000000006E-2</v>
      </c>
      <c r="S366" s="63" t="s">
        <v>309</v>
      </c>
      <c r="T366" s="67" t="s">
        <v>2563</v>
      </c>
      <c r="U366" s="67" t="s">
        <v>311</v>
      </c>
      <c r="V366" s="113" t="s">
        <v>106</v>
      </c>
      <c r="W366" s="222">
        <v>95823</v>
      </c>
      <c r="X366" s="147"/>
      <c r="Y366" s="236"/>
      <c r="Z366" s="236"/>
      <c r="AA366" s="200"/>
      <c r="AB366" s="130"/>
      <c r="AC366" s="202"/>
      <c r="AD366" s="200"/>
      <c r="AE366" s="113"/>
      <c r="AF366" s="113"/>
      <c r="AG366" s="113"/>
      <c r="AH366" s="113"/>
      <c r="AI366" s="130"/>
      <c r="AJ366" s="135"/>
      <c r="AK366" s="57"/>
      <c r="AL366" s="287" t="s">
        <v>149</v>
      </c>
      <c r="AM366" s="288">
        <v>13305</v>
      </c>
      <c r="AN366" s="288"/>
      <c r="AO366" s="288">
        <v>62245</v>
      </c>
      <c r="AP366" s="288"/>
      <c r="AQ366" s="288"/>
      <c r="AR366" s="288"/>
      <c r="AS366" s="207" t="s">
        <v>132</v>
      </c>
      <c r="AT366" s="116" t="s">
        <v>116</v>
      </c>
      <c r="AU366" s="67" t="s">
        <v>2563</v>
      </c>
      <c r="AW366" s="67" t="s">
        <v>311</v>
      </c>
      <c r="AX366" s="113" t="s">
        <v>106</v>
      </c>
      <c r="AY366" s="222">
        <v>95823</v>
      </c>
      <c r="AZ366" s="199" t="s">
        <v>2561</v>
      </c>
      <c r="BA366" s="75"/>
    </row>
    <row r="367" spans="1:53" s="251" customFormat="1" ht="14.15" customHeight="1" x14ac:dyDescent="0.4">
      <c r="A367" s="256" t="s">
        <v>2564</v>
      </c>
      <c r="B367" s="67" t="s">
        <v>98</v>
      </c>
      <c r="C367" s="111" t="s">
        <v>99</v>
      </c>
      <c r="D367" s="113"/>
      <c r="E367" s="120" t="s">
        <v>100</v>
      </c>
      <c r="F367" s="82"/>
      <c r="G367" s="84"/>
      <c r="H367" s="90" t="s">
        <v>100</v>
      </c>
      <c r="I367" s="91"/>
      <c r="J367" s="97"/>
      <c r="K367" s="102"/>
      <c r="L367" s="327"/>
      <c r="M367" s="106">
        <v>45562</v>
      </c>
      <c r="N367" s="113" t="s">
        <v>2565</v>
      </c>
      <c r="O367" s="113" t="s">
        <v>2423</v>
      </c>
      <c r="P367" s="57"/>
      <c r="Q367" s="132">
        <v>9.8750000000000004E-2</v>
      </c>
      <c r="R367" s="132">
        <v>0.09</v>
      </c>
      <c r="S367" s="63" t="s">
        <v>978</v>
      </c>
      <c r="T367" s="67" t="s">
        <v>2566</v>
      </c>
      <c r="U367" s="67" t="s">
        <v>980</v>
      </c>
      <c r="V367" s="113" t="s">
        <v>106</v>
      </c>
      <c r="W367" s="222">
        <v>94066</v>
      </c>
      <c r="X367" s="147"/>
      <c r="Y367" s="236"/>
      <c r="Z367" s="236"/>
      <c r="AA367" s="200"/>
      <c r="AB367" s="130"/>
      <c r="AC367" s="202"/>
      <c r="AD367" s="200"/>
      <c r="AE367" s="113"/>
      <c r="AF367" s="113"/>
      <c r="AG367" s="113"/>
      <c r="AH367" s="113"/>
      <c r="AI367" s="130"/>
      <c r="AJ367" s="135"/>
      <c r="AK367" s="57"/>
      <c r="AL367" s="289"/>
      <c r="AM367" s="289"/>
      <c r="AN367" s="289"/>
      <c r="AO367" s="289"/>
      <c r="AP367" s="289"/>
      <c r="AQ367" s="289"/>
      <c r="AR367" s="289"/>
      <c r="AS367" s="207" t="s">
        <v>132</v>
      </c>
      <c r="AT367" s="116" t="s">
        <v>116</v>
      </c>
      <c r="AU367" s="67" t="s">
        <v>2566</v>
      </c>
      <c r="AW367" s="67" t="s">
        <v>980</v>
      </c>
      <c r="AX367" s="113" t="s">
        <v>2567</v>
      </c>
      <c r="AY367" s="222">
        <v>94066</v>
      </c>
      <c r="AZ367" s="199" t="s">
        <v>2423</v>
      </c>
      <c r="BA367" s="207"/>
    </row>
    <row r="368" spans="1:53" s="251" customFormat="1" ht="14.15" customHeight="1" x14ac:dyDescent="0.4">
      <c r="A368" s="256" t="s">
        <v>2568</v>
      </c>
      <c r="B368" s="67" t="s">
        <v>98</v>
      </c>
      <c r="C368" s="111" t="s">
        <v>99</v>
      </c>
      <c r="D368" s="113"/>
      <c r="E368" s="120" t="s">
        <v>100</v>
      </c>
      <c r="F368" s="82"/>
      <c r="G368" s="84"/>
      <c r="H368" s="90" t="s">
        <v>100</v>
      </c>
      <c r="I368" s="91"/>
      <c r="J368" s="97"/>
      <c r="K368" s="102"/>
      <c r="L368" s="327"/>
      <c r="M368" s="106">
        <v>43733</v>
      </c>
      <c r="N368" s="113" t="s">
        <v>2569</v>
      </c>
      <c r="O368" s="113" t="s">
        <v>2570</v>
      </c>
      <c r="P368" s="57" t="s">
        <v>2571</v>
      </c>
      <c r="Q368" s="132">
        <v>8.6249999999999993E-2</v>
      </c>
      <c r="R368" s="132">
        <v>8.7499999999999994E-2</v>
      </c>
      <c r="S368" s="63" t="s">
        <v>103</v>
      </c>
      <c r="T368" s="67" t="s">
        <v>2572</v>
      </c>
      <c r="U368" s="67" t="s">
        <v>105</v>
      </c>
      <c r="V368" s="113" t="s">
        <v>106</v>
      </c>
      <c r="W368" s="222">
        <v>94108</v>
      </c>
      <c r="X368" s="141" t="s">
        <v>2573</v>
      </c>
      <c r="Y368" s="236"/>
      <c r="Z368" s="236"/>
      <c r="AA368" s="200" t="s">
        <v>2574</v>
      </c>
      <c r="AB368" s="130" t="s">
        <v>2575</v>
      </c>
      <c r="AC368" s="202"/>
      <c r="AD368" s="200"/>
      <c r="AE368" s="113"/>
      <c r="AF368" s="113"/>
      <c r="AG368" s="113"/>
      <c r="AH368" s="113"/>
      <c r="AI368" s="130" t="s">
        <v>0</v>
      </c>
      <c r="AJ368" s="135" t="s">
        <v>116</v>
      </c>
      <c r="AK368" s="57"/>
      <c r="AL368" s="289"/>
      <c r="AM368" s="289"/>
      <c r="AN368" s="289"/>
      <c r="AO368" s="289"/>
      <c r="AP368" s="289"/>
      <c r="AQ368" s="289"/>
      <c r="AR368" s="289"/>
      <c r="AS368" s="207" t="s">
        <v>132</v>
      </c>
      <c r="AT368" s="116" t="s">
        <v>116</v>
      </c>
      <c r="AU368" s="67" t="s">
        <v>2572</v>
      </c>
      <c r="AW368" s="67" t="s">
        <v>105</v>
      </c>
      <c r="AX368" s="113" t="s">
        <v>106</v>
      </c>
      <c r="AY368" s="222">
        <v>94108</v>
      </c>
      <c r="AZ368" s="199" t="s">
        <v>2570</v>
      </c>
      <c r="BA368" s="207"/>
    </row>
    <row r="369" spans="1:53" s="251" customFormat="1" ht="14.15" customHeight="1" x14ac:dyDescent="0.4">
      <c r="A369" s="256" t="s">
        <v>2576</v>
      </c>
      <c r="B369" s="67" t="s">
        <v>98</v>
      </c>
      <c r="C369" s="111" t="s">
        <v>99</v>
      </c>
      <c r="D369" s="113"/>
      <c r="E369" s="120" t="s">
        <v>100</v>
      </c>
      <c r="F369" s="82"/>
      <c r="G369" s="84"/>
      <c r="H369" s="90" t="s">
        <v>100</v>
      </c>
      <c r="I369" s="91"/>
      <c r="J369" s="97"/>
      <c r="K369" s="102"/>
      <c r="L369" s="327"/>
      <c r="M369" s="106">
        <v>44309</v>
      </c>
      <c r="N369" s="113" t="s">
        <v>2577</v>
      </c>
      <c r="O369" s="113" t="s">
        <v>2578</v>
      </c>
      <c r="P369" s="57"/>
      <c r="Q369" s="132">
        <v>9.375E-2</v>
      </c>
      <c r="R369" s="132">
        <v>0.09</v>
      </c>
      <c r="S369" s="63" t="s">
        <v>146</v>
      </c>
      <c r="T369" s="67" t="s">
        <v>2579</v>
      </c>
      <c r="U369" s="67" t="s">
        <v>148</v>
      </c>
      <c r="V369" s="113" t="s">
        <v>106</v>
      </c>
      <c r="W369" s="222">
        <v>95110</v>
      </c>
      <c r="X369" s="141" t="s">
        <v>2580</v>
      </c>
      <c r="Y369" s="319"/>
      <c r="Z369" s="236"/>
      <c r="AA369" s="200" t="s">
        <v>2581</v>
      </c>
      <c r="AB369" s="130"/>
      <c r="AC369" s="202"/>
      <c r="AD369" s="200"/>
      <c r="AE369" s="113"/>
      <c r="AF369" s="113"/>
      <c r="AG369" s="113"/>
      <c r="AH369" s="113"/>
      <c r="AI369" s="130" t="s">
        <v>2582</v>
      </c>
      <c r="AJ369" s="135"/>
      <c r="AK369" s="57"/>
      <c r="AL369" s="289"/>
      <c r="AM369" s="289"/>
      <c r="AN369" s="289"/>
      <c r="AO369" s="289"/>
      <c r="AP369" s="289"/>
      <c r="AQ369" s="289"/>
      <c r="AR369" s="289"/>
      <c r="AS369" s="207" t="s">
        <v>132</v>
      </c>
      <c r="AT369" s="116" t="s">
        <v>116</v>
      </c>
      <c r="AU369" s="67" t="s">
        <v>2579</v>
      </c>
      <c r="AW369" s="67" t="s">
        <v>148</v>
      </c>
      <c r="AX369" s="113" t="s">
        <v>106</v>
      </c>
      <c r="AY369" s="222">
        <v>95110</v>
      </c>
      <c r="AZ369" s="199" t="s">
        <v>2578</v>
      </c>
      <c r="BA369" s="207"/>
    </row>
    <row r="370" spans="1:53" s="210" customFormat="1" ht="14.15" customHeight="1" x14ac:dyDescent="0.4">
      <c r="A370" s="256" t="s">
        <v>2583</v>
      </c>
      <c r="B370" s="67" t="s">
        <v>98</v>
      </c>
      <c r="C370" s="111" t="s">
        <v>99</v>
      </c>
      <c r="D370" s="113"/>
      <c r="E370" s="120" t="s">
        <v>100</v>
      </c>
      <c r="F370" s="82"/>
      <c r="G370" s="84"/>
      <c r="H370" s="90" t="s">
        <v>100</v>
      </c>
      <c r="I370" s="91"/>
      <c r="J370" s="97"/>
      <c r="K370" s="102"/>
      <c r="L370" s="327"/>
      <c r="M370" s="106">
        <v>43838</v>
      </c>
      <c r="N370" s="113" t="s">
        <v>1015</v>
      </c>
      <c r="O370" s="113" t="s">
        <v>2584</v>
      </c>
      <c r="P370" s="57" t="s">
        <v>2585</v>
      </c>
      <c r="Q370" s="132">
        <v>9.375E-2</v>
      </c>
      <c r="R370" s="132">
        <v>0.09</v>
      </c>
      <c r="S370" s="63" t="s">
        <v>146</v>
      </c>
      <c r="T370" s="67" t="s">
        <v>2586</v>
      </c>
      <c r="U370" s="67" t="s">
        <v>148</v>
      </c>
      <c r="V370" s="113" t="s">
        <v>106</v>
      </c>
      <c r="W370" s="222">
        <v>95125</v>
      </c>
      <c r="X370" s="141" t="s">
        <v>2587</v>
      </c>
      <c r="Y370" s="141" t="s">
        <v>2587</v>
      </c>
      <c r="Z370" s="141" t="s">
        <v>2587</v>
      </c>
      <c r="AA370" s="200"/>
      <c r="AB370" s="130"/>
      <c r="AC370" s="202"/>
      <c r="AD370" s="200"/>
      <c r="AE370" s="113"/>
      <c r="AF370" s="113"/>
      <c r="AG370" s="113"/>
      <c r="AH370" s="113"/>
      <c r="AI370" s="130"/>
      <c r="AJ370" s="135"/>
      <c r="AK370" s="57"/>
      <c r="AL370" s="289"/>
      <c r="AM370" s="289"/>
      <c r="AN370" s="289"/>
      <c r="AO370" s="289"/>
      <c r="AP370" s="289"/>
      <c r="AQ370" s="289"/>
      <c r="AR370" s="289"/>
      <c r="AS370" s="207" t="s">
        <v>132</v>
      </c>
      <c r="AT370" s="116" t="s">
        <v>116</v>
      </c>
      <c r="AU370" s="67" t="s">
        <v>2586</v>
      </c>
      <c r="AV370" s="251"/>
      <c r="AW370" s="67" t="s">
        <v>148</v>
      </c>
      <c r="AX370" s="113" t="s">
        <v>106</v>
      </c>
      <c r="AY370" s="222">
        <v>95125</v>
      </c>
      <c r="AZ370" s="199" t="s">
        <v>2584</v>
      </c>
      <c r="BA370" s="207"/>
    </row>
    <row r="371" spans="1:53" s="210" customFormat="1" ht="14.15" customHeight="1" x14ac:dyDescent="0.4">
      <c r="A371" s="256" t="s">
        <v>2588</v>
      </c>
      <c r="B371" s="67" t="s">
        <v>98</v>
      </c>
      <c r="C371" s="111" t="s">
        <v>99</v>
      </c>
      <c r="D371" s="113"/>
      <c r="E371" s="120" t="s">
        <v>100</v>
      </c>
      <c r="F371" s="82"/>
      <c r="G371" s="84"/>
      <c r="H371" s="90" t="s">
        <v>100</v>
      </c>
      <c r="I371" s="91"/>
      <c r="J371" s="97"/>
      <c r="K371" s="102">
        <v>44701</v>
      </c>
      <c r="L371" s="327"/>
      <c r="M371" s="106">
        <v>43942</v>
      </c>
      <c r="N371" s="113" t="s">
        <v>2589</v>
      </c>
      <c r="O371" s="113" t="s">
        <v>2590</v>
      </c>
      <c r="P371" s="57"/>
      <c r="Q371" s="132">
        <v>9.6250000000000002E-2</v>
      </c>
      <c r="R371" s="132">
        <v>9.2499999999999999E-2</v>
      </c>
      <c r="S371" s="63" t="s">
        <v>1206</v>
      </c>
      <c r="T371" s="67" t="s">
        <v>2591</v>
      </c>
      <c r="U371" s="67" t="s">
        <v>1208</v>
      </c>
      <c r="V371" s="113" t="s">
        <v>106</v>
      </c>
      <c r="W371" s="222">
        <v>94401</v>
      </c>
      <c r="X371" s="141"/>
      <c r="Y371" s="236"/>
      <c r="Z371" s="236"/>
      <c r="AA371" s="200"/>
      <c r="AB371" s="130"/>
      <c r="AC371" s="202"/>
      <c r="AD371" s="200"/>
      <c r="AE371" s="113"/>
      <c r="AF371" s="113"/>
      <c r="AG371" s="113"/>
      <c r="AH371" s="113"/>
      <c r="AI371" s="130"/>
      <c r="AJ371" s="135"/>
      <c r="AK371" s="57"/>
      <c r="AL371" s="287" t="s">
        <v>289</v>
      </c>
      <c r="AM371" s="288">
        <v>13305</v>
      </c>
      <c r="AN371" s="288" t="s">
        <v>2592</v>
      </c>
      <c r="AO371" s="288">
        <v>62245</v>
      </c>
      <c r="AP371" s="288"/>
      <c r="AQ371" s="288">
        <v>15303</v>
      </c>
      <c r="AR371" s="288"/>
      <c r="AS371" s="207" t="s">
        <v>132</v>
      </c>
      <c r="AT371" s="116" t="s">
        <v>116</v>
      </c>
      <c r="AU371" s="67" t="s">
        <v>2591</v>
      </c>
      <c r="AV371" s="251"/>
      <c r="AW371" s="67" t="s">
        <v>1208</v>
      </c>
      <c r="AX371" s="113" t="s">
        <v>106</v>
      </c>
      <c r="AY371" s="222">
        <v>94401</v>
      </c>
      <c r="AZ371" s="199" t="s">
        <v>2590</v>
      </c>
      <c r="BA371" s="75"/>
    </row>
    <row r="372" spans="1:53" ht="14.15" customHeight="1" x14ac:dyDescent="0.4">
      <c r="A372" s="256" t="s">
        <v>2593</v>
      </c>
      <c r="B372" s="67" t="s">
        <v>98</v>
      </c>
      <c r="C372" s="111" t="s">
        <v>99</v>
      </c>
      <c r="D372" s="113"/>
      <c r="E372" s="120" t="s">
        <v>100</v>
      </c>
      <c r="F372" s="82"/>
      <c r="G372" s="84"/>
      <c r="H372" s="90" t="s">
        <v>100</v>
      </c>
      <c r="I372" s="91"/>
      <c r="J372" s="97"/>
      <c r="K372" s="102">
        <v>43412</v>
      </c>
      <c r="L372" s="327"/>
      <c r="M372" s="106">
        <v>44531</v>
      </c>
      <c r="N372" s="113" t="s">
        <v>2276</v>
      </c>
      <c r="O372" s="113" t="s">
        <v>2482</v>
      </c>
      <c r="P372" s="57"/>
      <c r="Q372" s="132">
        <v>9.1249999999999998E-2</v>
      </c>
      <c r="R372" s="132">
        <v>8.7499999999999994E-2</v>
      </c>
      <c r="S372" s="63" t="s">
        <v>177</v>
      </c>
      <c r="T372" s="67" t="s">
        <v>2594</v>
      </c>
      <c r="U372" s="67" t="s">
        <v>2595</v>
      </c>
      <c r="V372" s="113" t="s">
        <v>106</v>
      </c>
      <c r="W372" s="222">
        <v>95051</v>
      </c>
      <c r="Z372" s="236"/>
      <c r="AA372" s="200"/>
      <c r="AB372" s="130"/>
      <c r="AC372" s="202"/>
      <c r="AD372" s="200"/>
      <c r="AE372" s="113"/>
      <c r="AF372" s="113"/>
      <c r="AG372" s="113"/>
      <c r="AH372" s="113"/>
      <c r="AI372" s="130"/>
      <c r="AK372" s="57"/>
      <c r="AR372" s="288" t="s">
        <v>2596</v>
      </c>
      <c r="AS372" s="207" t="s">
        <v>132</v>
      </c>
      <c r="AT372" s="116" t="s">
        <v>116</v>
      </c>
      <c r="AU372" s="67" t="s">
        <v>2594</v>
      </c>
      <c r="AV372" s="251"/>
      <c r="AW372" s="67" t="s">
        <v>2595</v>
      </c>
      <c r="AX372" s="113" t="s">
        <v>106</v>
      </c>
      <c r="AY372" s="222">
        <v>95051</v>
      </c>
      <c r="AZ372" s="199" t="s">
        <v>2482</v>
      </c>
      <c r="BA372" s="317"/>
    </row>
    <row r="373" spans="1:53" ht="14.25" customHeight="1" x14ac:dyDescent="0.4">
      <c r="A373" s="256" t="s">
        <v>2597</v>
      </c>
      <c r="B373" s="67" t="s">
        <v>98</v>
      </c>
      <c r="C373" s="111" t="s">
        <v>99</v>
      </c>
      <c r="D373" s="113"/>
      <c r="E373" s="120" t="s">
        <v>100</v>
      </c>
      <c r="F373" s="82"/>
      <c r="G373" s="84"/>
      <c r="H373" s="90" t="s">
        <v>100</v>
      </c>
      <c r="I373" s="91"/>
      <c r="J373" s="97"/>
      <c r="K373" s="102">
        <v>43658</v>
      </c>
      <c r="L373" s="327"/>
      <c r="M373" s="106"/>
      <c r="N373" s="113" t="s">
        <v>2598</v>
      </c>
      <c r="O373" s="113" t="s">
        <v>2599</v>
      </c>
      <c r="P373" s="57"/>
      <c r="Q373" s="132">
        <v>9.2499999999999999E-2</v>
      </c>
      <c r="R373" s="131">
        <v>8.2500000000000004E-2</v>
      </c>
      <c r="S373" s="63" t="s">
        <v>247</v>
      </c>
      <c r="T373" s="67" t="s">
        <v>2600</v>
      </c>
      <c r="U373" s="67" t="s">
        <v>249</v>
      </c>
      <c r="V373" s="113" t="s">
        <v>106</v>
      </c>
      <c r="W373" s="222">
        <v>95062</v>
      </c>
      <c r="X373" s="141" t="s">
        <v>2601</v>
      </c>
      <c r="Y373" s="139" t="s">
        <v>2601</v>
      </c>
      <c r="Z373" s="139" t="s">
        <v>2602</v>
      </c>
      <c r="AA373" s="200"/>
      <c r="AB373" s="130"/>
      <c r="AC373" s="202"/>
      <c r="AD373" s="200"/>
      <c r="AE373" s="113"/>
      <c r="AF373" s="113"/>
      <c r="AG373" s="113"/>
      <c r="AH373" s="113"/>
      <c r="AI373" s="130"/>
      <c r="AK373" s="57"/>
      <c r="AL373" s="287" t="s">
        <v>289</v>
      </c>
      <c r="AM373" s="288">
        <v>13305</v>
      </c>
      <c r="AN373" s="288">
        <v>15185</v>
      </c>
      <c r="AO373" s="288">
        <v>62245</v>
      </c>
      <c r="AS373" s="207" t="s">
        <v>132</v>
      </c>
      <c r="AT373" s="116" t="s">
        <v>116</v>
      </c>
      <c r="AU373" s="67" t="s">
        <v>2600</v>
      </c>
      <c r="AV373" s="251"/>
      <c r="AW373" s="67" t="s">
        <v>249</v>
      </c>
      <c r="AX373" s="113" t="s">
        <v>106</v>
      </c>
      <c r="AY373" s="222">
        <v>95062</v>
      </c>
      <c r="AZ373" s="199" t="s">
        <v>2599</v>
      </c>
    </row>
    <row r="374" spans="1:53" ht="14.15" customHeight="1" x14ac:dyDescent="0.4">
      <c r="A374" s="256" t="s">
        <v>2603</v>
      </c>
      <c r="B374" s="67" t="s">
        <v>98</v>
      </c>
      <c r="C374" s="111" t="s">
        <v>99</v>
      </c>
      <c r="D374" s="113"/>
      <c r="E374" s="120" t="s">
        <v>100</v>
      </c>
      <c r="F374" s="82"/>
      <c r="G374" s="84"/>
      <c r="H374" s="90" t="s">
        <v>100</v>
      </c>
      <c r="I374" s="91"/>
      <c r="J374" s="97"/>
      <c r="K374" s="102">
        <v>42807</v>
      </c>
      <c r="L374" s="327"/>
      <c r="M374" s="106">
        <v>45656</v>
      </c>
      <c r="N374" s="113" t="s">
        <v>2604</v>
      </c>
      <c r="O374" s="113" t="s">
        <v>2605</v>
      </c>
      <c r="P374" s="57" t="s">
        <v>2606</v>
      </c>
      <c r="Q374" s="132">
        <v>0.09</v>
      </c>
      <c r="R374" s="132">
        <v>0.09</v>
      </c>
      <c r="S374" s="63" t="s">
        <v>1108</v>
      </c>
      <c r="T374" s="67" t="s">
        <v>2607</v>
      </c>
      <c r="U374" s="67" t="s">
        <v>1108</v>
      </c>
      <c r="V374" s="113" t="s">
        <v>106</v>
      </c>
      <c r="W374" s="222">
        <v>95207</v>
      </c>
      <c r="Y374" s="236" t="s">
        <v>6348</v>
      </c>
      <c r="Z374" s="236"/>
      <c r="AA374" s="200" t="s">
        <v>0</v>
      </c>
      <c r="AB374" s="130"/>
      <c r="AC374" s="202"/>
      <c r="AD374" s="200"/>
      <c r="AE374" s="113"/>
      <c r="AF374" s="113"/>
      <c r="AG374" s="113"/>
      <c r="AH374" s="113"/>
      <c r="AI374" s="130" t="s">
        <v>2608</v>
      </c>
      <c r="AK374" s="57"/>
      <c r="AL374" s="290" t="s">
        <v>289</v>
      </c>
      <c r="AM374" s="290">
        <v>13305</v>
      </c>
      <c r="AN374" s="290"/>
      <c r="AO374" s="290">
        <v>62245</v>
      </c>
      <c r="AP374" s="290"/>
      <c r="AQ374" s="290"/>
      <c r="AR374" s="290"/>
      <c r="AS374" s="207" t="s">
        <v>132</v>
      </c>
      <c r="AU374" s="67" t="s">
        <v>2609</v>
      </c>
      <c r="AV374" s="251"/>
      <c r="AW374" s="67" t="s">
        <v>1108</v>
      </c>
      <c r="AX374" s="113" t="s">
        <v>106</v>
      </c>
      <c r="AY374" s="222">
        <v>95207</v>
      </c>
      <c r="AZ374" s="199" t="s">
        <v>2605</v>
      </c>
      <c r="BA374" s="317"/>
    </row>
    <row r="375" spans="1:53" ht="14.15" customHeight="1" x14ac:dyDescent="0.4">
      <c r="A375" s="256" t="s">
        <v>2610</v>
      </c>
      <c r="B375" s="67" t="s">
        <v>98</v>
      </c>
      <c r="C375" s="111" t="s">
        <v>99</v>
      </c>
      <c r="D375" s="113"/>
      <c r="E375" s="120" t="s">
        <v>100</v>
      </c>
      <c r="F375" s="82"/>
      <c r="G375" s="84"/>
      <c r="H375" s="90" t="s">
        <v>100</v>
      </c>
      <c r="I375" s="91"/>
      <c r="J375" s="97"/>
      <c r="K375" s="102"/>
      <c r="L375" s="327"/>
      <c r="M375" s="106">
        <v>43928</v>
      </c>
      <c r="N375" s="113" t="s">
        <v>2611</v>
      </c>
      <c r="O375" s="113" t="s">
        <v>2612</v>
      </c>
      <c r="P375" s="57" t="s">
        <v>2613</v>
      </c>
      <c r="Q375" s="132">
        <v>8.2500000000000004E-2</v>
      </c>
      <c r="R375" s="131">
        <v>0.08</v>
      </c>
      <c r="S375" s="63" t="s">
        <v>2343</v>
      </c>
      <c r="T375" s="67" t="s">
        <v>2614</v>
      </c>
      <c r="U375" s="67" t="s">
        <v>2343</v>
      </c>
      <c r="V375" s="113" t="s">
        <v>106</v>
      </c>
      <c r="W375" s="222">
        <v>95377</v>
      </c>
      <c r="Z375" s="236"/>
      <c r="AA375" s="200"/>
      <c r="AB375" s="130"/>
      <c r="AC375" s="202"/>
      <c r="AD375" s="200"/>
      <c r="AE375" s="113"/>
      <c r="AF375" s="113"/>
      <c r="AG375" s="113"/>
      <c r="AH375" s="113"/>
      <c r="AI375" s="130" t="s">
        <v>0</v>
      </c>
      <c r="AJ375" s="135" t="s">
        <v>116</v>
      </c>
      <c r="AK375" s="57"/>
      <c r="AL375" s="289"/>
      <c r="AM375" s="289"/>
      <c r="AN375" s="289"/>
      <c r="AO375" s="289"/>
      <c r="AP375" s="289"/>
      <c r="AQ375" s="289"/>
      <c r="AR375" s="289"/>
      <c r="AS375" s="207" t="s">
        <v>132</v>
      </c>
      <c r="AT375" s="116" t="s">
        <v>608</v>
      </c>
      <c r="AU375" s="67" t="s">
        <v>2615</v>
      </c>
      <c r="AV375" s="251"/>
      <c r="AW375" s="67" t="s">
        <v>2343</v>
      </c>
      <c r="AX375" s="113" t="s">
        <v>106</v>
      </c>
      <c r="AY375" s="222">
        <v>95377</v>
      </c>
      <c r="AZ375" s="199" t="s">
        <v>2612</v>
      </c>
      <c r="BA375" s="317"/>
    </row>
    <row r="376" spans="1:53" ht="14.15" customHeight="1" x14ac:dyDescent="0.4">
      <c r="A376" s="256" t="s">
        <v>2616</v>
      </c>
      <c r="B376" s="67" t="s">
        <v>98</v>
      </c>
      <c r="C376" s="111" t="s">
        <v>99</v>
      </c>
      <c r="D376" s="113"/>
      <c r="E376" s="120" t="s">
        <v>100</v>
      </c>
      <c r="F376" s="82"/>
      <c r="G376" s="84"/>
      <c r="H376" s="90" t="s">
        <v>100</v>
      </c>
      <c r="I376" s="91"/>
      <c r="J376" s="97"/>
      <c r="K376" s="102">
        <v>45177</v>
      </c>
      <c r="L376" s="327"/>
      <c r="M376" s="106">
        <v>43535</v>
      </c>
      <c r="N376" s="113" t="s">
        <v>2487</v>
      </c>
      <c r="O376" s="113" t="s">
        <v>2617</v>
      </c>
      <c r="P376" s="57"/>
      <c r="Q376" s="132">
        <v>0.1075</v>
      </c>
      <c r="R376" s="132">
        <v>0.1</v>
      </c>
      <c r="S376" s="63" t="s">
        <v>2618</v>
      </c>
      <c r="T376" s="67" t="s">
        <v>2619</v>
      </c>
      <c r="U376" s="67" t="s">
        <v>2620</v>
      </c>
      <c r="V376" s="113" t="s">
        <v>106</v>
      </c>
      <c r="W376" s="222">
        <v>94587</v>
      </c>
      <c r="X376" s="141" t="s">
        <v>2621</v>
      </c>
      <c r="Z376" s="236"/>
      <c r="AA376" s="200"/>
      <c r="AB376" s="130"/>
      <c r="AC376" s="202"/>
      <c r="AD376" s="200"/>
      <c r="AE376" s="113"/>
      <c r="AF376" s="113"/>
      <c r="AG376" s="113"/>
      <c r="AH376" s="113"/>
      <c r="AI376" s="130" t="s">
        <v>2622</v>
      </c>
      <c r="AJ376" s="135" t="s">
        <v>116</v>
      </c>
      <c r="AK376" s="57"/>
      <c r="AL376" s="289"/>
      <c r="AM376" s="289"/>
      <c r="AN376" s="289"/>
      <c r="AO376" s="289"/>
      <c r="AP376" s="289"/>
      <c r="AQ376" s="289"/>
      <c r="AR376" s="289"/>
      <c r="AS376" s="207" t="s">
        <v>132</v>
      </c>
      <c r="AT376" s="116" t="s">
        <v>608</v>
      </c>
      <c r="AU376" s="67" t="s">
        <v>2619</v>
      </c>
      <c r="AV376" s="251"/>
      <c r="AW376" s="67" t="s">
        <v>2620</v>
      </c>
      <c r="AX376" s="113" t="s">
        <v>106</v>
      </c>
      <c r="AY376" s="222">
        <v>94587</v>
      </c>
      <c r="AZ376" s="199" t="s">
        <v>2617</v>
      </c>
      <c r="BA376" s="207"/>
    </row>
    <row r="377" spans="1:53" ht="14.15" customHeight="1" x14ac:dyDescent="0.4">
      <c r="A377" s="256" t="s">
        <v>2623</v>
      </c>
      <c r="B377" s="67" t="s">
        <v>98</v>
      </c>
      <c r="C377" s="111" t="s">
        <v>99</v>
      </c>
      <c r="D377" s="113"/>
      <c r="E377" s="120" t="s">
        <v>100</v>
      </c>
      <c r="F377" s="82"/>
      <c r="G377" s="84"/>
      <c r="H377" s="90" t="s">
        <v>100</v>
      </c>
      <c r="I377" s="91"/>
      <c r="J377" s="97"/>
      <c r="K377" s="102">
        <v>43703</v>
      </c>
      <c r="L377" s="327"/>
      <c r="M377" s="106"/>
      <c r="N377" s="113" t="s">
        <v>2624</v>
      </c>
      <c r="O377" s="113" t="s">
        <v>2625</v>
      </c>
      <c r="P377" s="57" t="s">
        <v>2626</v>
      </c>
      <c r="Q377" s="132">
        <v>9.2499999999999999E-2</v>
      </c>
      <c r="R377" s="132">
        <v>8.6249999999999993E-2</v>
      </c>
      <c r="S377" s="63" t="s">
        <v>303</v>
      </c>
      <c r="T377" s="67" t="s">
        <v>2627</v>
      </c>
      <c r="U377" s="67" t="s">
        <v>1533</v>
      </c>
      <c r="V377" s="113" t="s">
        <v>106</v>
      </c>
      <c r="W377" s="222">
        <v>94589</v>
      </c>
      <c r="X377" s="141" t="s">
        <v>2628</v>
      </c>
      <c r="Z377" s="236"/>
      <c r="AA377" s="200" t="s">
        <v>2629</v>
      </c>
      <c r="AB377" s="130" t="s">
        <v>2625</v>
      </c>
      <c r="AC377" s="202"/>
      <c r="AD377" s="200"/>
      <c r="AE377" s="113"/>
      <c r="AF377" s="113"/>
      <c r="AG377" s="113"/>
      <c r="AH377" s="113"/>
      <c r="AI377" s="130"/>
      <c r="AK377" s="57"/>
      <c r="AL377" s="289" t="s">
        <v>289</v>
      </c>
      <c r="AM377" s="289">
        <v>13305</v>
      </c>
      <c r="AN377" s="289"/>
      <c r="AO377" s="289">
        <v>62245</v>
      </c>
      <c r="AP377" s="289"/>
      <c r="AQ377" s="289"/>
      <c r="AR377" s="289">
        <v>15741</v>
      </c>
      <c r="AS377" s="207" t="s">
        <v>132</v>
      </c>
      <c r="AT377" s="116" t="s">
        <v>608</v>
      </c>
      <c r="AU377" s="67" t="s">
        <v>2627</v>
      </c>
      <c r="AV377" s="251"/>
      <c r="AW377" s="67" t="s">
        <v>1533</v>
      </c>
      <c r="AX377" s="113" t="s">
        <v>106</v>
      </c>
      <c r="AY377" s="222">
        <v>94589</v>
      </c>
      <c r="AZ377" s="199" t="s">
        <v>2625</v>
      </c>
    </row>
    <row r="378" spans="1:53" ht="14.15" customHeight="1" x14ac:dyDescent="0.4">
      <c r="A378" s="256" t="s">
        <v>2630</v>
      </c>
      <c r="B378" s="67" t="s">
        <v>98</v>
      </c>
      <c r="C378" s="111" t="s">
        <v>99</v>
      </c>
      <c r="D378" s="115"/>
      <c r="E378" s="120" t="s">
        <v>100</v>
      </c>
      <c r="F378" s="82"/>
      <c r="G378" s="84"/>
      <c r="H378" s="90" t="s">
        <v>100</v>
      </c>
      <c r="I378" s="91"/>
      <c r="J378" s="97"/>
      <c r="K378" s="102">
        <v>45040</v>
      </c>
      <c r="L378" s="327"/>
      <c r="M378" s="106">
        <v>44142</v>
      </c>
      <c r="N378" s="113" t="s">
        <v>988</v>
      </c>
      <c r="O378" s="113" t="s">
        <v>2631</v>
      </c>
      <c r="P378" s="57" t="s">
        <v>2632</v>
      </c>
      <c r="Q378" s="132">
        <v>9.2499999999999999E-2</v>
      </c>
      <c r="R378" s="132"/>
      <c r="S378" s="63" t="s">
        <v>226</v>
      </c>
      <c r="T378" s="67" t="s">
        <v>2633</v>
      </c>
      <c r="U378" s="67" t="s">
        <v>228</v>
      </c>
      <c r="V378" s="113" t="s">
        <v>106</v>
      </c>
      <c r="W378" s="222">
        <v>94901</v>
      </c>
      <c r="X378" s="141" t="s">
        <v>2634</v>
      </c>
      <c r="Y378" s="139" t="s">
        <v>2634</v>
      </c>
      <c r="Z378" s="139" t="s">
        <v>2634</v>
      </c>
      <c r="AA378" s="200"/>
      <c r="AB378" s="130"/>
      <c r="AC378" s="202"/>
      <c r="AD378" s="200"/>
      <c r="AE378" s="113"/>
      <c r="AF378" s="113"/>
      <c r="AG378" s="113"/>
      <c r="AH378" s="113"/>
      <c r="AI378" s="130"/>
      <c r="AK378" s="57"/>
      <c r="AL378" s="287" t="s">
        <v>2635</v>
      </c>
      <c r="AM378" s="288" t="s">
        <v>2636</v>
      </c>
      <c r="AQ378" s="288">
        <v>1493</v>
      </c>
      <c r="AS378" s="207"/>
      <c r="AU378" s="67" t="s">
        <v>2637</v>
      </c>
      <c r="AV378" s="251"/>
      <c r="AW378" s="67" t="s">
        <v>228</v>
      </c>
      <c r="AX378" s="113" t="s">
        <v>106</v>
      </c>
      <c r="AY378" s="222">
        <v>94901</v>
      </c>
      <c r="AZ378" s="199" t="s">
        <v>2631</v>
      </c>
      <c r="BA378" s="317"/>
    </row>
    <row r="379" spans="1:53" s="251" customFormat="1" ht="14.15" customHeight="1" x14ac:dyDescent="0.4">
      <c r="A379" s="256" t="s">
        <v>2638</v>
      </c>
      <c r="B379" s="67" t="s">
        <v>98</v>
      </c>
      <c r="C379" s="111" t="s">
        <v>99</v>
      </c>
      <c r="D379" s="79"/>
      <c r="E379" s="118" t="s">
        <v>100</v>
      </c>
      <c r="F379" s="80"/>
      <c r="G379" s="81"/>
      <c r="H379" s="92" t="s">
        <v>100</v>
      </c>
      <c r="I379" s="86"/>
      <c r="J379" s="96"/>
      <c r="K379" s="100">
        <v>45897</v>
      </c>
      <c r="L379" s="328"/>
      <c r="M379" s="104">
        <v>43509</v>
      </c>
      <c r="N379" s="128" t="s">
        <v>2639</v>
      </c>
      <c r="O379" s="128" t="s">
        <v>2640</v>
      </c>
      <c r="P379" s="59"/>
      <c r="Q379" s="132">
        <v>0.10249999999999999</v>
      </c>
      <c r="R379" s="131">
        <v>9.5000000000000001E-2</v>
      </c>
      <c r="S379" s="63" t="s">
        <v>113</v>
      </c>
      <c r="T379" s="67" t="s">
        <v>2641</v>
      </c>
      <c r="U379" s="67" t="s">
        <v>641</v>
      </c>
      <c r="V379" s="79" t="s">
        <v>106</v>
      </c>
      <c r="W379" s="76">
        <v>94704</v>
      </c>
      <c r="X379" s="147"/>
      <c r="Y379" s="236"/>
      <c r="Z379" s="234"/>
      <c r="AA379" s="79"/>
      <c r="AB379" s="135"/>
      <c r="AC379" s="136"/>
      <c r="AD379" s="79"/>
      <c r="AE379" s="128"/>
      <c r="AF379" s="128"/>
      <c r="AG379" s="128"/>
      <c r="AH379" s="128"/>
      <c r="AI379" s="135" t="s">
        <v>2357</v>
      </c>
      <c r="AJ379" s="135" t="s">
        <v>2357</v>
      </c>
      <c r="AK379" s="58"/>
      <c r="AL379" s="287" t="s">
        <v>149</v>
      </c>
      <c r="AM379" s="288">
        <v>13305</v>
      </c>
      <c r="AN379" s="288"/>
      <c r="AO379" s="288">
        <v>62245</v>
      </c>
      <c r="AP379" s="288"/>
      <c r="AQ379" s="288"/>
      <c r="AR379" s="288"/>
      <c r="AS379" s="207" t="s">
        <v>132</v>
      </c>
      <c r="AT379" s="116" t="s">
        <v>608</v>
      </c>
      <c r="AU379" s="67" t="s">
        <v>2641</v>
      </c>
      <c r="AV379" s="66"/>
      <c r="AW379" s="67" t="s">
        <v>641</v>
      </c>
      <c r="AX379" s="79" t="s">
        <v>106</v>
      </c>
      <c r="AY379" s="76">
        <v>94704</v>
      </c>
      <c r="AZ379" s="77" t="s">
        <v>2640</v>
      </c>
      <c r="BA379" s="75"/>
    </row>
    <row r="380" spans="1:53" s="251" customFormat="1" ht="14.15" customHeight="1" x14ac:dyDescent="0.4">
      <c r="A380" s="256" t="s">
        <v>2642</v>
      </c>
      <c r="B380" s="67" t="s">
        <v>98</v>
      </c>
      <c r="C380" s="111" t="s">
        <v>99</v>
      </c>
      <c r="D380" s="113"/>
      <c r="E380" s="120" t="s">
        <v>100</v>
      </c>
      <c r="F380" s="82"/>
      <c r="G380" s="84"/>
      <c r="H380" s="90" t="s">
        <v>100</v>
      </c>
      <c r="I380" s="91"/>
      <c r="J380" s="97"/>
      <c r="K380" s="102">
        <v>45897</v>
      </c>
      <c r="L380" s="327"/>
      <c r="M380" s="106">
        <v>43509</v>
      </c>
      <c r="N380" s="113" t="s">
        <v>1408</v>
      </c>
      <c r="O380" s="113" t="s">
        <v>2643</v>
      </c>
      <c r="P380" s="57" t="s">
        <v>1409</v>
      </c>
      <c r="Q380" s="132">
        <v>0.10249999999999999</v>
      </c>
      <c r="R380" s="132">
        <v>9.5000000000000001E-2</v>
      </c>
      <c r="S380" s="63" t="s">
        <v>113</v>
      </c>
      <c r="T380" s="67" t="s">
        <v>2644</v>
      </c>
      <c r="U380" s="67" t="s">
        <v>641</v>
      </c>
      <c r="V380" s="113" t="s">
        <v>106</v>
      </c>
      <c r="W380" s="222">
        <v>94709</v>
      </c>
      <c r="X380" s="339"/>
      <c r="Y380" s="319"/>
      <c r="Z380" s="236"/>
      <c r="AA380" s="200" t="s">
        <v>1404</v>
      </c>
      <c r="AB380" s="130"/>
      <c r="AC380" s="202"/>
      <c r="AD380" s="200"/>
      <c r="AE380" s="113"/>
      <c r="AF380" s="113"/>
      <c r="AG380" s="113"/>
      <c r="AH380" s="113"/>
      <c r="AI380" s="130" t="s">
        <v>2357</v>
      </c>
      <c r="AJ380" s="135" t="s">
        <v>2357</v>
      </c>
      <c r="AK380" s="57"/>
      <c r="AL380" s="287" t="s">
        <v>149</v>
      </c>
      <c r="AM380" s="288">
        <v>13305</v>
      </c>
      <c r="AN380" s="288"/>
      <c r="AO380" s="288">
        <v>62245</v>
      </c>
      <c r="AP380" s="288">
        <v>67240</v>
      </c>
      <c r="AQ380" s="288"/>
      <c r="AR380" s="288"/>
      <c r="AS380" s="207" t="s">
        <v>132</v>
      </c>
      <c r="AT380" s="116" t="s">
        <v>608</v>
      </c>
      <c r="AU380" s="67" t="s">
        <v>2644</v>
      </c>
      <c r="AW380" s="67" t="s">
        <v>641</v>
      </c>
      <c r="AX380" s="113" t="s">
        <v>106</v>
      </c>
      <c r="AY380" s="222">
        <v>94709</v>
      </c>
      <c r="AZ380" s="199" t="s">
        <v>2640</v>
      </c>
      <c r="BA380" s="75"/>
    </row>
    <row r="381" spans="1:53" s="251" customFormat="1" ht="14.15" customHeight="1" x14ac:dyDescent="0.4">
      <c r="A381" s="256" t="s">
        <v>2645</v>
      </c>
      <c r="B381" s="67" t="s">
        <v>434</v>
      </c>
      <c r="C381" s="110" t="s">
        <v>435</v>
      </c>
      <c r="D381" s="112"/>
      <c r="E381" s="119" t="s">
        <v>1648</v>
      </c>
      <c r="F381" s="83" t="s">
        <v>174</v>
      </c>
      <c r="G381" s="209"/>
      <c r="H381" s="88" t="s">
        <v>100</v>
      </c>
      <c r="I381" s="89"/>
      <c r="J381" s="98"/>
      <c r="K381" s="101"/>
      <c r="L381" s="329"/>
      <c r="M381" s="105">
        <v>44482</v>
      </c>
      <c r="N381" s="112" t="s">
        <v>526</v>
      </c>
      <c r="O381" s="198" t="s">
        <v>2646</v>
      </c>
      <c r="P381" s="198" t="s">
        <v>2647</v>
      </c>
      <c r="Q381" s="132">
        <v>9.7500000000000003E-2</v>
      </c>
      <c r="R381" s="132">
        <v>0.09</v>
      </c>
      <c r="S381" s="63" t="s">
        <v>1397</v>
      </c>
      <c r="T381" s="198" t="s">
        <v>2648</v>
      </c>
      <c r="U381" s="198" t="s">
        <v>2649</v>
      </c>
      <c r="V381" s="112" t="s">
        <v>106</v>
      </c>
      <c r="W381" s="205">
        <v>90291</v>
      </c>
      <c r="X381" s="229" t="s">
        <v>2650</v>
      </c>
      <c r="Y381" s="56" t="s">
        <v>2651</v>
      </c>
      <c r="Z381" s="205"/>
      <c r="AA381" s="203" t="s">
        <v>2652</v>
      </c>
      <c r="AB381" s="205" t="s">
        <v>2647</v>
      </c>
      <c r="AC381" s="206"/>
      <c r="AD381" s="203"/>
      <c r="AE381" s="205" t="s">
        <v>2653</v>
      </c>
      <c r="AF381" s="205" t="s">
        <v>2654</v>
      </c>
      <c r="AG381" s="205"/>
      <c r="AH381" s="205"/>
      <c r="AI381" s="205" t="s">
        <v>2655</v>
      </c>
      <c r="AJ381" s="135" t="s">
        <v>116</v>
      </c>
      <c r="AK381" s="318"/>
      <c r="AL381" s="287"/>
      <c r="AM381" s="288"/>
      <c r="AN381" s="288"/>
      <c r="AO381" s="288"/>
      <c r="AP381" s="288"/>
      <c r="AQ381" s="288"/>
      <c r="AR381" s="288"/>
      <c r="AS381" s="207" t="s">
        <v>132</v>
      </c>
      <c r="AT381" s="116" t="s">
        <v>608</v>
      </c>
      <c r="AU381" s="198" t="s">
        <v>2648</v>
      </c>
      <c r="AV381" s="39"/>
      <c r="AW381" s="198" t="s">
        <v>2649</v>
      </c>
      <c r="AX381" s="112" t="s">
        <v>106</v>
      </c>
      <c r="AY381" s="205">
        <v>90291</v>
      </c>
      <c r="AZ381" s="198" t="s">
        <v>2646</v>
      </c>
      <c r="BA381" s="75"/>
    </row>
    <row r="382" spans="1:53" s="251" customFormat="1" ht="14.15" customHeight="1" x14ac:dyDescent="0.4">
      <c r="A382" s="256" t="s">
        <v>2656</v>
      </c>
      <c r="B382" s="67" t="s">
        <v>125</v>
      </c>
      <c r="C382" s="111" t="s">
        <v>563</v>
      </c>
      <c r="D382" s="115"/>
      <c r="E382" s="120" t="s">
        <v>100</v>
      </c>
      <c r="F382" s="82"/>
      <c r="G382" s="84"/>
      <c r="H382" s="90" t="s">
        <v>100</v>
      </c>
      <c r="I382" s="91"/>
      <c r="J382" s="97"/>
      <c r="K382" s="102"/>
      <c r="L382" s="327"/>
      <c r="M382" s="106">
        <v>44069</v>
      </c>
      <c r="N382" s="113" t="s">
        <v>2657</v>
      </c>
      <c r="O382" s="113" t="s">
        <v>2658</v>
      </c>
      <c r="P382" s="57" t="s">
        <v>2659</v>
      </c>
      <c r="Q382" s="132">
        <v>8.7499999999999994E-2</v>
      </c>
      <c r="R382" s="132"/>
      <c r="S382" s="63" t="s">
        <v>205</v>
      </c>
      <c r="T382" s="67" t="s">
        <v>2660</v>
      </c>
      <c r="U382" s="67" t="s">
        <v>1558</v>
      </c>
      <c r="V382" s="113" t="s">
        <v>106</v>
      </c>
      <c r="W382" s="222">
        <v>94513</v>
      </c>
      <c r="X382" s="141"/>
      <c r="Y382" s="236"/>
      <c r="Z382" s="236"/>
      <c r="AA382" s="200"/>
      <c r="AB382" s="130"/>
      <c r="AC382" s="202"/>
      <c r="AD382" s="200"/>
      <c r="AE382" s="113"/>
      <c r="AF382" s="113"/>
      <c r="AG382" s="113"/>
      <c r="AH382" s="113"/>
      <c r="AI382" s="130"/>
      <c r="AJ382" s="135"/>
      <c r="AK382" s="57"/>
      <c r="AL382" s="287"/>
      <c r="AM382" s="288"/>
      <c r="AN382" s="288"/>
      <c r="AO382" s="288"/>
      <c r="AP382" s="288"/>
      <c r="AQ382" s="288"/>
      <c r="AR382" s="288"/>
      <c r="AS382" s="207"/>
      <c r="AT382" s="116"/>
      <c r="AU382" s="67" t="s">
        <v>2660</v>
      </c>
      <c r="AW382" s="67" t="s">
        <v>1558</v>
      </c>
      <c r="AX382" s="113" t="s">
        <v>106</v>
      </c>
      <c r="AY382" s="222">
        <v>94513</v>
      </c>
      <c r="AZ382" s="199" t="s">
        <v>2658</v>
      </c>
      <c r="BA382" s="317"/>
    </row>
    <row r="383" spans="1:53" s="251" customFormat="1" ht="14.15" customHeight="1" x14ac:dyDescent="0.4">
      <c r="A383" s="256" t="s">
        <v>2661</v>
      </c>
      <c r="B383" s="67" t="s">
        <v>244</v>
      </c>
      <c r="C383" s="111"/>
      <c r="D383" s="115"/>
      <c r="E383" s="120" t="s">
        <v>173</v>
      </c>
      <c r="F383" s="83" t="s">
        <v>174</v>
      </c>
      <c r="G383" s="84"/>
      <c r="H383" s="90"/>
      <c r="I383" s="91"/>
      <c r="J383" s="97"/>
      <c r="K383" s="102">
        <v>44791</v>
      </c>
      <c r="L383" s="327"/>
      <c r="M383" s="106"/>
      <c r="N383" s="113" t="s">
        <v>2662</v>
      </c>
      <c r="O383" s="113" t="s">
        <v>2663</v>
      </c>
      <c r="P383" s="57"/>
      <c r="Q383" s="132">
        <v>9.8750000000000004E-2</v>
      </c>
      <c r="R383" s="132"/>
      <c r="S383" s="63" t="s">
        <v>1685</v>
      </c>
      <c r="T383" s="67" t="s">
        <v>2664</v>
      </c>
      <c r="U383" s="67" t="s">
        <v>1761</v>
      </c>
      <c r="V383" s="113" t="s">
        <v>106</v>
      </c>
      <c r="W383" s="222">
        <v>94019</v>
      </c>
      <c r="X383" s="141" t="s">
        <v>2665</v>
      </c>
      <c r="Y383" s="141" t="s">
        <v>2665</v>
      </c>
      <c r="Z383" s="236"/>
      <c r="AA383" s="200"/>
      <c r="AB383" s="130"/>
      <c r="AC383" s="202"/>
      <c r="AD383" s="200"/>
      <c r="AE383" s="113"/>
      <c r="AF383" s="113"/>
      <c r="AG383" s="113"/>
      <c r="AH383" s="113"/>
      <c r="AI383" s="130"/>
      <c r="AJ383" s="135"/>
      <c r="AK383" s="57"/>
      <c r="AL383" s="287" t="s">
        <v>251</v>
      </c>
      <c r="AM383" s="288">
        <v>13305</v>
      </c>
      <c r="AN383" s="288">
        <v>15741</v>
      </c>
      <c r="AO383" s="288">
        <v>62245</v>
      </c>
      <c r="AP383" s="288"/>
      <c r="AQ383" s="288" t="s">
        <v>325</v>
      </c>
      <c r="AR383" s="288"/>
      <c r="AS383" s="207"/>
      <c r="AT383" s="116"/>
      <c r="AU383" s="67" t="s">
        <v>2666</v>
      </c>
      <c r="AW383" s="67" t="s">
        <v>1761</v>
      </c>
      <c r="AX383" s="113" t="s">
        <v>106</v>
      </c>
      <c r="AY383" s="222">
        <v>94019</v>
      </c>
      <c r="AZ383" s="199" t="s">
        <v>2663</v>
      </c>
      <c r="BA383" s="317"/>
    </row>
    <row r="384" spans="1:53" ht="14.15" customHeight="1" x14ac:dyDescent="0.4">
      <c r="A384" s="256" t="s">
        <v>2667</v>
      </c>
      <c r="B384" s="67" t="s">
        <v>125</v>
      </c>
      <c r="C384" s="110" t="s">
        <v>109</v>
      </c>
      <c r="D384" s="112" t="s">
        <v>2668</v>
      </c>
      <c r="E384" s="119" t="s">
        <v>100</v>
      </c>
      <c r="F384" s="83"/>
      <c r="G384" s="209"/>
      <c r="H384" s="88" t="s">
        <v>100</v>
      </c>
      <c r="I384" s="89"/>
      <c r="J384" s="98"/>
      <c r="K384" s="101">
        <v>43802</v>
      </c>
      <c r="L384" s="329"/>
      <c r="M384" s="105">
        <v>44718</v>
      </c>
      <c r="N384" s="112" t="s">
        <v>2669</v>
      </c>
      <c r="O384" s="112" t="s">
        <v>2670</v>
      </c>
      <c r="P384" s="198" t="s">
        <v>2671</v>
      </c>
      <c r="Q384" s="132">
        <v>0.1075</v>
      </c>
      <c r="R384" s="131">
        <v>9.5000000000000001E-2</v>
      </c>
      <c r="S384" s="63" t="s">
        <v>994</v>
      </c>
      <c r="T384" s="198" t="s">
        <v>2672</v>
      </c>
      <c r="U384" s="198" t="s">
        <v>994</v>
      </c>
      <c r="V384" s="112" t="s">
        <v>106</v>
      </c>
      <c r="W384" s="205">
        <v>94541</v>
      </c>
      <c r="X384" s="141" t="s">
        <v>2673</v>
      </c>
      <c r="Y384" s="205"/>
      <c r="Z384" s="205"/>
      <c r="AA384" s="203" t="s">
        <v>731</v>
      </c>
      <c r="AB384" s="205"/>
      <c r="AC384" s="206"/>
      <c r="AD384" s="203"/>
      <c r="AE384" s="205"/>
      <c r="AF384" s="205"/>
      <c r="AG384" s="205"/>
      <c r="AH384" s="205"/>
      <c r="AI384" s="205"/>
      <c r="AK384" s="318"/>
      <c r="AL384" s="289">
        <v>15157</v>
      </c>
      <c r="AM384" s="289"/>
      <c r="AN384" s="289"/>
      <c r="AO384" s="289"/>
      <c r="AP384" s="289"/>
      <c r="AQ384" s="289"/>
      <c r="AR384" s="289"/>
      <c r="AS384" s="207" t="s">
        <v>132</v>
      </c>
      <c r="AT384" s="116" t="s">
        <v>608</v>
      </c>
      <c r="AU384" s="198" t="s">
        <v>2672</v>
      </c>
      <c r="AV384" s="39"/>
      <c r="AW384" s="198" t="s">
        <v>994</v>
      </c>
      <c r="AX384" s="112" t="s">
        <v>106</v>
      </c>
      <c r="AY384" s="205">
        <v>94541</v>
      </c>
      <c r="AZ384" s="198" t="s">
        <v>2671</v>
      </c>
      <c r="BA384" s="207"/>
    </row>
    <row r="385" spans="1:53" s="251" customFormat="1" ht="14.15" customHeight="1" x14ac:dyDescent="0.25">
      <c r="A385" s="256" t="s">
        <v>2674</v>
      </c>
      <c r="B385" s="67" t="s">
        <v>108</v>
      </c>
      <c r="C385" s="109" t="s">
        <v>109</v>
      </c>
      <c r="D385" s="79"/>
      <c r="E385" s="118"/>
      <c r="F385" s="80" t="s">
        <v>2675</v>
      </c>
      <c r="G385" s="81"/>
      <c r="H385" s="92"/>
      <c r="I385" s="86" t="s">
        <v>2675</v>
      </c>
      <c r="J385" s="96"/>
      <c r="K385" s="100"/>
      <c r="L385" s="328"/>
      <c r="M385" s="104">
        <v>44154</v>
      </c>
      <c r="N385" s="128" t="s">
        <v>2676</v>
      </c>
      <c r="O385" s="128" t="s">
        <v>2677</v>
      </c>
      <c r="P385" s="59"/>
      <c r="Q385" s="132">
        <v>9.8750000000000004E-2</v>
      </c>
      <c r="R385" s="131">
        <v>0.09</v>
      </c>
      <c r="S385" s="63" t="s">
        <v>2678</v>
      </c>
      <c r="T385" s="67" t="s">
        <v>2679</v>
      </c>
      <c r="U385" s="67" t="s">
        <v>2680</v>
      </c>
      <c r="V385" s="79" t="s">
        <v>106</v>
      </c>
      <c r="W385" s="76">
        <v>94303</v>
      </c>
      <c r="X385" s="139" t="s">
        <v>2681</v>
      </c>
      <c r="Y385" s="139" t="s">
        <v>2681</v>
      </c>
      <c r="Z385" s="341" t="s">
        <v>2681</v>
      </c>
      <c r="AA385" s="79"/>
      <c r="AB385" s="135"/>
      <c r="AC385" s="136"/>
      <c r="AD385" s="79"/>
      <c r="AE385" s="128"/>
      <c r="AF385" s="128"/>
      <c r="AG385" s="128"/>
      <c r="AH385" s="128"/>
      <c r="AI385" s="135"/>
      <c r="AJ385" s="135"/>
      <c r="AK385" s="58"/>
      <c r="AL385" s="290"/>
      <c r="AM385" s="290"/>
      <c r="AN385" s="290"/>
      <c r="AO385" s="290"/>
      <c r="AP385" s="290"/>
      <c r="AQ385" s="290"/>
      <c r="AR385" s="290"/>
      <c r="AS385" s="207" t="s">
        <v>132</v>
      </c>
      <c r="AT385" s="116" t="s">
        <v>608</v>
      </c>
      <c r="AU385" s="67" t="s">
        <v>2679</v>
      </c>
      <c r="AV385" s="66"/>
      <c r="AW385" s="67" t="s">
        <v>2680</v>
      </c>
      <c r="AX385" s="79" t="s">
        <v>106</v>
      </c>
      <c r="AY385" s="76">
        <v>94303</v>
      </c>
      <c r="AZ385" s="77" t="s">
        <v>2677</v>
      </c>
      <c r="BA385" s="317"/>
    </row>
    <row r="386" spans="1:53" s="210" customFormat="1" ht="14.15" customHeight="1" x14ac:dyDescent="0.25">
      <c r="A386" s="256" t="s">
        <v>2682</v>
      </c>
      <c r="B386" s="67" t="s">
        <v>269</v>
      </c>
      <c r="C386" s="109" t="s">
        <v>109</v>
      </c>
      <c r="D386" s="79"/>
      <c r="E386" s="118"/>
      <c r="F386" s="80" t="s">
        <v>2675</v>
      </c>
      <c r="G386" s="81"/>
      <c r="H386" s="92"/>
      <c r="I386" s="86" t="s">
        <v>2675</v>
      </c>
      <c r="J386" s="96"/>
      <c r="K386" s="100">
        <v>44069</v>
      </c>
      <c r="L386" s="328"/>
      <c r="M386" s="104">
        <v>45580</v>
      </c>
      <c r="N386" s="128" t="s">
        <v>2676</v>
      </c>
      <c r="O386" s="128" t="s">
        <v>2683</v>
      </c>
      <c r="P386" s="59"/>
      <c r="Q386" s="132">
        <v>9.8750000000000004E-2</v>
      </c>
      <c r="R386" s="131">
        <v>0.09</v>
      </c>
      <c r="S386" s="63" t="s">
        <v>2684</v>
      </c>
      <c r="T386" s="67" t="s">
        <v>2685</v>
      </c>
      <c r="U386" s="67" t="s">
        <v>524</v>
      </c>
      <c r="V386" s="79" t="s">
        <v>106</v>
      </c>
      <c r="W386" s="76">
        <v>94603</v>
      </c>
      <c r="X386" s="139" t="s">
        <v>2681</v>
      </c>
      <c r="Y386" s="139" t="s">
        <v>2681</v>
      </c>
      <c r="Z386" s="226" t="s">
        <v>2681</v>
      </c>
      <c r="AA386" s="79"/>
      <c r="AB386" s="135"/>
      <c r="AC386" s="136"/>
      <c r="AD386" s="79"/>
      <c r="AE386" s="128"/>
      <c r="AF386" s="128"/>
      <c r="AG386" s="128"/>
      <c r="AH386" s="128"/>
      <c r="AI386" s="135"/>
      <c r="AJ386" s="135"/>
      <c r="AK386" s="58"/>
      <c r="AL386" s="290" t="s">
        <v>149</v>
      </c>
      <c r="AM386" s="290">
        <v>13305</v>
      </c>
      <c r="AN386" s="290"/>
      <c r="AO386" s="290"/>
      <c r="AP386" s="290"/>
      <c r="AQ386" s="290" t="s">
        <v>2686</v>
      </c>
      <c r="AR386" s="290"/>
      <c r="AS386" s="207" t="s">
        <v>132</v>
      </c>
      <c r="AT386" s="116" t="s">
        <v>608</v>
      </c>
      <c r="AU386" s="67" t="s">
        <v>2685</v>
      </c>
      <c r="AV386" s="66"/>
      <c r="AW386" s="67" t="s">
        <v>524</v>
      </c>
      <c r="AX386" s="79" t="s">
        <v>106</v>
      </c>
      <c r="AY386" s="76">
        <v>94603</v>
      </c>
      <c r="AZ386" s="77" t="s">
        <v>2683</v>
      </c>
      <c r="BA386" s="317"/>
    </row>
    <row r="387" spans="1:53" s="210" customFormat="1" ht="14.15" customHeight="1" x14ac:dyDescent="0.4">
      <c r="A387" s="256" t="s">
        <v>2687</v>
      </c>
      <c r="B387" s="67" t="s">
        <v>269</v>
      </c>
      <c r="C387" s="110" t="s">
        <v>109</v>
      </c>
      <c r="D387" s="112"/>
      <c r="E387" s="119" t="s">
        <v>100</v>
      </c>
      <c r="F387" s="83"/>
      <c r="G387" s="209"/>
      <c r="H387" s="88" t="s">
        <v>100</v>
      </c>
      <c r="I387" s="89"/>
      <c r="J387" s="98"/>
      <c r="K387" s="101">
        <v>43453</v>
      </c>
      <c r="L387" s="329"/>
      <c r="M387" s="105">
        <v>44795</v>
      </c>
      <c r="N387" s="112" t="s">
        <v>1538</v>
      </c>
      <c r="O387" s="112" t="s">
        <v>2688</v>
      </c>
      <c r="P387" s="198"/>
      <c r="Q387" s="132">
        <v>9.7500000000000003E-2</v>
      </c>
      <c r="R387" s="132">
        <v>9.5000000000000001E-2</v>
      </c>
      <c r="S387" s="63" t="s">
        <v>2689</v>
      </c>
      <c r="T387" s="198" t="s">
        <v>2690</v>
      </c>
      <c r="U387" s="198" t="s">
        <v>553</v>
      </c>
      <c r="V387" s="112" t="s">
        <v>106</v>
      </c>
      <c r="W387" s="205">
        <v>94801</v>
      </c>
      <c r="X387" s="293"/>
      <c r="Y387" s="205"/>
      <c r="Z387" s="205"/>
      <c r="AA387" s="203"/>
      <c r="AB387" s="205"/>
      <c r="AC387" s="206"/>
      <c r="AD387" s="203"/>
      <c r="AE387" s="205"/>
      <c r="AF387" s="205"/>
      <c r="AG387" s="205"/>
      <c r="AH387" s="205"/>
      <c r="AI387" s="205" t="s">
        <v>131</v>
      </c>
      <c r="AJ387" s="135" t="s">
        <v>2357</v>
      </c>
      <c r="AK387" s="318"/>
      <c r="AL387" s="290"/>
      <c r="AM387" s="290"/>
      <c r="AN387" s="290"/>
      <c r="AO387" s="290"/>
      <c r="AP387" s="290"/>
      <c r="AQ387" s="290" t="s">
        <v>2691</v>
      </c>
      <c r="AR387" s="290"/>
      <c r="AS387" s="207" t="s">
        <v>132</v>
      </c>
      <c r="AT387" s="116" t="s">
        <v>608</v>
      </c>
      <c r="AU387" s="198" t="s">
        <v>2692</v>
      </c>
      <c r="AV387" s="39"/>
      <c r="AW387" s="198" t="s">
        <v>553</v>
      </c>
      <c r="AX387" s="112" t="s">
        <v>106</v>
      </c>
      <c r="AY387" s="205">
        <v>94804</v>
      </c>
      <c r="AZ387" s="198" t="s">
        <v>2693</v>
      </c>
      <c r="BA387" s="317"/>
    </row>
    <row r="388" spans="1:53" s="210" customFormat="1" ht="14.15" customHeight="1" x14ac:dyDescent="0.4">
      <c r="A388" s="256" t="s">
        <v>6443</v>
      </c>
      <c r="B388" s="67" t="s">
        <v>98</v>
      </c>
      <c r="C388" s="110" t="s">
        <v>99</v>
      </c>
      <c r="D388" s="112"/>
      <c r="E388" s="119" t="s">
        <v>100</v>
      </c>
      <c r="F388" s="83"/>
      <c r="G388" s="209"/>
      <c r="H388" s="88" t="s">
        <v>100</v>
      </c>
      <c r="I388" s="89"/>
      <c r="J388" s="98"/>
      <c r="K388" s="101">
        <v>45929</v>
      </c>
      <c r="L388" s="329"/>
      <c r="M388" s="105"/>
      <c r="N388" s="112" t="s">
        <v>6444</v>
      </c>
      <c r="O388" s="112" t="s">
        <v>6445</v>
      </c>
      <c r="P388" s="198"/>
      <c r="Q388" s="132">
        <v>9.2499999999999999E-2</v>
      </c>
      <c r="R388" s="132"/>
      <c r="S388" s="63" t="s">
        <v>759</v>
      </c>
      <c r="T388" s="198" t="s">
        <v>6446</v>
      </c>
      <c r="U388" s="198" t="s">
        <v>823</v>
      </c>
      <c r="V388" s="112" t="s">
        <v>106</v>
      </c>
      <c r="W388" s="205">
        <v>94941</v>
      </c>
      <c r="X388" s="293"/>
      <c r="Y388" s="139" t="s">
        <v>6447</v>
      </c>
      <c r="Z388" s="139" t="s">
        <v>6448</v>
      </c>
      <c r="AA388" s="203" t="s">
        <v>6449</v>
      </c>
      <c r="AB388" s="205" t="s">
        <v>6450</v>
      </c>
      <c r="AC388" s="206" t="s">
        <v>6451</v>
      </c>
      <c r="AD388" s="203" t="s">
        <v>6452</v>
      </c>
      <c r="AE388" s="205"/>
      <c r="AF388" s="205"/>
      <c r="AG388" s="205"/>
      <c r="AH388" s="205"/>
      <c r="AI388" s="205"/>
      <c r="AJ388" s="135"/>
      <c r="AK388" s="318"/>
      <c r="AL388" s="290" t="s">
        <v>251</v>
      </c>
      <c r="AM388" s="290"/>
      <c r="AN388" s="290"/>
      <c r="AO388" s="290">
        <v>62245</v>
      </c>
      <c r="AP388" s="290"/>
      <c r="AQ388" s="290"/>
      <c r="AR388" s="290"/>
      <c r="AS388" s="207"/>
      <c r="AT388" s="116"/>
      <c r="AU388" s="198" t="s">
        <v>6446</v>
      </c>
      <c r="AV388" s="39"/>
      <c r="AW388" s="198" t="s">
        <v>823</v>
      </c>
      <c r="AX388" s="112" t="s">
        <v>106</v>
      </c>
      <c r="AY388" s="205">
        <v>94941</v>
      </c>
      <c r="AZ388" s="198" t="s">
        <v>6445</v>
      </c>
      <c r="BA388" s="317"/>
    </row>
    <row r="389" spans="1:53" s="210" customFormat="1" ht="14.15" customHeight="1" x14ac:dyDescent="0.4">
      <c r="A389" s="256" t="s">
        <v>2694</v>
      </c>
      <c r="B389" s="67" t="s">
        <v>1453</v>
      </c>
      <c r="C389" s="111" t="s">
        <v>99</v>
      </c>
      <c r="D389" s="115"/>
      <c r="E389" s="120" t="s">
        <v>100</v>
      </c>
      <c r="F389" s="82"/>
      <c r="G389" s="84"/>
      <c r="H389" s="90" t="s">
        <v>100</v>
      </c>
      <c r="I389" s="91"/>
      <c r="J389" s="97"/>
      <c r="K389" s="102"/>
      <c r="L389" s="327"/>
      <c r="M389" s="106">
        <v>44874</v>
      </c>
      <c r="N389" s="113" t="s">
        <v>2695</v>
      </c>
      <c r="O389" s="113" t="s">
        <v>2696</v>
      </c>
      <c r="P389" s="57"/>
      <c r="Q389" s="132">
        <v>9.8750000000000004E-2</v>
      </c>
      <c r="R389" s="132"/>
      <c r="S389" s="63" t="s">
        <v>522</v>
      </c>
      <c r="T389" s="67" t="s">
        <v>2697</v>
      </c>
      <c r="U389" s="67" t="s">
        <v>524</v>
      </c>
      <c r="V389" s="113" t="s">
        <v>106</v>
      </c>
      <c r="W389" s="222">
        <v>94063</v>
      </c>
      <c r="X389" s="141"/>
      <c r="Y389" s="236"/>
      <c r="Z389" s="236"/>
      <c r="AA389" s="200"/>
      <c r="AB389" s="130"/>
      <c r="AC389" s="202"/>
      <c r="AD389" s="200"/>
      <c r="AE389" s="113"/>
      <c r="AF389" s="113"/>
      <c r="AG389" s="113"/>
      <c r="AH389" s="113"/>
      <c r="AI389" s="130"/>
      <c r="AJ389" s="135"/>
      <c r="AK389" s="57"/>
      <c r="AL389" s="287"/>
      <c r="AM389" s="288"/>
      <c r="AN389" s="288"/>
      <c r="AO389" s="288"/>
      <c r="AP389" s="288"/>
      <c r="AQ389" s="288"/>
      <c r="AR389" s="288"/>
      <c r="AS389" s="207"/>
      <c r="AT389" s="116" t="s">
        <v>1469</v>
      </c>
      <c r="AU389" s="67" t="s">
        <v>2697</v>
      </c>
      <c r="AV389" s="251"/>
      <c r="AW389" s="67" t="s">
        <v>524</v>
      </c>
      <c r="AX389" s="113" t="s">
        <v>106</v>
      </c>
      <c r="AY389" s="222">
        <v>94063</v>
      </c>
      <c r="AZ389" s="199" t="s">
        <v>2696</v>
      </c>
      <c r="BA389" s="317"/>
    </row>
    <row r="390" spans="1:53" s="210" customFormat="1" ht="14.15" customHeight="1" x14ac:dyDescent="0.25">
      <c r="A390" s="256" t="s">
        <v>2698</v>
      </c>
      <c r="B390" s="67" t="s">
        <v>2065</v>
      </c>
      <c r="C390" s="109" t="s">
        <v>109</v>
      </c>
      <c r="D390" s="79"/>
      <c r="E390" s="118" t="s">
        <v>100</v>
      </c>
      <c r="F390" s="80"/>
      <c r="G390" s="81"/>
      <c r="H390" s="92" t="s">
        <v>100</v>
      </c>
      <c r="I390" s="86"/>
      <c r="J390" s="96"/>
      <c r="K390" s="100"/>
      <c r="L390" s="328"/>
      <c r="M390" s="104">
        <v>45804</v>
      </c>
      <c r="N390" s="128" t="s">
        <v>2699</v>
      </c>
      <c r="O390" s="128" t="s">
        <v>2700</v>
      </c>
      <c r="P390" s="59"/>
      <c r="Q390" s="132">
        <v>0.1075</v>
      </c>
      <c r="R390" s="131">
        <v>9.5000000000000001E-2</v>
      </c>
      <c r="S390" s="63" t="s">
        <v>113</v>
      </c>
      <c r="T390" s="67" t="s">
        <v>2701</v>
      </c>
      <c r="U390" s="67" t="s">
        <v>324</v>
      </c>
      <c r="V390" s="79" t="s">
        <v>106</v>
      </c>
      <c r="W390" s="76">
        <v>94502</v>
      </c>
      <c r="X390" s="141" t="s">
        <v>2702</v>
      </c>
      <c r="Y390" s="139" t="s">
        <v>2703</v>
      </c>
      <c r="Z390" s="234"/>
      <c r="AA390" s="79"/>
      <c r="AB390" s="135"/>
      <c r="AC390" s="136"/>
      <c r="AD390" s="79"/>
      <c r="AE390" s="128"/>
      <c r="AF390" s="128"/>
      <c r="AG390" s="128"/>
      <c r="AH390" s="128"/>
      <c r="AI390" s="135"/>
      <c r="AJ390" s="135"/>
      <c r="AK390" s="58"/>
      <c r="AL390" s="290"/>
      <c r="AM390" s="290"/>
      <c r="AN390" s="290"/>
      <c r="AO390" s="290"/>
      <c r="AP390" s="290"/>
      <c r="AQ390" s="290"/>
      <c r="AR390" s="290"/>
      <c r="AS390" s="207" t="s">
        <v>132</v>
      </c>
      <c r="AT390" s="116" t="s">
        <v>608</v>
      </c>
      <c r="AU390" s="67" t="s">
        <v>2701</v>
      </c>
      <c r="AV390" s="66"/>
      <c r="AW390" s="67" t="s">
        <v>324</v>
      </c>
      <c r="AX390" s="79" t="s">
        <v>106</v>
      </c>
      <c r="AY390" s="76">
        <v>94502</v>
      </c>
      <c r="AZ390" s="77" t="s">
        <v>2700</v>
      </c>
      <c r="BA390" s="317"/>
    </row>
    <row r="391" spans="1:53" s="210" customFormat="1" ht="14.15" customHeight="1" x14ac:dyDescent="0.4">
      <c r="A391" s="256" t="s">
        <v>2704</v>
      </c>
      <c r="B391" s="67" t="s">
        <v>2065</v>
      </c>
      <c r="C391" s="111" t="s">
        <v>109</v>
      </c>
      <c r="D391" s="113"/>
      <c r="E391" s="120" t="s">
        <v>100</v>
      </c>
      <c r="F391" s="82"/>
      <c r="G391" s="84"/>
      <c r="H391" s="90" t="s">
        <v>100</v>
      </c>
      <c r="I391" s="91"/>
      <c r="J391" s="97"/>
      <c r="K391" s="102"/>
      <c r="L391" s="327"/>
      <c r="M391" s="106">
        <v>44740</v>
      </c>
      <c r="N391" s="113" t="s">
        <v>2705</v>
      </c>
      <c r="O391" s="113" t="s">
        <v>2706</v>
      </c>
      <c r="P391" s="57" t="s">
        <v>2707</v>
      </c>
      <c r="Q391" s="132">
        <v>0.1075</v>
      </c>
      <c r="R391" s="131">
        <v>9.5000000000000001E-2</v>
      </c>
      <c r="S391" s="63" t="s">
        <v>994</v>
      </c>
      <c r="T391" s="67" t="s">
        <v>2708</v>
      </c>
      <c r="U391" s="67" t="s">
        <v>994</v>
      </c>
      <c r="V391" s="113" t="s">
        <v>106</v>
      </c>
      <c r="W391" s="222">
        <v>94541</v>
      </c>
      <c r="X391" s="141" t="s">
        <v>2709</v>
      </c>
      <c r="Y391" s="226" t="s">
        <v>2710</v>
      </c>
      <c r="Z391" s="141" t="s">
        <v>2709</v>
      </c>
      <c r="AA391" s="200"/>
      <c r="AB391" s="130"/>
      <c r="AC391" s="202"/>
      <c r="AD391" s="200"/>
      <c r="AE391" s="113"/>
      <c r="AF391" s="113"/>
      <c r="AG391" s="113"/>
      <c r="AH391" s="113"/>
      <c r="AI391" s="130"/>
      <c r="AJ391" s="135"/>
      <c r="AK391" s="57"/>
      <c r="AL391" s="290"/>
      <c r="AM391" s="290"/>
      <c r="AN391" s="290"/>
      <c r="AO391" s="290"/>
      <c r="AP391" s="290"/>
      <c r="AQ391" s="290"/>
      <c r="AR391" s="290"/>
      <c r="AS391" s="207" t="s">
        <v>132</v>
      </c>
      <c r="AT391" s="116" t="s">
        <v>608</v>
      </c>
      <c r="AU391" s="67" t="s">
        <v>2708</v>
      </c>
      <c r="AV391" s="251"/>
      <c r="AW391" s="67" t="s">
        <v>994</v>
      </c>
      <c r="AX391" s="113" t="s">
        <v>106</v>
      </c>
      <c r="AY391" s="222">
        <v>94541</v>
      </c>
      <c r="AZ391" s="199" t="s">
        <v>2706</v>
      </c>
      <c r="BA391" s="317"/>
    </row>
    <row r="392" spans="1:53" s="210" customFormat="1" ht="14.15" customHeight="1" x14ac:dyDescent="0.4">
      <c r="A392" s="256" t="s">
        <v>2711</v>
      </c>
      <c r="B392" s="67" t="s">
        <v>2065</v>
      </c>
      <c r="C392" s="111" t="s">
        <v>435</v>
      </c>
      <c r="D392" s="113" t="s">
        <v>2712</v>
      </c>
      <c r="E392" s="120" t="s">
        <v>2713</v>
      </c>
      <c r="F392" s="82"/>
      <c r="G392" s="84"/>
      <c r="H392" s="90" t="s">
        <v>100</v>
      </c>
      <c r="I392" s="91"/>
      <c r="J392" s="97"/>
      <c r="K392" s="102">
        <v>44706</v>
      </c>
      <c r="L392" s="327"/>
      <c r="M392" s="106">
        <v>44945</v>
      </c>
      <c r="N392" s="113" t="s">
        <v>2705</v>
      </c>
      <c r="O392" s="113" t="s">
        <v>2714</v>
      </c>
      <c r="P392" s="57" t="s">
        <v>2707</v>
      </c>
      <c r="Q392" s="132">
        <v>0.1075</v>
      </c>
      <c r="R392" s="132">
        <v>0.1</v>
      </c>
      <c r="S392" s="63" t="s">
        <v>2279</v>
      </c>
      <c r="T392" s="67" t="s">
        <v>2715</v>
      </c>
      <c r="U392" s="67" t="s">
        <v>1274</v>
      </c>
      <c r="V392" s="113" t="s">
        <v>106</v>
      </c>
      <c r="W392" s="222">
        <v>94577</v>
      </c>
      <c r="X392" s="141" t="s">
        <v>2709</v>
      </c>
      <c r="Y392" s="139" t="s">
        <v>2710</v>
      </c>
      <c r="Z392" s="141" t="s">
        <v>2709</v>
      </c>
      <c r="AA392" s="200"/>
      <c r="AB392" s="130"/>
      <c r="AC392" s="202"/>
      <c r="AD392" s="200"/>
      <c r="AE392" s="113"/>
      <c r="AF392" s="113"/>
      <c r="AG392" s="113"/>
      <c r="AH392" s="113"/>
      <c r="AI392" s="130"/>
      <c r="AJ392" s="135"/>
      <c r="AK392" s="57"/>
      <c r="AL392" s="290"/>
      <c r="AM392" s="290"/>
      <c r="AN392" s="290"/>
      <c r="AO392" s="290"/>
      <c r="AP392" s="290"/>
      <c r="AQ392" s="290"/>
      <c r="AR392" s="290"/>
      <c r="AS392" s="207" t="s">
        <v>132</v>
      </c>
      <c r="AT392" s="116" t="s">
        <v>608</v>
      </c>
      <c r="AU392" s="67" t="s">
        <v>2715</v>
      </c>
      <c r="AV392" s="251"/>
      <c r="AW392" s="67" t="s">
        <v>1274</v>
      </c>
      <c r="AX392" s="113" t="s">
        <v>106</v>
      </c>
      <c r="AY392" s="222">
        <v>94577</v>
      </c>
      <c r="AZ392" s="199" t="s">
        <v>2714</v>
      </c>
      <c r="BA392" s="317"/>
    </row>
    <row r="393" spans="1:53" s="210" customFormat="1" ht="14.15" customHeight="1" x14ac:dyDescent="0.4">
      <c r="A393" s="256" t="s">
        <v>2716</v>
      </c>
      <c r="B393" s="67" t="s">
        <v>269</v>
      </c>
      <c r="C393" s="111" t="s">
        <v>1076</v>
      </c>
      <c r="D393" s="113" t="s">
        <v>2717</v>
      </c>
      <c r="E393" s="120" t="s">
        <v>100</v>
      </c>
      <c r="F393" s="82" t="s">
        <v>0</v>
      </c>
      <c r="G393" s="84" t="s">
        <v>0</v>
      </c>
      <c r="H393" s="90" t="s">
        <v>100</v>
      </c>
      <c r="I393" s="91"/>
      <c r="J393" s="97"/>
      <c r="K393" s="102">
        <v>44237</v>
      </c>
      <c r="L393" s="327"/>
      <c r="M393" s="106">
        <v>44932</v>
      </c>
      <c r="N393" s="113" t="s">
        <v>2718</v>
      </c>
      <c r="O393" s="113" t="s">
        <v>2719</v>
      </c>
      <c r="P393" s="57"/>
      <c r="Q393" s="132">
        <v>9.8750000000000004E-2</v>
      </c>
      <c r="R393" s="132">
        <v>0.09</v>
      </c>
      <c r="S393" s="63" t="s">
        <v>1685</v>
      </c>
      <c r="T393" s="67" t="s">
        <v>2720</v>
      </c>
      <c r="U393" s="67" t="s">
        <v>1687</v>
      </c>
      <c r="V393" s="113" t="s">
        <v>106</v>
      </c>
      <c r="W393" s="222">
        <v>94044</v>
      </c>
      <c r="X393" s="141"/>
      <c r="Y393" s="139"/>
      <c r="Z393" s="236"/>
      <c r="AA393" s="200" t="s">
        <v>2721</v>
      </c>
      <c r="AB393" s="130" t="s">
        <v>2722</v>
      </c>
      <c r="AC393" s="202"/>
      <c r="AD393" s="200"/>
      <c r="AE393" s="113"/>
      <c r="AF393" s="113"/>
      <c r="AG393" s="113"/>
      <c r="AH393" s="113"/>
      <c r="AI393" s="113" t="s">
        <v>2719</v>
      </c>
      <c r="AJ393" s="135" t="s">
        <v>116</v>
      </c>
      <c r="AK393" s="57"/>
      <c r="AL393" s="290"/>
      <c r="AM393" s="290"/>
      <c r="AN393" s="290"/>
      <c r="AO393" s="290">
        <v>62245</v>
      </c>
      <c r="AP393" s="290"/>
      <c r="AQ393" s="290"/>
      <c r="AR393" s="290"/>
      <c r="AS393" s="207" t="s">
        <v>132</v>
      </c>
      <c r="AT393" s="116" t="s">
        <v>608</v>
      </c>
      <c r="AU393" s="67" t="str">
        <f>PROPER(AV393)</f>
        <v>5460 Cabrillo Hwy</v>
      </c>
      <c r="AV393" s="251" t="s">
        <v>2723</v>
      </c>
      <c r="AW393" s="67" t="s">
        <v>1687</v>
      </c>
      <c r="AX393" s="113" t="s">
        <v>106</v>
      </c>
      <c r="AY393" s="222">
        <v>94044</v>
      </c>
      <c r="AZ393" s="199" t="s">
        <v>2719</v>
      </c>
      <c r="BA393" s="317"/>
    </row>
    <row r="394" spans="1:53" ht="14.15" customHeight="1" x14ac:dyDescent="0.4">
      <c r="A394" s="256" t="s">
        <v>2724</v>
      </c>
      <c r="B394" s="67" t="s">
        <v>108</v>
      </c>
      <c r="C394" s="109" t="s">
        <v>109</v>
      </c>
      <c r="D394" s="113" t="s">
        <v>1585</v>
      </c>
      <c r="E394" s="120" t="s">
        <v>100</v>
      </c>
      <c r="F394" s="82"/>
      <c r="G394" s="84"/>
      <c r="H394" s="90" t="s">
        <v>100</v>
      </c>
      <c r="I394" s="91"/>
      <c r="J394" s="97"/>
      <c r="K394" s="102">
        <v>45373</v>
      </c>
      <c r="L394" s="327"/>
      <c r="M394" s="106">
        <v>45281</v>
      </c>
      <c r="N394" s="113" t="s">
        <v>1386</v>
      </c>
      <c r="O394" s="113" t="s">
        <v>2725</v>
      </c>
      <c r="P394" s="57"/>
      <c r="Q394" s="132">
        <v>9.375E-2</v>
      </c>
      <c r="R394" s="132">
        <v>0.09</v>
      </c>
      <c r="S394" s="63" t="s">
        <v>146</v>
      </c>
      <c r="T394" s="67" t="s">
        <v>2726</v>
      </c>
      <c r="U394" s="67" t="s">
        <v>148</v>
      </c>
      <c r="V394" s="113" t="s">
        <v>106</v>
      </c>
      <c r="W394" s="222">
        <v>95116</v>
      </c>
      <c r="X394" s="141"/>
      <c r="Y394" s="139"/>
      <c r="Z394" s="236"/>
      <c r="AA394" s="200"/>
      <c r="AB394" s="130"/>
      <c r="AC394" s="202"/>
      <c r="AD394" s="200"/>
      <c r="AE394" s="113"/>
      <c r="AF394" s="113"/>
      <c r="AG394" s="113"/>
      <c r="AH394" s="113"/>
      <c r="AI394" s="113"/>
      <c r="AK394" s="57"/>
      <c r="AL394" s="290">
        <v>15157</v>
      </c>
      <c r="AM394" s="290">
        <v>15741</v>
      </c>
      <c r="AN394" s="290"/>
      <c r="AO394" s="290"/>
      <c r="AP394" s="290"/>
      <c r="AQ394" s="290">
        <v>1493</v>
      </c>
      <c r="AR394" s="290"/>
      <c r="AS394" s="207" t="s">
        <v>132</v>
      </c>
      <c r="AT394" s="116" t="s">
        <v>608</v>
      </c>
      <c r="AU394" s="67" t="s">
        <v>2726</v>
      </c>
      <c r="AV394" s="251"/>
      <c r="AW394" s="67" t="s">
        <v>148</v>
      </c>
      <c r="AX394" s="113" t="s">
        <v>106</v>
      </c>
      <c r="AY394" s="222">
        <v>95116</v>
      </c>
      <c r="AZ394" s="199" t="s">
        <v>2725</v>
      </c>
      <c r="BA394" s="317"/>
    </row>
    <row r="395" spans="1:53" s="210" customFormat="1" ht="14.15" customHeight="1" x14ac:dyDescent="0.25">
      <c r="A395" s="256" t="s">
        <v>2727</v>
      </c>
      <c r="B395" s="67" t="s">
        <v>269</v>
      </c>
      <c r="C395" s="109" t="s">
        <v>1076</v>
      </c>
      <c r="D395" s="79" t="s">
        <v>2728</v>
      </c>
      <c r="E395" s="118" t="s">
        <v>100</v>
      </c>
      <c r="F395" s="80"/>
      <c r="G395" s="81"/>
      <c r="H395" s="87" t="s">
        <v>100</v>
      </c>
      <c r="I395" s="86"/>
      <c r="J395" s="96"/>
      <c r="K395" s="100">
        <v>45762</v>
      </c>
      <c r="L395" s="328"/>
      <c r="M395" s="104">
        <v>44406</v>
      </c>
      <c r="N395" s="128" t="s">
        <v>2729</v>
      </c>
      <c r="O395" s="128" t="s">
        <v>2730</v>
      </c>
      <c r="P395" s="59"/>
      <c r="Q395" s="132">
        <v>9.2499999999999999E-2</v>
      </c>
      <c r="R395" s="132">
        <v>8.2500000000000004E-2</v>
      </c>
      <c r="S395" s="63" t="s">
        <v>262</v>
      </c>
      <c r="T395" s="67" t="s">
        <v>2731</v>
      </c>
      <c r="U395" s="67" t="s">
        <v>930</v>
      </c>
      <c r="V395" s="79" t="s">
        <v>106</v>
      </c>
      <c r="W395" s="76">
        <v>95436</v>
      </c>
      <c r="X395" s="141" t="s">
        <v>2732</v>
      </c>
      <c r="Y395" s="236"/>
      <c r="Z395" s="234"/>
      <c r="AA395" s="79"/>
      <c r="AB395" s="135"/>
      <c r="AC395" s="136"/>
      <c r="AD395" s="79"/>
      <c r="AE395" s="128"/>
      <c r="AF395" s="128"/>
      <c r="AG395" s="128"/>
      <c r="AH395" s="128"/>
      <c r="AI395" s="135" t="s">
        <v>2730</v>
      </c>
      <c r="AJ395" s="135" t="s">
        <v>116</v>
      </c>
      <c r="AK395" s="58"/>
      <c r="AL395" s="290" t="s">
        <v>289</v>
      </c>
      <c r="AM395" s="290">
        <v>15741</v>
      </c>
      <c r="AN395" s="290">
        <v>13305</v>
      </c>
      <c r="AO395" s="290">
        <v>62245</v>
      </c>
      <c r="AP395" s="290"/>
      <c r="AQ395" s="290"/>
      <c r="AR395" s="290"/>
      <c r="AS395" s="207" t="s">
        <v>132</v>
      </c>
      <c r="AT395" s="116" t="s">
        <v>608</v>
      </c>
      <c r="AU395" s="67" t="s">
        <v>2731</v>
      </c>
      <c r="AV395" s="66"/>
      <c r="AW395" s="67" t="s">
        <v>930</v>
      </c>
      <c r="AX395" s="79" t="s">
        <v>106</v>
      </c>
      <c r="AY395" s="76">
        <v>95436</v>
      </c>
      <c r="AZ395" s="77" t="s">
        <v>2730</v>
      </c>
      <c r="BA395" s="317"/>
    </row>
    <row r="396" spans="1:53" s="251" customFormat="1" ht="14.15" customHeight="1" x14ac:dyDescent="0.25">
      <c r="A396" s="256" t="s">
        <v>2733</v>
      </c>
      <c r="B396" s="67" t="s">
        <v>98</v>
      </c>
      <c r="C396" s="109" t="s">
        <v>99</v>
      </c>
      <c r="D396" s="79"/>
      <c r="E396" s="118" t="s">
        <v>100</v>
      </c>
      <c r="F396" s="80"/>
      <c r="G396" s="81"/>
      <c r="H396" s="87" t="s">
        <v>100</v>
      </c>
      <c r="I396" s="86"/>
      <c r="J396" s="96"/>
      <c r="K396" s="100">
        <v>44830</v>
      </c>
      <c r="L396" s="328"/>
      <c r="M396" s="104"/>
      <c r="N396" s="128" t="s">
        <v>2734</v>
      </c>
      <c r="O396" s="128" t="s">
        <v>2735</v>
      </c>
      <c r="P396" s="59"/>
      <c r="Q396" s="132">
        <v>9.2499999999999999E-2</v>
      </c>
      <c r="R396" s="132">
        <v>7.4999999999999997E-2</v>
      </c>
      <c r="S396" s="63" t="s">
        <v>154</v>
      </c>
      <c r="T396" s="67" t="s">
        <v>2736</v>
      </c>
      <c r="U396" s="67" t="s">
        <v>156</v>
      </c>
      <c r="V396" s="79" t="s">
        <v>106</v>
      </c>
      <c r="W396" s="76">
        <v>95928</v>
      </c>
      <c r="X396" s="147"/>
      <c r="Y396" s="236"/>
      <c r="Z396" s="234"/>
      <c r="AA396" s="79"/>
      <c r="AB396" s="135"/>
      <c r="AC396" s="136"/>
      <c r="AD396" s="79"/>
      <c r="AE396" s="128"/>
      <c r="AF396" s="128"/>
      <c r="AG396" s="128"/>
      <c r="AH396" s="128"/>
      <c r="AI396" s="135" t="s">
        <v>0</v>
      </c>
      <c r="AJ396" s="135" t="s">
        <v>116</v>
      </c>
      <c r="AK396" s="58"/>
      <c r="AL396" s="290" t="s">
        <v>2737</v>
      </c>
      <c r="AM396" s="290">
        <v>13305</v>
      </c>
      <c r="AN396" s="290" t="s">
        <v>2738</v>
      </c>
      <c r="AO396" s="290">
        <v>62245</v>
      </c>
      <c r="AP396" s="290"/>
      <c r="AQ396" s="290"/>
      <c r="AR396" s="290"/>
      <c r="AS396" s="207" t="s">
        <v>132</v>
      </c>
      <c r="AT396" s="116" t="s">
        <v>608</v>
      </c>
      <c r="AU396" s="67" t="s">
        <v>2736</v>
      </c>
      <c r="AV396" s="66"/>
      <c r="AW396" s="67" t="s">
        <v>156</v>
      </c>
      <c r="AX396" s="79" t="s">
        <v>106</v>
      </c>
      <c r="AY396" s="76">
        <v>95928</v>
      </c>
      <c r="AZ396" s="77" t="s">
        <v>2735</v>
      </c>
      <c r="BA396" s="317"/>
    </row>
    <row r="397" spans="1:53" s="251" customFormat="1" ht="14.15" customHeight="1" x14ac:dyDescent="0.25">
      <c r="A397" s="256" t="s">
        <v>2739</v>
      </c>
      <c r="B397" s="67" t="s">
        <v>125</v>
      </c>
      <c r="C397" s="68" t="s">
        <v>99</v>
      </c>
      <c r="D397" s="79" t="s">
        <v>2740</v>
      </c>
      <c r="E397" s="118" t="s">
        <v>100</v>
      </c>
      <c r="F397" s="80"/>
      <c r="G397" s="81"/>
      <c r="H397" s="87" t="s">
        <v>100</v>
      </c>
      <c r="I397" s="86"/>
      <c r="J397" s="96"/>
      <c r="K397" s="100">
        <v>45742</v>
      </c>
      <c r="L397" s="328"/>
      <c r="M397" s="104">
        <v>44774</v>
      </c>
      <c r="N397" s="128" t="s">
        <v>2741</v>
      </c>
      <c r="O397" s="128" t="s">
        <v>2742</v>
      </c>
      <c r="P397" s="59"/>
      <c r="Q397" s="132">
        <v>9.8750000000000004E-2</v>
      </c>
      <c r="R397" s="132">
        <v>0.09</v>
      </c>
      <c r="S397" s="63" t="s">
        <v>522</v>
      </c>
      <c r="T397" s="67" t="s">
        <v>2743</v>
      </c>
      <c r="U397" s="67" t="s">
        <v>524</v>
      </c>
      <c r="V397" s="79" t="s">
        <v>106</v>
      </c>
      <c r="W397" s="76">
        <v>94063</v>
      </c>
      <c r="X397" s="147"/>
      <c r="Y397" s="236"/>
      <c r="Z397" s="234"/>
      <c r="AA397" s="79"/>
      <c r="AB397" s="135"/>
      <c r="AC397" s="136"/>
      <c r="AD397" s="79"/>
      <c r="AE397" s="128"/>
      <c r="AF397" s="128"/>
      <c r="AG397" s="128"/>
      <c r="AH397" s="128"/>
      <c r="AI397" s="135"/>
      <c r="AJ397" s="135"/>
      <c r="AK397" s="58"/>
      <c r="AL397" s="290">
        <v>15157</v>
      </c>
      <c r="AM397" s="290"/>
      <c r="AN397" s="290"/>
      <c r="AO397" s="290"/>
      <c r="AP397" s="290"/>
      <c r="AQ397" s="290"/>
      <c r="AR397" s="290"/>
      <c r="AS397" s="207" t="s">
        <v>132</v>
      </c>
      <c r="AT397" s="116" t="s">
        <v>608</v>
      </c>
      <c r="AU397" s="67" t="s">
        <v>2743</v>
      </c>
      <c r="AV397" s="66"/>
      <c r="AW397" s="67" t="s">
        <v>524</v>
      </c>
      <c r="AX397" s="79" t="s">
        <v>106</v>
      </c>
      <c r="AY397" s="76">
        <v>94063</v>
      </c>
      <c r="AZ397" s="77" t="s">
        <v>2742</v>
      </c>
      <c r="BA397" s="317"/>
    </row>
    <row r="398" spans="1:53" s="251" customFormat="1" ht="14.15" customHeight="1" x14ac:dyDescent="0.4">
      <c r="A398" s="256" t="s">
        <v>2744</v>
      </c>
      <c r="B398" s="67" t="s">
        <v>2374</v>
      </c>
      <c r="C398" s="224" t="s">
        <v>563</v>
      </c>
      <c r="D398" s="115"/>
      <c r="E398" s="120" t="s">
        <v>100</v>
      </c>
      <c r="F398" s="82"/>
      <c r="G398" s="84"/>
      <c r="H398" s="90" t="s">
        <v>100</v>
      </c>
      <c r="I398" s="91"/>
      <c r="J398" s="97"/>
      <c r="K398" s="102">
        <v>45994</v>
      </c>
      <c r="L398" s="327"/>
      <c r="M398" s="106"/>
      <c r="N398" s="113" t="s">
        <v>2745</v>
      </c>
      <c r="O398" s="113" t="s">
        <v>2746</v>
      </c>
      <c r="P398" s="57"/>
      <c r="Q398" s="132">
        <v>9.2499999999999999E-2</v>
      </c>
      <c r="R398" s="132"/>
      <c r="S398" s="63" t="s">
        <v>226</v>
      </c>
      <c r="T398" s="67" t="s">
        <v>2747</v>
      </c>
      <c r="U398" s="67" t="s">
        <v>228</v>
      </c>
      <c r="V398" s="113" t="s">
        <v>106</v>
      </c>
      <c r="W398" s="222">
        <v>94903</v>
      </c>
      <c r="X398" s="141" t="s">
        <v>2748</v>
      </c>
      <c r="Y398" s="141" t="s">
        <v>2748</v>
      </c>
      <c r="Z398" s="141" t="s">
        <v>2748</v>
      </c>
      <c r="AA398" s="200"/>
      <c r="AB398" s="130"/>
      <c r="AC398" s="202"/>
      <c r="AD398" s="200"/>
      <c r="AE398" s="113"/>
      <c r="AF398" s="113"/>
      <c r="AG398" s="113"/>
      <c r="AH398" s="113"/>
      <c r="AI398" s="130"/>
      <c r="AJ398" s="135"/>
      <c r="AK398" s="57"/>
      <c r="AL398" s="287">
        <v>54230</v>
      </c>
      <c r="AM398" s="288">
        <v>13305</v>
      </c>
      <c r="AN398" s="288"/>
      <c r="AO398" s="288">
        <v>62245</v>
      </c>
      <c r="AP398" s="288"/>
      <c r="AQ398" s="288"/>
      <c r="AR398" s="288"/>
      <c r="AS398" s="207" t="s">
        <v>132</v>
      </c>
      <c r="AT398" s="116" t="s">
        <v>608</v>
      </c>
      <c r="AU398" s="67" t="s">
        <v>2747</v>
      </c>
      <c r="AW398" s="67" t="s">
        <v>228</v>
      </c>
      <c r="AX398" s="113" t="s">
        <v>106</v>
      </c>
      <c r="AY398" s="222">
        <v>94903</v>
      </c>
      <c r="AZ398" s="199" t="s">
        <v>2746</v>
      </c>
      <c r="BA398" s="317"/>
    </row>
    <row r="399" spans="1:53" s="251" customFormat="1" ht="14.15" customHeight="1" x14ac:dyDescent="0.4">
      <c r="A399" s="256" t="s">
        <v>2749</v>
      </c>
      <c r="B399" s="67" t="s">
        <v>108</v>
      </c>
      <c r="C399" s="225" t="s">
        <v>109</v>
      </c>
      <c r="D399" s="112" t="s">
        <v>135</v>
      </c>
      <c r="E399" s="119" t="s">
        <v>100</v>
      </c>
      <c r="F399" s="83"/>
      <c r="G399" s="209"/>
      <c r="H399" s="88" t="s">
        <v>100</v>
      </c>
      <c r="I399" s="89"/>
      <c r="J399" s="98"/>
      <c r="K399" s="101">
        <v>43430</v>
      </c>
      <c r="L399" s="329"/>
      <c r="M399" s="105">
        <v>44012</v>
      </c>
      <c r="N399" s="112" t="s">
        <v>2750</v>
      </c>
      <c r="O399" s="112" t="s">
        <v>1160</v>
      </c>
      <c r="P399" s="198" t="s">
        <v>2671</v>
      </c>
      <c r="Q399" s="132">
        <v>0.10249999999999999</v>
      </c>
      <c r="R399" s="132">
        <v>9.5000000000000001E-2</v>
      </c>
      <c r="S399" s="63" t="s">
        <v>113</v>
      </c>
      <c r="T399" s="198" t="s">
        <v>1161</v>
      </c>
      <c r="U399" s="198" t="s">
        <v>1162</v>
      </c>
      <c r="V399" s="112" t="s">
        <v>106</v>
      </c>
      <c r="W399" s="205">
        <v>94530</v>
      </c>
      <c r="X399" s="141" t="s">
        <v>2673</v>
      </c>
      <c r="Y399" s="205"/>
      <c r="Z399" s="205"/>
      <c r="AA399" s="203"/>
      <c r="AB399" s="205"/>
      <c r="AC399" s="206"/>
      <c r="AD399" s="203"/>
      <c r="AE399" s="205"/>
      <c r="AF399" s="205"/>
      <c r="AG399" s="205"/>
      <c r="AH399" s="205"/>
      <c r="AI399" s="205"/>
      <c r="AJ399" s="135"/>
      <c r="AK399" s="318"/>
      <c r="AL399" s="290"/>
      <c r="AM399" s="290"/>
      <c r="AN399" s="290"/>
      <c r="AO399" s="290"/>
      <c r="AP399" s="290"/>
      <c r="AQ399" s="290">
        <v>1493</v>
      </c>
      <c r="AR399" s="290"/>
      <c r="AS399" s="207" t="s">
        <v>132</v>
      </c>
      <c r="AT399" s="116" t="s">
        <v>2667</v>
      </c>
      <c r="AU399" s="198" t="s">
        <v>2672</v>
      </c>
      <c r="AV399" s="39"/>
      <c r="AW399" s="198" t="s">
        <v>994</v>
      </c>
      <c r="AX399" s="112" t="s">
        <v>106</v>
      </c>
      <c r="AY399" s="205">
        <v>94541</v>
      </c>
      <c r="AZ399" s="198" t="s">
        <v>2671</v>
      </c>
      <c r="BA399" s="317"/>
    </row>
    <row r="400" spans="1:53" s="251" customFormat="1" ht="14.15" customHeight="1" x14ac:dyDescent="0.25">
      <c r="A400" s="256" t="s">
        <v>2751</v>
      </c>
      <c r="B400" s="67" t="s">
        <v>98</v>
      </c>
      <c r="C400" s="68" t="s">
        <v>99</v>
      </c>
      <c r="D400" s="79"/>
      <c r="E400" s="118" t="s">
        <v>100</v>
      </c>
      <c r="F400" s="80"/>
      <c r="G400" s="81"/>
      <c r="H400" s="87" t="s">
        <v>100</v>
      </c>
      <c r="I400" s="86"/>
      <c r="J400" s="96"/>
      <c r="K400" s="100">
        <v>45897</v>
      </c>
      <c r="L400" s="328"/>
      <c r="M400" s="105">
        <v>44594</v>
      </c>
      <c r="N400" s="128" t="s">
        <v>1408</v>
      </c>
      <c r="O400" s="128" t="s">
        <v>2752</v>
      </c>
      <c r="P400" s="59" t="s">
        <v>1409</v>
      </c>
      <c r="Q400" s="132">
        <v>0.10249999999999999</v>
      </c>
      <c r="R400" s="132">
        <v>9.5000000000000001E-2</v>
      </c>
      <c r="S400" s="63" t="s">
        <v>113</v>
      </c>
      <c r="T400" s="67" t="s">
        <v>2753</v>
      </c>
      <c r="U400" s="67" t="s">
        <v>641</v>
      </c>
      <c r="V400" s="79" t="s">
        <v>106</v>
      </c>
      <c r="W400" s="76">
        <v>94709</v>
      </c>
      <c r="X400" s="142"/>
      <c r="Y400" s="139"/>
      <c r="Z400" s="226"/>
      <c r="AA400" s="79"/>
      <c r="AB400" s="135"/>
      <c r="AC400" s="136"/>
      <c r="AD400" s="79"/>
      <c r="AE400" s="128"/>
      <c r="AF400" s="128"/>
      <c r="AG400" s="128"/>
      <c r="AH400" s="128"/>
      <c r="AI400" s="135"/>
      <c r="AJ400" s="135"/>
      <c r="AK400" s="54"/>
      <c r="AL400" s="287" t="s">
        <v>289</v>
      </c>
      <c r="AM400" s="288">
        <v>13305</v>
      </c>
      <c r="AN400" s="288"/>
      <c r="AO400" s="288">
        <v>62245</v>
      </c>
      <c r="AP400" s="288"/>
      <c r="AQ400" s="288"/>
      <c r="AR400" s="288"/>
      <c r="AS400" s="207" t="s">
        <v>132</v>
      </c>
      <c r="AT400" s="116" t="s">
        <v>1176</v>
      </c>
      <c r="AU400" s="67" t="s">
        <v>2753</v>
      </c>
      <c r="AV400" s="66"/>
      <c r="AW400" s="67" t="s">
        <v>641</v>
      </c>
      <c r="AX400" s="79" t="s">
        <v>106</v>
      </c>
      <c r="AY400" s="76">
        <v>94709</v>
      </c>
      <c r="AZ400" s="77" t="s">
        <v>2752</v>
      </c>
      <c r="BA400" s="317"/>
    </row>
    <row r="401" spans="1:53" s="251" customFormat="1" ht="14.15" customHeight="1" x14ac:dyDescent="0.4">
      <c r="A401" s="256" t="s">
        <v>2754</v>
      </c>
      <c r="B401" s="67" t="s">
        <v>108</v>
      </c>
      <c r="C401" s="68" t="s">
        <v>109</v>
      </c>
      <c r="D401" s="113" t="s">
        <v>1220</v>
      </c>
      <c r="E401" s="120" t="s">
        <v>100</v>
      </c>
      <c r="F401" s="249" t="s">
        <v>2755</v>
      </c>
      <c r="G401" s="81"/>
      <c r="H401" s="90" t="s">
        <v>100</v>
      </c>
      <c r="I401" s="91"/>
      <c r="J401" s="97"/>
      <c r="K401" s="102"/>
      <c r="L401" s="327"/>
      <c r="M401" s="106">
        <v>43937</v>
      </c>
      <c r="N401" s="113" t="s">
        <v>2756</v>
      </c>
      <c r="O401" s="113" t="s">
        <v>2757</v>
      </c>
      <c r="P401" s="57"/>
      <c r="Q401" s="132">
        <v>0.10249999999999999</v>
      </c>
      <c r="R401" s="132"/>
      <c r="S401" s="63" t="s">
        <v>113</v>
      </c>
      <c r="T401" s="67" t="s">
        <v>2758</v>
      </c>
      <c r="U401" s="67" t="s">
        <v>115</v>
      </c>
      <c r="V401" s="113" t="s">
        <v>106</v>
      </c>
      <c r="W401" s="222">
        <v>94610</v>
      </c>
      <c r="X401" s="147"/>
      <c r="Y401" s="236"/>
      <c r="Z401" s="236"/>
      <c r="AA401" s="200"/>
      <c r="AB401" s="130"/>
      <c r="AC401" s="202"/>
      <c r="AD401" s="200"/>
      <c r="AE401" s="113"/>
      <c r="AF401" s="113"/>
      <c r="AG401" s="113"/>
      <c r="AH401" s="113"/>
      <c r="AI401" s="130"/>
      <c r="AJ401" s="135"/>
      <c r="AK401" s="57"/>
      <c r="AL401" s="290"/>
      <c r="AM401" s="290"/>
      <c r="AN401" s="290"/>
      <c r="AO401" s="290"/>
      <c r="AP401" s="290"/>
      <c r="AQ401" s="290"/>
      <c r="AR401" s="290"/>
      <c r="AS401" s="207" t="s">
        <v>132</v>
      </c>
      <c r="AT401" s="116" t="s">
        <v>1176</v>
      </c>
      <c r="AU401" s="67" t="s">
        <v>2758</v>
      </c>
      <c r="AW401" s="67" t="s">
        <v>115</v>
      </c>
      <c r="AX401" s="113" t="s">
        <v>106</v>
      </c>
      <c r="AY401" s="222">
        <v>94610</v>
      </c>
      <c r="AZ401" s="199" t="s">
        <v>2757</v>
      </c>
      <c r="BA401" s="317"/>
    </row>
    <row r="402" spans="1:53" s="251" customFormat="1" ht="14.15" customHeight="1" x14ac:dyDescent="0.4">
      <c r="A402" s="256" t="s">
        <v>2759</v>
      </c>
      <c r="B402" s="67" t="s">
        <v>98</v>
      </c>
      <c r="C402" s="224" t="s">
        <v>99</v>
      </c>
      <c r="D402" s="113"/>
      <c r="E402" s="120" t="s">
        <v>100</v>
      </c>
      <c r="F402" s="82"/>
      <c r="G402" s="84"/>
      <c r="H402" s="90" t="s">
        <v>100</v>
      </c>
      <c r="I402" s="91"/>
      <c r="J402" s="97"/>
      <c r="K402" s="102">
        <v>43867</v>
      </c>
      <c r="L402" s="327"/>
      <c r="M402" s="106"/>
      <c r="N402" s="113" t="s">
        <v>2760</v>
      </c>
      <c r="O402" s="113" t="s">
        <v>2761</v>
      </c>
      <c r="P402" s="57"/>
      <c r="Q402" s="132">
        <v>0.10249999999999999</v>
      </c>
      <c r="R402" s="132">
        <v>9.5000000000000001E-2</v>
      </c>
      <c r="S402" s="63" t="s">
        <v>113</v>
      </c>
      <c r="T402" s="67" t="s">
        <v>2762</v>
      </c>
      <c r="U402" s="67" t="s">
        <v>641</v>
      </c>
      <c r="V402" s="113" t="s">
        <v>106</v>
      </c>
      <c r="W402" s="222">
        <v>94706</v>
      </c>
      <c r="X402" s="147"/>
      <c r="Y402" s="236"/>
      <c r="Z402" s="236"/>
      <c r="AA402" s="200" t="s">
        <v>2763</v>
      </c>
      <c r="AB402" s="130" t="s">
        <v>2764</v>
      </c>
      <c r="AC402" s="202"/>
      <c r="AD402" s="200"/>
      <c r="AE402" s="113"/>
      <c r="AF402" s="113"/>
      <c r="AG402" s="113"/>
      <c r="AH402" s="113"/>
      <c r="AI402" s="130" t="s">
        <v>2765</v>
      </c>
      <c r="AJ402" s="130" t="s">
        <v>2766</v>
      </c>
      <c r="AK402" s="53" t="s">
        <v>2767</v>
      </c>
      <c r="AL402" s="287" t="s">
        <v>289</v>
      </c>
      <c r="AM402" s="288">
        <v>13305</v>
      </c>
      <c r="AN402" s="288"/>
      <c r="AO402" s="288">
        <v>62245</v>
      </c>
      <c r="AP402" s="288"/>
      <c r="AQ402" s="288"/>
      <c r="AR402" s="288"/>
      <c r="AS402" s="207" t="s">
        <v>132</v>
      </c>
      <c r="AT402" s="116" t="s">
        <v>2768</v>
      </c>
      <c r="AU402" s="67" t="s">
        <v>2762</v>
      </c>
      <c r="AW402" s="67" t="s">
        <v>641</v>
      </c>
      <c r="AX402" s="113" t="s">
        <v>106</v>
      </c>
      <c r="AY402" s="222">
        <v>94706</v>
      </c>
      <c r="AZ402" s="199" t="s">
        <v>2769</v>
      </c>
      <c r="BA402" s="75"/>
    </row>
    <row r="403" spans="1:53" s="251" customFormat="1" ht="14.15" customHeight="1" x14ac:dyDescent="0.4">
      <c r="A403" s="256" t="s">
        <v>2770</v>
      </c>
      <c r="B403" s="67" t="s">
        <v>434</v>
      </c>
      <c r="C403" s="68" t="s">
        <v>99</v>
      </c>
      <c r="D403" s="79"/>
      <c r="E403" s="120" t="s">
        <v>1648</v>
      </c>
      <c r="F403" s="83" t="s">
        <v>174</v>
      </c>
      <c r="G403" s="84"/>
      <c r="H403" s="90" t="s">
        <v>100</v>
      </c>
      <c r="I403" s="91"/>
      <c r="J403" s="97"/>
      <c r="K403" s="102">
        <v>45273</v>
      </c>
      <c r="L403" s="327"/>
      <c r="M403" s="106"/>
      <c r="N403" s="128" t="s">
        <v>815</v>
      </c>
      <c r="O403" s="128" t="s">
        <v>2771</v>
      </c>
      <c r="P403" s="59"/>
      <c r="Q403" s="131">
        <v>9.2499999999999999E-2</v>
      </c>
      <c r="R403" s="131"/>
      <c r="S403" s="63" t="s">
        <v>759</v>
      </c>
      <c r="T403" s="67" t="s">
        <v>2772</v>
      </c>
      <c r="U403" s="67" t="s">
        <v>1596</v>
      </c>
      <c r="V403" s="79" t="s">
        <v>106</v>
      </c>
      <c r="W403" s="76">
        <v>94939</v>
      </c>
      <c r="X403" s="147"/>
      <c r="Y403" s="236"/>
      <c r="Z403" s="234"/>
      <c r="AA403" s="79"/>
      <c r="AB403" s="135"/>
      <c r="AC403" s="136"/>
      <c r="AD403" s="79"/>
      <c r="AE403" s="128"/>
      <c r="AF403" s="128"/>
      <c r="AG403" s="128"/>
      <c r="AH403" s="128"/>
      <c r="AI403" s="135"/>
      <c r="AJ403" s="135"/>
      <c r="AK403" s="58"/>
      <c r="AL403" s="287"/>
      <c r="AM403" s="288"/>
      <c r="AN403" s="288" t="s">
        <v>180</v>
      </c>
      <c r="AO403" s="288"/>
      <c r="AP403" s="288"/>
      <c r="AQ403" s="288"/>
      <c r="AR403" s="288"/>
      <c r="AS403" s="207"/>
      <c r="AT403" s="116"/>
      <c r="AU403" s="67" t="s">
        <v>2772</v>
      </c>
      <c r="AV403" s="66"/>
      <c r="AW403" s="67" t="s">
        <v>1596</v>
      </c>
      <c r="AX403" s="79" t="s">
        <v>106</v>
      </c>
      <c r="AY403" s="76">
        <v>94939</v>
      </c>
      <c r="AZ403" s="77" t="s">
        <v>2771</v>
      </c>
      <c r="BA403" s="75"/>
    </row>
    <row r="404" spans="1:53" s="251" customFormat="1" ht="14.15" customHeight="1" x14ac:dyDescent="0.4">
      <c r="A404" s="256" t="s">
        <v>2773</v>
      </c>
      <c r="B404" s="67" t="s">
        <v>244</v>
      </c>
      <c r="C404" s="224" t="s">
        <v>1412</v>
      </c>
      <c r="D404" s="115"/>
      <c r="E404" s="120" t="s">
        <v>173</v>
      </c>
      <c r="F404" s="83" t="s">
        <v>174</v>
      </c>
      <c r="G404" s="84"/>
      <c r="H404" s="90"/>
      <c r="I404" s="91"/>
      <c r="J404" s="97"/>
      <c r="K404" s="102">
        <v>46009</v>
      </c>
      <c r="L404" s="327"/>
      <c r="M404" s="106"/>
      <c r="N404" s="113" t="s">
        <v>2774</v>
      </c>
      <c r="O404" s="113" t="s">
        <v>2775</v>
      </c>
      <c r="P404" s="57" t="s">
        <v>2776</v>
      </c>
      <c r="Q404" s="132">
        <v>9.2499999999999999E-2</v>
      </c>
      <c r="R404" s="132"/>
      <c r="S404" s="63" t="s">
        <v>420</v>
      </c>
      <c r="T404" s="57" t="s">
        <v>2777</v>
      </c>
      <c r="U404" s="67" t="s">
        <v>420</v>
      </c>
      <c r="V404" s="113" t="s">
        <v>106</v>
      </c>
      <c r="W404" s="222">
        <v>94945</v>
      </c>
      <c r="X404" s="141" t="s">
        <v>2778</v>
      </c>
      <c r="Y404" s="141" t="s">
        <v>2778</v>
      </c>
      <c r="Z404" s="141" t="s">
        <v>2779</v>
      </c>
      <c r="AA404" s="200" t="s">
        <v>2780</v>
      </c>
      <c r="AB404" s="130"/>
      <c r="AC404" s="202"/>
      <c r="AD404" s="200"/>
      <c r="AE404" s="113"/>
      <c r="AF404" s="113"/>
      <c r="AG404" s="113"/>
      <c r="AH404" s="113"/>
      <c r="AI404" s="130"/>
      <c r="AJ404" s="135"/>
      <c r="AK404" s="57"/>
      <c r="AL404" s="287" t="s">
        <v>251</v>
      </c>
      <c r="AM404" s="288">
        <v>13305</v>
      </c>
      <c r="AN404" s="288"/>
      <c r="AO404" s="288"/>
      <c r="AP404" s="288"/>
      <c r="AQ404" s="288"/>
      <c r="AR404" s="288"/>
      <c r="AS404" s="207"/>
      <c r="AT404" s="116"/>
      <c r="AU404" s="67" t="s">
        <v>2777</v>
      </c>
      <c r="AW404" s="67" t="s">
        <v>420</v>
      </c>
      <c r="AX404" s="113" t="s">
        <v>106</v>
      </c>
      <c r="AY404" s="222">
        <v>94945</v>
      </c>
      <c r="AZ404" s="199" t="s">
        <v>2775</v>
      </c>
      <c r="BA404" s="317"/>
    </row>
    <row r="405" spans="1:53" ht="14.15" customHeight="1" x14ac:dyDescent="0.4">
      <c r="A405" s="256" t="s">
        <v>2781</v>
      </c>
      <c r="B405" s="67" t="s">
        <v>2065</v>
      </c>
      <c r="C405" s="310" t="s">
        <v>109</v>
      </c>
      <c r="D405" s="112"/>
      <c r="E405" s="121" t="s">
        <v>100</v>
      </c>
      <c r="F405" s="85"/>
      <c r="G405" s="211"/>
      <c r="H405" s="94" t="s">
        <v>100</v>
      </c>
      <c r="I405" s="95"/>
      <c r="J405" s="99"/>
      <c r="K405" s="103"/>
      <c r="L405" s="330"/>
      <c r="M405" s="107">
        <v>45043</v>
      </c>
      <c r="N405" s="129" t="s">
        <v>2782</v>
      </c>
      <c r="O405" s="129" t="s">
        <v>2783</v>
      </c>
      <c r="P405" s="41" t="s">
        <v>2784</v>
      </c>
      <c r="Q405" s="132">
        <v>9.7500000000000003E-2</v>
      </c>
      <c r="R405" s="132">
        <v>0.09</v>
      </c>
      <c r="S405" s="63" t="s">
        <v>138</v>
      </c>
      <c r="T405" s="41" t="s">
        <v>2785</v>
      </c>
      <c r="U405" s="41" t="s">
        <v>138</v>
      </c>
      <c r="V405" s="129" t="s">
        <v>106</v>
      </c>
      <c r="W405" s="133">
        <v>94520</v>
      </c>
      <c r="X405" s="139" t="s">
        <v>2786</v>
      </c>
      <c r="Y405" s="139" t="s">
        <v>2786</v>
      </c>
      <c r="Z405" s="139" t="s">
        <v>2786</v>
      </c>
      <c r="AA405" s="134"/>
      <c r="AB405" s="133"/>
      <c r="AC405" s="137"/>
      <c r="AD405" s="134"/>
      <c r="AE405" s="133"/>
      <c r="AF405" s="133"/>
      <c r="AG405" s="133"/>
      <c r="AH405" s="133"/>
      <c r="AI405" s="133"/>
      <c r="AK405" s="42"/>
      <c r="AL405" s="324"/>
      <c r="AM405" s="290"/>
      <c r="AN405" s="290"/>
      <c r="AO405" s="290"/>
      <c r="AP405" s="290"/>
      <c r="AQ405" s="290"/>
      <c r="AR405" s="290"/>
      <c r="AS405" s="207" t="s">
        <v>132</v>
      </c>
      <c r="AT405" s="116" t="s">
        <v>532</v>
      </c>
      <c r="AU405" s="41" t="s">
        <v>2785</v>
      </c>
      <c r="AV405" s="40"/>
      <c r="AW405" s="41" t="s">
        <v>138</v>
      </c>
      <c r="AX405" s="129" t="s">
        <v>106</v>
      </c>
      <c r="AY405" s="133">
        <v>94520</v>
      </c>
      <c r="AZ405" s="41" t="s">
        <v>2783</v>
      </c>
      <c r="BA405" s="317"/>
    </row>
    <row r="406" spans="1:53" s="210" customFormat="1" ht="14.15" customHeight="1" x14ac:dyDescent="0.4">
      <c r="A406" s="256" t="s">
        <v>2787</v>
      </c>
      <c r="B406" s="67" t="s">
        <v>2065</v>
      </c>
      <c r="C406" s="310" t="s">
        <v>109</v>
      </c>
      <c r="D406" s="112" t="s">
        <v>2788</v>
      </c>
      <c r="E406" s="121" t="s">
        <v>100</v>
      </c>
      <c r="F406" s="85"/>
      <c r="G406" s="211"/>
      <c r="H406" s="94" t="s">
        <v>100</v>
      </c>
      <c r="I406" s="95"/>
      <c r="J406" s="99"/>
      <c r="K406" s="103"/>
      <c r="L406" s="330"/>
      <c r="M406" s="107">
        <v>44183</v>
      </c>
      <c r="N406" s="129" t="s">
        <v>2782</v>
      </c>
      <c r="O406" s="129" t="s">
        <v>2789</v>
      </c>
      <c r="P406" s="41" t="s">
        <v>2784</v>
      </c>
      <c r="Q406" s="132">
        <v>9.7500000000000003E-2</v>
      </c>
      <c r="R406" s="132">
        <v>0.09</v>
      </c>
      <c r="S406" s="63" t="s">
        <v>138</v>
      </c>
      <c r="T406" s="41" t="s">
        <v>2790</v>
      </c>
      <c r="U406" s="41" t="s">
        <v>138</v>
      </c>
      <c r="V406" s="129" t="s">
        <v>106</v>
      </c>
      <c r="W406" s="133">
        <v>94520</v>
      </c>
      <c r="X406" s="139" t="s">
        <v>2786</v>
      </c>
      <c r="Y406" s="139"/>
      <c r="Z406" s="139" t="s">
        <v>2786</v>
      </c>
      <c r="AA406" s="134" t="s">
        <v>2791</v>
      </c>
      <c r="AB406" s="133"/>
      <c r="AC406" s="137"/>
      <c r="AD406" s="134"/>
      <c r="AE406" s="133"/>
      <c r="AF406" s="133"/>
      <c r="AG406" s="133"/>
      <c r="AH406" s="133"/>
      <c r="AI406" s="133"/>
      <c r="AJ406" s="135"/>
      <c r="AK406" s="42"/>
      <c r="AL406" s="324"/>
      <c r="AM406" s="290"/>
      <c r="AN406" s="290"/>
      <c r="AO406" s="290"/>
      <c r="AP406" s="290"/>
      <c r="AQ406" s="290"/>
      <c r="AR406" s="290"/>
      <c r="AS406" s="207" t="s">
        <v>132</v>
      </c>
      <c r="AT406" s="116" t="s">
        <v>532</v>
      </c>
      <c r="AU406" s="41" t="s">
        <v>2790</v>
      </c>
      <c r="AV406" s="40"/>
      <c r="AW406" s="41" t="s">
        <v>138</v>
      </c>
      <c r="AX406" s="129" t="s">
        <v>106</v>
      </c>
      <c r="AY406" s="133">
        <v>94520</v>
      </c>
      <c r="AZ406" s="41" t="s">
        <v>2789</v>
      </c>
      <c r="BA406" s="317"/>
    </row>
    <row r="407" spans="1:53" ht="14.15" customHeight="1" x14ac:dyDescent="0.4">
      <c r="A407" s="256" t="s">
        <v>2792</v>
      </c>
      <c r="B407" s="67" t="s">
        <v>2065</v>
      </c>
      <c r="C407" s="68" t="s">
        <v>109</v>
      </c>
      <c r="E407" s="120" t="s">
        <v>100</v>
      </c>
      <c r="F407" s="82"/>
      <c r="G407" s="84"/>
      <c r="H407" s="90" t="s">
        <v>100</v>
      </c>
      <c r="I407" s="91"/>
      <c r="J407" s="97"/>
      <c r="K407" s="102"/>
      <c r="L407" s="327"/>
      <c r="M407" s="106">
        <v>45195</v>
      </c>
      <c r="N407" s="128" t="s">
        <v>2793</v>
      </c>
      <c r="Q407" s="131">
        <v>0.1075</v>
      </c>
      <c r="S407" s="63" t="s">
        <v>113</v>
      </c>
      <c r="T407" s="67" t="s">
        <v>2794</v>
      </c>
      <c r="U407" s="67" t="s">
        <v>994</v>
      </c>
      <c r="V407" s="79" t="s">
        <v>106</v>
      </c>
      <c r="W407" s="76">
        <v>94541</v>
      </c>
      <c r="AS407" s="207"/>
    </row>
    <row r="408" spans="1:53" s="210" customFormat="1" ht="14.15" customHeight="1" x14ac:dyDescent="0.4">
      <c r="A408" s="256" t="s">
        <v>2795</v>
      </c>
      <c r="B408" s="67" t="s">
        <v>2065</v>
      </c>
      <c r="C408" s="310" t="s">
        <v>109</v>
      </c>
      <c r="D408" s="112" t="s">
        <v>2712</v>
      </c>
      <c r="E408" s="121" t="s">
        <v>100</v>
      </c>
      <c r="F408" s="85"/>
      <c r="G408" s="211"/>
      <c r="H408" s="94" t="s">
        <v>100</v>
      </c>
      <c r="I408" s="95"/>
      <c r="J408" s="99"/>
      <c r="K408" s="103">
        <v>45163</v>
      </c>
      <c r="L408" s="330"/>
      <c r="M408" s="107">
        <v>45196</v>
      </c>
      <c r="N408" s="129" t="s">
        <v>2796</v>
      </c>
      <c r="O408" s="129" t="s">
        <v>2797</v>
      </c>
      <c r="P408" s="41"/>
      <c r="Q408" s="132">
        <v>9.5000000000000001E-2</v>
      </c>
      <c r="R408" s="132">
        <v>9.2499999999999999E-2</v>
      </c>
      <c r="S408" s="63" t="s">
        <v>1717</v>
      </c>
      <c r="T408" s="41" t="s">
        <v>2798</v>
      </c>
      <c r="U408" s="41" t="s">
        <v>1719</v>
      </c>
      <c r="V408" s="129" t="s">
        <v>106</v>
      </c>
      <c r="W408" s="133">
        <v>94806</v>
      </c>
      <c r="X408" s="139" t="s">
        <v>2786</v>
      </c>
      <c r="Y408" s="139"/>
      <c r="Z408" s="139" t="s">
        <v>2786</v>
      </c>
      <c r="AA408" s="134"/>
      <c r="AB408" s="133"/>
      <c r="AC408" s="137"/>
      <c r="AD408" s="134"/>
      <c r="AE408" s="133"/>
      <c r="AF408" s="133"/>
      <c r="AG408" s="133"/>
      <c r="AH408" s="133"/>
      <c r="AI408" s="133"/>
      <c r="AJ408" s="135"/>
      <c r="AK408" s="42"/>
      <c r="AL408" s="290"/>
      <c r="AM408" s="290"/>
      <c r="AN408" s="290"/>
      <c r="AO408" s="290"/>
      <c r="AP408" s="290"/>
      <c r="AQ408" s="290"/>
      <c r="AR408" s="290"/>
      <c r="AS408" s="207" t="s">
        <v>132</v>
      </c>
      <c r="AT408" s="116" t="s">
        <v>532</v>
      </c>
      <c r="AU408" s="41" t="s">
        <v>2798</v>
      </c>
      <c r="AV408" s="40"/>
      <c r="AW408" s="41" t="s">
        <v>1719</v>
      </c>
      <c r="AX408" s="129" t="s">
        <v>106</v>
      </c>
      <c r="AY408" s="133">
        <v>94806</v>
      </c>
      <c r="AZ408" s="41" t="s">
        <v>2797</v>
      </c>
      <c r="BA408" s="317"/>
    </row>
    <row r="409" spans="1:53" s="251" customFormat="1" ht="14.15" customHeight="1" x14ac:dyDescent="0.4">
      <c r="A409" s="256" t="s">
        <v>2799</v>
      </c>
      <c r="B409" s="67" t="s">
        <v>98</v>
      </c>
      <c r="C409" s="224" t="s">
        <v>99</v>
      </c>
      <c r="D409" s="115"/>
      <c r="E409" s="120" t="s">
        <v>100</v>
      </c>
      <c r="F409" s="82"/>
      <c r="G409" s="84"/>
      <c r="H409" s="90" t="s">
        <v>100</v>
      </c>
      <c r="I409" s="91"/>
      <c r="J409" s="97"/>
      <c r="K409" s="102">
        <v>44089</v>
      </c>
      <c r="L409" s="327"/>
      <c r="M409" s="106"/>
      <c r="N409" s="113" t="s">
        <v>1578</v>
      </c>
      <c r="O409" s="113" t="s">
        <v>2800</v>
      </c>
      <c r="P409" s="57"/>
      <c r="Q409" s="132">
        <v>0.10249999999999999</v>
      </c>
      <c r="R409" s="132"/>
      <c r="S409" s="63" t="s">
        <v>6341</v>
      </c>
      <c r="T409" s="67" t="s">
        <v>2801</v>
      </c>
      <c r="U409" s="67" t="s">
        <v>869</v>
      </c>
      <c r="V409" s="113" t="s">
        <v>106</v>
      </c>
      <c r="W409" s="222">
        <v>95476</v>
      </c>
      <c r="X409" s="141" t="s">
        <v>2802</v>
      </c>
      <c r="Y409" s="141" t="s">
        <v>2803</v>
      </c>
      <c r="Z409" s="236"/>
      <c r="AA409" s="200"/>
      <c r="AB409" s="130"/>
      <c r="AC409" s="202"/>
      <c r="AD409" s="200"/>
      <c r="AE409" s="113"/>
      <c r="AF409" s="113"/>
      <c r="AG409" s="113"/>
      <c r="AH409" s="113"/>
      <c r="AI409" s="130"/>
      <c r="AJ409" s="135"/>
      <c r="AK409" s="57"/>
      <c r="AL409" s="287" t="s">
        <v>149</v>
      </c>
      <c r="AM409" s="288">
        <v>13305</v>
      </c>
      <c r="AN409" s="288" t="s">
        <v>290</v>
      </c>
      <c r="AO409" s="288"/>
      <c r="AP409" s="288"/>
      <c r="AQ409" s="288"/>
      <c r="AR409" s="288"/>
      <c r="AS409" s="207"/>
      <c r="AT409" s="116"/>
      <c r="AU409" s="67" t="s">
        <v>2801</v>
      </c>
      <c r="AW409" s="67" t="s">
        <v>869</v>
      </c>
      <c r="AX409" s="113" t="s">
        <v>106</v>
      </c>
      <c r="AY409" s="222">
        <v>95476</v>
      </c>
      <c r="AZ409" s="199" t="s">
        <v>2800</v>
      </c>
      <c r="BA409" s="317"/>
    </row>
    <row r="410" spans="1:53" s="251" customFormat="1" ht="14.15" customHeight="1" x14ac:dyDescent="0.4">
      <c r="A410" s="256" t="s">
        <v>2804</v>
      </c>
      <c r="B410" s="67" t="s">
        <v>1637</v>
      </c>
      <c r="C410" s="224" t="s">
        <v>781</v>
      </c>
      <c r="D410" s="115"/>
      <c r="E410" s="120" t="s">
        <v>100</v>
      </c>
      <c r="F410" s="82"/>
      <c r="G410" s="84"/>
      <c r="H410" s="90" t="s">
        <v>100</v>
      </c>
      <c r="I410" s="91"/>
      <c r="J410" s="97"/>
      <c r="K410" s="102"/>
      <c r="L410" s="327"/>
      <c r="M410" s="106">
        <v>44615</v>
      </c>
      <c r="N410" s="113" t="s">
        <v>2805</v>
      </c>
      <c r="O410" s="113" t="s">
        <v>2806</v>
      </c>
      <c r="P410" s="57"/>
      <c r="Q410" s="132">
        <v>9.375E-2</v>
      </c>
      <c r="R410" s="132"/>
      <c r="S410" s="63" t="s">
        <v>177</v>
      </c>
      <c r="T410" s="67" t="s">
        <v>2807</v>
      </c>
      <c r="U410" s="67" t="s">
        <v>148</v>
      </c>
      <c r="V410" s="113" t="s">
        <v>106</v>
      </c>
      <c r="W410" s="222">
        <v>95128</v>
      </c>
      <c r="X410" s="139" t="s">
        <v>2808</v>
      </c>
      <c r="Y410" s="139" t="s">
        <v>2808</v>
      </c>
      <c r="Z410" s="236"/>
      <c r="AA410" s="200"/>
      <c r="AB410" s="130"/>
      <c r="AC410" s="202"/>
      <c r="AD410" s="200"/>
      <c r="AE410" s="113"/>
      <c r="AF410" s="113"/>
      <c r="AG410" s="113"/>
      <c r="AH410" s="113"/>
      <c r="AI410" s="130"/>
      <c r="AJ410" s="135"/>
      <c r="AK410" s="57"/>
      <c r="AL410" s="287"/>
      <c r="AM410" s="288"/>
      <c r="AN410" s="288"/>
      <c r="AO410" s="288"/>
      <c r="AP410" s="288"/>
      <c r="AQ410" s="288"/>
      <c r="AR410" s="288"/>
      <c r="AS410" s="207"/>
      <c r="AT410" s="116" t="s">
        <v>2809</v>
      </c>
      <c r="AU410" s="67" t="s">
        <v>2810</v>
      </c>
      <c r="AW410" s="67" t="s">
        <v>148</v>
      </c>
      <c r="AX410" s="113" t="s">
        <v>106</v>
      </c>
      <c r="AY410" s="222">
        <v>95128</v>
      </c>
      <c r="AZ410" s="199" t="s">
        <v>2806</v>
      </c>
      <c r="BA410" s="317"/>
    </row>
    <row r="411" spans="1:53" s="251" customFormat="1" ht="14.15" customHeight="1" x14ac:dyDescent="0.4">
      <c r="A411" s="256" t="s">
        <v>2811</v>
      </c>
      <c r="B411" s="67" t="s">
        <v>269</v>
      </c>
      <c r="C411" s="224" t="s">
        <v>1076</v>
      </c>
      <c r="D411" s="113" t="s">
        <v>2812</v>
      </c>
      <c r="E411" s="120" t="s">
        <v>100</v>
      </c>
      <c r="F411" s="82"/>
      <c r="G411" s="84"/>
      <c r="H411" s="90" t="s">
        <v>100</v>
      </c>
      <c r="I411" s="91"/>
      <c r="J411" s="97"/>
      <c r="K411" s="102">
        <v>45776</v>
      </c>
      <c r="L411" s="327"/>
      <c r="M411" s="106">
        <v>45523</v>
      </c>
      <c r="N411" s="113" t="s">
        <v>2813</v>
      </c>
      <c r="O411" s="113" t="s">
        <v>2814</v>
      </c>
      <c r="P411" s="57"/>
      <c r="Q411" s="132">
        <v>9.2499999999999999E-2</v>
      </c>
      <c r="R411" s="132">
        <v>9.2499999999999999E-2</v>
      </c>
      <c r="S411" s="63" t="s">
        <v>226</v>
      </c>
      <c r="T411" s="67" t="s">
        <v>2815</v>
      </c>
      <c r="U411" s="67" t="s">
        <v>228</v>
      </c>
      <c r="V411" s="113" t="s">
        <v>106</v>
      </c>
      <c r="W411" s="222">
        <v>94901</v>
      </c>
      <c r="X411" s="147"/>
      <c r="Y411" s="236"/>
      <c r="Z411" s="236"/>
      <c r="AA411" s="200" t="s">
        <v>2816</v>
      </c>
      <c r="AB411" s="130"/>
      <c r="AC411" s="202"/>
      <c r="AD411" s="200"/>
      <c r="AE411" s="113"/>
      <c r="AF411" s="113"/>
      <c r="AG411" s="113"/>
      <c r="AH411" s="113"/>
      <c r="AI411" s="130" t="s">
        <v>2817</v>
      </c>
      <c r="AJ411" s="135" t="s">
        <v>116</v>
      </c>
      <c r="AK411" s="57"/>
      <c r="AL411" s="289" t="s">
        <v>289</v>
      </c>
      <c r="AM411" s="289">
        <v>13305</v>
      </c>
      <c r="AN411" s="289">
        <v>15741</v>
      </c>
      <c r="AO411" s="289">
        <v>62245</v>
      </c>
      <c r="AP411" s="289"/>
      <c r="AQ411" s="289"/>
      <c r="AR411" s="289"/>
      <c r="AS411" s="207" t="s">
        <v>132</v>
      </c>
      <c r="AT411" s="116" t="s">
        <v>532</v>
      </c>
      <c r="AU411" s="67" t="s">
        <v>2815</v>
      </c>
      <c r="AV411" s="251" t="s">
        <v>2818</v>
      </c>
      <c r="AW411" s="67" t="s">
        <v>228</v>
      </c>
      <c r="AX411" s="113" t="s">
        <v>106</v>
      </c>
      <c r="AY411" s="222">
        <v>94901</v>
      </c>
      <c r="AZ411" s="199" t="s">
        <v>2814</v>
      </c>
      <c r="BA411" s="207"/>
    </row>
    <row r="412" spans="1:53" s="251" customFormat="1" ht="14.15" customHeight="1" x14ac:dyDescent="0.4">
      <c r="A412" s="256" t="s">
        <v>2819</v>
      </c>
      <c r="B412" s="67" t="s">
        <v>253</v>
      </c>
      <c r="C412" s="224" t="s">
        <v>99</v>
      </c>
      <c r="D412" s="115"/>
      <c r="E412" s="120" t="s">
        <v>1166</v>
      </c>
      <c r="F412" s="82" t="s">
        <v>174</v>
      </c>
      <c r="G412" s="84"/>
      <c r="H412" s="90" t="s">
        <v>253</v>
      </c>
      <c r="I412" s="91"/>
      <c r="J412" s="97"/>
      <c r="K412" s="102">
        <v>44966</v>
      </c>
      <c r="L412" s="327"/>
      <c r="M412" s="106"/>
      <c r="N412" s="113" t="s">
        <v>2820</v>
      </c>
      <c r="O412" s="113" t="s">
        <v>2821</v>
      </c>
      <c r="P412" s="57"/>
      <c r="Q412" s="132">
        <v>9.6250000000000002E-2</v>
      </c>
      <c r="R412" s="132"/>
      <c r="S412" s="63" t="s">
        <v>280</v>
      </c>
      <c r="T412" s="67" t="s">
        <v>2822</v>
      </c>
      <c r="U412" s="67" t="s">
        <v>282</v>
      </c>
      <c r="V412" s="113" t="s">
        <v>106</v>
      </c>
      <c r="W412" s="222">
        <v>94010</v>
      </c>
      <c r="X412" s="141"/>
      <c r="Y412" s="236"/>
      <c r="Z412" s="236"/>
      <c r="AA412" s="200"/>
      <c r="AB412" s="130"/>
      <c r="AC412" s="202"/>
      <c r="AD412" s="200"/>
      <c r="AE412" s="113"/>
      <c r="AF412" s="113"/>
      <c r="AG412" s="113"/>
      <c r="AH412" s="113"/>
      <c r="AI412" s="130"/>
      <c r="AJ412" s="135"/>
      <c r="AK412" s="57"/>
      <c r="AL412" s="287" t="s">
        <v>251</v>
      </c>
      <c r="AM412" s="288"/>
      <c r="AN412" s="288"/>
      <c r="AO412" s="288"/>
      <c r="AP412" s="288"/>
      <c r="AQ412" s="288"/>
      <c r="AR412" s="288"/>
      <c r="AS412" s="207"/>
      <c r="AT412" s="116" t="s">
        <v>258</v>
      </c>
      <c r="AU412" s="67" t="s">
        <v>2822</v>
      </c>
      <c r="AW412" s="67" t="s">
        <v>2823</v>
      </c>
      <c r="AX412" s="113" t="s">
        <v>106</v>
      </c>
      <c r="AY412" s="222">
        <v>94010</v>
      </c>
      <c r="AZ412" s="199" t="s">
        <v>2821</v>
      </c>
      <c r="BA412" s="317"/>
    </row>
    <row r="413" spans="1:53" s="251" customFormat="1" ht="14.15" customHeight="1" x14ac:dyDescent="0.4">
      <c r="A413" s="256" t="s">
        <v>2824</v>
      </c>
      <c r="B413" s="67" t="s">
        <v>98</v>
      </c>
      <c r="C413" s="224" t="s">
        <v>99</v>
      </c>
      <c r="D413" s="113"/>
      <c r="E413" s="120" t="s">
        <v>100</v>
      </c>
      <c r="F413" s="82"/>
      <c r="G413" s="84"/>
      <c r="H413" s="90" t="s">
        <v>100</v>
      </c>
      <c r="I413" s="91"/>
      <c r="J413" s="97"/>
      <c r="K413" s="102">
        <v>45776</v>
      </c>
      <c r="L413" s="327"/>
      <c r="M413" s="106"/>
      <c r="N413" s="113" t="s">
        <v>2825</v>
      </c>
      <c r="O413" s="113" t="s">
        <v>2826</v>
      </c>
      <c r="P413" s="57"/>
      <c r="Q413" s="132">
        <v>8.6249999999999993E-2</v>
      </c>
      <c r="R413" s="132"/>
      <c r="S413" s="63" t="s">
        <v>103</v>
      </c>
      <c r="T413" s="67" t="s">
        <v>2827</v>
      </c>
      <c r="U413" s="67" t="s">
        <v>105</v>
      </c>
      <c r="V413" s="113" t="s">
        <v>106</v>
      </c>
      <c r="W413" s="222">
        <v>94111</v>
      </c>
      <c r="X413" s="141"/>
      <c r="Y413" s="141" t="s">
        <v>6339</v>
      </c>
      <c r="Z413" s="141"/>
      <c r="AA413" s="200"/>
      <c r="AB413" s="130"/>
      <c r="AC413" s="202"/>
      <c r="AD413" s="200"/>
      <c r="AE413" s="113"/>
      <c r="AF413" s="113"/>
      <c r="AG413" s="113"/>
      <c r="AH413" s="113"/>
      <c r="AI413" s="130"/>
      <c r="AJ413" s="135"/>
      <c r="AK413" s="57"/>
      <c r="AL413" s="290" t="s">
        <v>251</v>
      </c>
      <c r="AM413" s="290"/>
      <c r="AN413" s="290"/>
      <c r="AO413" s="290"/>
      <c r="AP413" s="290"/>
      <c r="AQ413" s="290"/>
      <c r="AR413" s="290"/>
      <c r="AS413" s="207"/>
      <c r="AT413" s="116" t="s">
        <v>116</v>
      </c>
      <c r="AU413" s="67" t="s">
        <v>2828</v>
      </c>
      <c r="AW413" s="67" t="s">
        <v>105</v>
      </c>
      <c r="AX413" s="113" t="s">
        <v>106</v>
      </c>
      <c r="AY413" s="222">
        <v>94111</v>
      </c>
      <c r="AZ413" s="199" t="s">
        <v>2829</v>
      </c>
      <c r="BA413" s="317"/>
    </row>
    <row r="414" spans="1:53" s="251" customFormat="1" ht="14.15" customHeight="1" x14ac:dyDescent="0.4">
      <c r="A414" s="256" t="s">
        <v>2830</v>
      </c>
      <c r="B414" s="67" t="s">
        <v>269</v>
      </c>
      <c r="C414" s="224" t="s">
        <v>1076</v>
      </c>
      <c r="D414" s="115" t="s">
        <v>2831</v>
      </c>
      <c r="E414" s="120" t="s">
        <v>100</v>
      </c>
      <c r="F414" s="80"/>
      <c r="G414" s="84"/>
      <c r="H414" s="90" t="s">
        <v>100</v>
      </c>
      <c r="I414" s="86"/>
      <c r="J414" s="97"/>
      <c r="K414" s="102">
        <v>44703</v>
      </c>
      <c r="L414" s="327"/>
      <c r="M414" s="106">
        <v>45195</v>
      </c>
      <c r="N414" s="113" t="s">
        <v>1877</v>
      </c>
      <c r="O414" s="113" t="s">
        <v>2832</v>
      </c>
      <c r="P414" s="57"/>
      <c r="Q414" s="132">
        <v>8.6249999999999993E-2</v>
      </c>
      <c r="R414" s="132"/>
      <c r="S414" s="63" t="s">
        <v>103</v>
      </c>
      <c r="T414" s="67" t="s">
        <v>2833</v>
      </c>
      <c r="U414" s="67" t="s">
        <v>105</v>
      </c>
      <c r="V414" s="113" t="s">
        <v>106</v>
      </c>
      <c r="W414" s="222">
        <v>94133</v>
      </c>
      <c r="X414" s="139" t="s">
        <v>2834</v>
      </c>
      <c r="Y414" s="139" t="s">
        <v>2834</v>
      </c>
      <c r="Z414" s="139" t="s">
        <v>2834</v>
      </c>
      <c r="AA414" s="200"/>
      <c r="AB414" s="130"/>
      <c r="AC414" s="202"/>
      <c r="AD414" s="200"/>
      <c r="AE414" s="113"/>
      <c r="AF414" s="113"/>
      <c r="AG414" s="113"/>
      <c r="AH414" s="113"/>
      <c r="AI414" s="130"/>
      <c r="AJ414" s="135"/>
      <c r="AK414" s="57"/>
      <c r="AL414" s="287"/>
      <c r="AM414" s="288"/>
      <c r="AN414" s="288"/>
      <c r="AO414" s="288"/>
      <c r="AP414" s="288"/>
      <c r="AQ414" s="288"/>
      <c r="AR414" s="288"/>
      <c r="AS414" s="207"/>
      <c r="AT414" s="116"/>
      <c r="AU414" s="67" t="s">
        <v>2833</v>
      </c>
      <c r="AW414" s="67" t="s">
        <v>105</v>
      </c>
      <c r="AX414" s="113" t="s">
        <v>106</v>
      </c>
      <c r="AY414" s="222">
        <v>94133</v>
      </c>
      <c r="AZ414" s="199"/>
      <c r="BA414" s="317"/>
    </row>
    <row r="415" spans="1:53" s="251" customFormat="1" ht="14.15" customHeight="1" x14ac:dyDescent="0.4">
      <c r="A415" s="256" t="s">
        <v>2835</v>
      </c>
      <c r="B415" s="67" t="s">
        <v>98</v>
      </c>
      <c r="C415" s="224" t="s">
        <v>563</v>
      </c>
      <c r="D415" s="113"/>
      <c r="E415" s="120" t="s">
        <v>100</v>
      </c>
      <c r="F415" s="82"/>
      <c r="G415" s="84"/>
      <c r="H415" s="90" t="s">
        <v>100</v>
      </c>
      <c r="I415" s="91"/>
      <c r="J415" s="97"/>
      <c r="K415" s="102">
        <v>46006</v>
      </c>
      <c r="L415" s="327"/>
      <c r="M415" s="106"/>
      <c r="N415" s="113" t="s">
        <v>2836</v>
      </c>
      <c r="O415" s="113" t="s">
        <v>2837</v>
      </c>
      <c r="P415" s="57"/>
      <c r="Q415" s="132">
        <v>9.2499999999999999E-2</v>
      </c>
      <c r="R415" s="132"/>
      <c r="S415" s="63" t="s">
        <v>1594</v>
      </c>
      <c r="T415" s="67" t="s">
        <v>2838</v>
      </c>
      <c r="U415" s="67" t="s">
        <v>1596</v>
      </c>
      <c r="V415" s="113" t="s">
        <v>106</v>
      </c>
      <c r="W415" s="222">
        <v>94939</v>
      </c>
      <c r="X415" s="141" t="s">
        <v>2839</v>
      </c>
      <c r="Y415" s="139" t="s">
        <v>6426</v>
      </c>
      <c r="Z415" s="236"/>
      <c r="AA415" s="200"/>
      <c r="AB415" s="130"/>
      <c r="AC415" s="202"/>
      <c r="AD415" s="200"/>
      <c r="AE415" s="113"/>
      <c r="AF415" s="113"/>
      <c r="AG415" s="113"/>
      <c r="AH415" s="113"/>
      <c r="AI415" s="130"/>
      <c r="AJ415" s="135"/>
      <c r="AK415" s="57"/>
      <c r="AL415" s="289" t="s">
        <v>289</v>
      </c>
      <c r="AM415" s="289">
        <v>13305</v>
      </c>
      <c r="AN415" s="289" t="s">
        <v>290</v>
      </c>
      <c r="AO415" s="289">
        <v>62245</v>
      </c>
      <c r="AP415" s="289"/>
      <c r="AQ415" s="289" t="s">
        <v>2840</v>
      </c>
      <c r="AR415" s="289"/>
      <c r="AS415" s="207" t="s">
        <v>132</v>
      </c>
      <c r="AT415" s="116" t="s">
        <v>670</v>
      </c>
      <c r="AU415" s="67" t="s">
        <v>2838</v>
      </c>
      <c r="AW415" s="67" t="s">
        <v>1596</v>
      </c>
      <c r="AX415" s="113" t="s">
        <v>106</v>
      </c>
      <c r="AY415" s="222">
        <v>94939</v>
      </c>
      <c r="AZ415" s="199" t="s">
        <v>2837</v>
      </c>
      <c r="BA415" s="207"/>
    </row>
    <row r="416" spans="1:53" s="251" customFormat="1" ht="14.15" customHeight="1" x14ac:dyDescent="0.4">
      <c r="A416" s="256" t="s">
        <v>2841</v>
      </c>
      <c r="B416" s="67" t="s">
        <v>98</v>
      </c>
      <c r="C416" s="68" t="s">
        <v>99</v>
      </c>
      <c r="D416" s="79"/>
      <c r="E416" s="120" t="s">
        <v>173</v>
      </c>
      <c r="F416" s="82" t="s">
        <v>174</v>
      </c>
      <c r="G416" s="84"/>
      <c r="H416" s="90"/>
      <c r="I416" s="91"/>
      <c r="J416" s="97"/>
      <c r="K416" s="102">
        <v>45947</v>
      </c>
      <c r="L416" s="327"/>
      <c r="M416" s="106"/>
      <c r="N416" s="128" t="s">
        <v>2135</v>
      </c>
      <c r="O416" s="128" t="s">
        <v>2842</v>
      </c>
      <c r="P416" s="59"/>
      <c r="Q416" s="131">
        <v>8.6300000000000002E-2</v>
      </c>
      <c r="R416" s="131"/>
      <c r="S416" s="63" t="s">
        <v>103</v>
      </c>
      <c r="T416" s="67" t="s">
        <v>2843</v>
      </c>
      <c r="U416" s="67" t="s">
        <v>105</v>
      </c>
      <c r="V416" s="79" t="s">
        <v>106</v>
      </c>
      <c r="W416" s="76">
        <v>94123</v>
      </c>
      <c r="X416" s="141" t="s">
        <v>2844</v>
      </c>
      <c r="Y416" s="236"/>
      <c r="Z416" s="234"/>
      <c r="AA416" s="79"/>
      <c r="AB416" s="135"/>
      <c r="AC416" s="136"/>
      <c r="AD416" s="79"/>
      <c r="AE416" s="128"/>
      <c r="AF416" s="128"/>
      <c r="AG416" s="128"/>
      <c r="AH416" s="128"/>
      <c r="AI416" s="135"/>
      <c r="AJ416" s="135"/>
      <c r="AK416" s="58"/>
      <c r="AL416" s="287" t="s">
        <v>251</v>
      </c>
      <c r="AM416" s="288">
        <v>13305</v>
      </c>
      <c r="AN416" s="288"/>
      <c r="AO416" s="288">
        <v>62245</v>
      </c>
      <c r="AP416" s="288"/>
      <c r="AQ416" s="288"/>
      <c r="AR416" s="288"/>
      <c r="AS416" s="207"/>
      <c r="AT416" s="116"/>
      <c r="AU416" s="67" t="s">
        <v>2845</v>
      </c>
      <c r="AV416" s="66"/>
      <c r="AW416" s="67" t="s">
        <v>2846</v>
      </c>
      <c r="AX416" s="79" t="s">
        <v>106</v>
      </c>
      <c r="AY416" s="76">
        <v>94549</v>
      </c>
      <c r="AZ416" s="77"/>
      <c r="BA416" s="75"/>
    </row>
    <row r="417" spans="1:53" s="251" customFormat="1" ht="14.15" customHeight="1" x14ac:dyDescent="0.4">
      <c r="A417" s="256" t="s">
        <v>2847</v>
      </c>
      <c r="B417" s="67" t="s">
        <v>98</v>
      </c>
      <c r="C417" s="224" t="s">
        <v>99</v>
      </c>
      <c r="D417" s="113" t="s">
        <v>2848</v>
      </c>
      <c r="E417" s="120" t="s">
        <v>100</v>
      </c>
      <c r="F417" s="83"/>
      <c r="G417" s="84"/>
      <c r="H417" s="90" t="s">
        <v>100</v>
      </c>
      <c r="I417" s="86"/>
      <c r="J417" s="97"/>
      <c r="K417" s="102">
        <v>45849</v>
      </c>
      <c r="L417" s="327"/>
      <c r="M417" s="106"/>
      <c r="N417" s="113" t="s">
        <v>2624</v>
      </c>
      <c r="O417" s="113" t="s">
        <v>2849</v>
      </c>
      <c r="P417" s="57" t="s">
        <v>2850</v>
      </c>
      <c r="Q417" s="132">
        <v>9.2499999999999999E-2</v>
      </c>
      <c r="R417" s="132">
        <v>0.09</v>
      </c>
      <c r="S417" s="63" t="s">
        <v>759</v>
      </c>
      <c r="T417" s="67" t="s">
        <v>2851</v>
      </c>
      <c r="U417" s="67" t="s">
        <v>823</v>
      </c>
      <c r="V417" s="113" t="s">
        <v>106</v>
      </c>
      <c r="W417" s="222">
        <v>94941</v>
      </c>
      <c r="X417" s="141" t="s">
        <v>2852</v>
      </c>
      <c r="Y417" s="236"/>
      <c r="Z417" s="236"/>
      <c r="AA417" s="200"/>
      <c r="AB417" s="130"/>
      <c r="AC417" s="202"/>
      <c r="AD417" s="200"/>
      <c r="AE417" s="113"/>
      <c r="AF417" s="113"/>
      <c r="AG417" s="113"/>
      <c r="AH417" s="113"/>
      <c r="AI417" s="130"/>
      <c r="AJ417" s="135"/>
      <c r="AK417" s="57"/>
      <c r="AL417" s="289" t="s">
        <v>289</v>
      </c>
      <c r="AM417" s="289"/>
      <c r="AN417" s="289" t="s">
        <v>290</v>
      </c>
      <c r="AO417" s="289">
        <v>67240</v>
      </c>
      <c r="AP417" s="289"/>
      <c r="AQ417" s="289"/>
      <c r="AR417" s="289"/>
      <c r="AS417" s="207" t="s">
        <v>132</v>
      </c>
      <c r="AT417" s="116" t="s">
        <v>670</v>
      </c>
      <c r="AU417" s="67" t="s">
        <v>2851</v>
      </c>
      <c r="AW417" s="67" t="s">
        <v>823</v>
      </c>
      <c r="AX417" s="113" t="s">
        <v>106</v>
      </c>
      <c r="AY417" s="222">
        <v>94941</v>
      </c>
      <c r="AZ417" s="199" t="s">
        <v>2849</v>
      </c>
      <c r="BA417" s="207"/>
    </row>
    <row r="418" spans="1:53" s="251" customFormat="1" ht="14.15" customHeight="1" x14ac:dyDescent="0.4">
      <c r="A418" s="256" t="s">
        <v>2853</v>
      </c>
      <c r="B418" s="67" t="s">
        <v>98</v>
      </c>
      <c r="C418" s="224" t="s">
        <v>99</v>
      </c>
      <c r="D418" s="113" t="s">
        <v>2848</v>
      </c>
      <c r="E418" s="120" t="s">
        <v>100</v>
      </c>
      <c r="F418" s="83"/>
      <c r="G418" s="84"/>
      <c r="H418" s="90" t="s">
        <v>100</v>
      </c>
      <c r="I418" s="86"/>
      <c r="J418" s="97"/>
      <c r="K418" s="102">
        <v>43873</v>
      </c>
      <c r="L418" s="327"/>
      <c r="M418" s="106"/>
      <c r="N418" s="113" t="s">
        <v>2854</v>
      </c>
      <c r="O418" s="113" t="s">
        <v>2855</v>
      </c>
      <c r="P418" s="57" t="s">
        <v>2856</v>
      </c>
      <c r="Q418" s="132">
        <v>0.09</v>
      </c>
      <c r="R418" s="132">
        <v>0.09</v>
      </c>
      <c r="S418" s="63" t="s">
        <v>734</v>
      </c>
      <c r="T418" s="67" t="s">
        <v>2857</v>
      </c>
      <c r="U418" s="67" t="s">
        <v>701</v>
      </c>
      <c r="V418" s="113" t="s">
        <v>106</v>
      </c>
      <c r="W418" s="222">
        <v>94925</v>
      </c>
      <c r="X418" s="141" t="s">
        <v>2858</v>
      </c>
      <c r="Y418" s="236"/>
      <c r="Z418" s="236"/>
      <c r="AA418" s="200"/>
      <c r="AB418" s="130"/>
      <c r="AC418" s="202"/>
      <c r="AD418" s="200"/>
      <c r="AE418" s="113"/>
      <c r="AF418" s="113"/>
      <c r="AG418" s="113"/>
      <c r="AH418" s="113"/>
      <c r="AI418" s="130" t="s">
        <v>0</v>
      </c>
      <c r="AJ418" s="135" t="s">
        <v>116</v>
      </c>
      <c r="AK418" s="57"/>
      <c r="AL418" s="289" t="s">
        <v>289</v>
      </c>
      <c r="AM418" s="289">
        <v>13305</v>
      </c>
      <c r="AN418" s="289"/>
      <c r="AO418" s="289">
        <v>67240</v>
      </c>
      <c r="AP418" s="289"/>
      <c r="AQ418" s="289"/>
      <c r="AR418" s="289"/>
      <c r="AS418" s="207" t="s">
        <v>132</v>
      </c>
      <c r="AT418" s="116" t="s">
        <v>670</v>
      </c>
      <c r="AU418" s="67" t="s">
        <v>2857</v>
      </c>
      <c r="AW418" s="67" t="s">
        <v>701</v>
      </c>
      <c r="AX418" s="113" t="s">
        <v>106</v>
      </c>
      <c r="AY418" s="222">
        <v>94925</v>
      </c>
      <c r="AZ418" s="199" t="s">
        <v>2855</v>
      </c>
      <c r="BA418" s="207"/>
    </row>
    <row r="419" spans="1:53" s="251" customFormat="1" ht="14.15" customHeight="1" x14ac:dyDescent="0.4">
      <c r="A419" s="256" t="s">
        <v>2859</v>
      </c>
      <c r="B419" s="67" t="s">
        <v>98</v>
      </c>
      <c r="C419" s="224" t="s">
        <v>99</v>
      </c>
      <c r="D419" s="113" t="s">
        <v>2848</v>
      </c>
      <c r="E419" s="120" t="s">
        <v>100</v>
      </c>
      <c r="F419" s="83"/>
      <c r="G419" s="84"/>
      <c r="H419" s="90" t="s">
        <v>100</v>
      </c>
      <c r="I419" s="86"/>
      <c r="J419" s="97"/>
      <c r="K419" s="102">
        <v>45737</v>
      </c>
      <c r="L419" s="327"/>
      <c r="M419" s="106">
        <v>44341</v>
      </c>
      <c r="N419" s="113" t="s">
        <v>2854</v>
      </c>
      <c r="O419" s="113" t="s">
        <v>2860</v>
      </c>
      <c r="P419" s="57" t="s">
        <v>2861</v>
      </c>
      <c r="Q419" s="132">
        <v>9.2499999999999999E-2</v>
      </c>
      <c r="R419" s="132">
        <v>0.09</v>
      </c>
      <c r="S419" s="63" t="s">
        <v>507</v>
      </c>
      <c r="T419" s="67" t="s">
        <v>2862</v>
      </c>
      <c r="U419" s="67" t="s">
        <v>509</v>
      </c>
      <c r="V419" s="113" t="s">
        <v>106</v>
      </c>
      <c r="W419" s="222">
        <v>94965</v>
      </c>
      <c r="X419" s="141" t="s">
        <v>2858</v>
      </c>
      <c r="Y419" s="236"/>
      <c r="Z419" s="236"/>
      <c r="AA419" s="200" t="s">
        <v>2863</v>
      </c>
      <c r="AB419" s="130"/>
      <c r="AC419" s="202"/>
      <c r="AD419" s="200"/>
      <c r="AE419" s="113"/>
      <c r="AF419" s="113"/>
      <c r="AG419" s="113"/>
      <c r="AH419" s="113"/>
      <c r="AI419" s="130" t="s">
        <v>2864</v>
      </c>
      <c r="AJ419" s="135" t="s">
        <v>116</v>
      </c>
      <c r="AK419" s="57"/>
      <c r="AL419" s="289" t="s">
        <v>149</v>
      </c>
      <c r="AM419" s="289">
        <v>13305</v>
      </c>
      <c r="AN419" s="289"/>
      <c r="AO419" s="289">
        <v>62245</v>
      </c>
      <c r="AP419" s="289"/>
      <c r="AQ419" s="289"/>
      <c r="AR419" s="289"/>
      <c r="AS419" s="207" t="s">
        <v>132</v>
      </c>
      <c r="AT419" s="116" t="s">
        <v>670</v>
      </c>
      <c r="AU419" s="67" t="s">
        <v>2862</v>
      </c>
      <c r="AW419" s="67" t="s">
        <v>509</v>
      </c>
      <c r="AX419" s="113" t="s">
        <v>106</v>
      </c>
      <c r="AY419" s="222">
        <v>94965</v>
      </c>
      <c r="AZ419" s="199" t="s">
        <v>2860</v>
      </c>
      <c r="BA419" s="207"/>
    </row>
    <row r="420" spans="1:53" s="251" customFormat="1" ht="14.15" customHeight="1" x14ac:dyDescent="0.4">
      <c r="A420" s="256" t="s">
        <v>2865</v>
      </c>
      <c r="B420" s="67" t="s">
        <v>125</v>
      </c>
      <c r="C420" s="224" t="s">
        <v>99</v>
      </c>
      <c r="D420" s="113" t="s">
        <v>2866</v>
      </c>
      <c r="E420" s="120" t="s">
        <v>100</v>
      </c>
      <c r="F420" s="82"/>
      <c r="G420" s="84"/>
      <c r="H420" s="90" t="s">
        <v>100</v>
      </c>
      <c r="I420" s="91"/>
      <c r="J420" s="97"/>
      <c r="K420" s="102">
        <v>44329</v>
      </c>
      <c r="L420" s="327"/>
      <c r="M420" s="106"/>
      <c r="N420" s="113" t="s">
        <v>2867</v>
      </c>
      <c r="O420" s="113" t="s">
        <v>2868</v>
      </c>
      <c r="P420" s="57"/>
      <c r="Q420" s="132">
        <v>8.8749999999999996E-2</v>
      </c>
      <c r="R420" s="132">
        <v>8.1250000000000003E-2</v>
      </c>
      <c r="S420" s="63" t="s">
        <v>1859</v>
      </c>
      <c r="T420" s="67" t="s">
        <v>2869</v>
      </c>
      <c r="U420" s="67" t="s">
        <v>1859</v>
      </c>
      <c r="V420" s="113" t="s">
        <v>106</v>
      </c>
      <c r="W420" s="222">
        <v>95482</v>
      </c>
      <c r="X420" s="147"/>
      <c r="Y420" s="236"/>
      <c r="Z420" s="236"/>
      <c r="AA420" s="200"/>
      <c r="AB420" s="130"/>
      <c r="AC420" s="202"/>
      <c r="AD420" s="200"/>
      <c r="AE420" s="113"/>
      <c r="AF420" s="113"/>
      <c r="AG420" s="113"/>
      <c r="AH420" s="113"/>
      <c r="AI420" s="130" t="s">
        <v>2870</v>
      </c>
      <c r="AJ420" s="135"/>
      <c r="AK420" s="57"/>
      <c r="AL420" s="289">
        <v>15157</v>
      </c>
      <c r="AM420" s="289"/>
      <c r="AN420" s="289"/>
      <c r="AO420" s="289"/>
      <c r="AP420" s="289"/>
      <c r="AQ420" s="289"/>
      <c r="AR420" s="289"/>
      <c r="AS420" s="207" t="s">
        <v>132</v>
      </c>
      <c r="AT420" s="116" t="s">
        <v>670</v>
      </c>
      <c r="AU420" s="67" t="s">
        <v>2871</v>
      </c>
      <c r="AW420" s="67" t="s">
        <v>1859</v>
      </c>
      <c r="AX420" s="113" t="s">
        <v>106</v>
      </c>
      <c r="AY420" s="222">
        <v>95482</v>
      </c>
      <c r="AZ420" s="199" t="s">
        <v>2872</v>
      </c>
      <c r="BA420" s="75"/>
    </row>
    <row r="421" spans="1:53" s="251" customFormat="1" ht="13.5" customHeight="1" x14ac:dyDescent="0.4">
      <c r="A421" s="256" t="s">
        <v>2873</v>
      </c>
      <c r="B421" s="67" t="s">
        <v>108</v>
      </c>
      <c r="C421" s="68" t="s">
        <v>109</v>
      </c>
      <c r="D421" s="113" t="s">
        <v>2874</v>
      </c>
      <c r="E421" s="120" t="s">
        <v>100</v>
      </c>
      <c r="F421" s="82"/>
      <c r="G421" s="84"/>
      <c r="H421" s="90" t="s">
        <v>100</v>
      </c>
      <c r="I421" s="91"/>
      <c r="J421" s="97"/>
      <c r="K421" s="102"/>
      <c r="L421" s="327"/>
      <c r="M421" s="106">
        <v>44769</v>
      </c>
      <c r="N421" s="113" t="s">
        <v>2875</v>
      </c>
      <c r="O421" s="113" t="s">
        <v>2876</v>
      </c>
      <c r="P421" s="57" t="s">
        <v>2877</v>
      </c>
      <c r="Q421" s="132">
        <v>9.375E-2</v>
      </c>
      <c r="R421" s="132">
        <v>0.09</v>
      </c>
      <c r="S421" s="63" t="s">
        <v>1685</v>
      </c>
      <c r="T421" s="67" t="s">
        <v>2878</v>
      </c>
      <c r="U421" s="67" t="s">
        <v>2505</v>
      </c>
      <c r="V421" s="113" t="s">
        <v>106</v>
      </c>
      <c r="W421" s="222">
        <v>94030</v>
      </c>
      <c r="X421" s="147"/>
      <c r="Y421" s="236"/>
      <c r="Z421" s="236"/>
      <c r="AA421" s="200"/>
      <c r="AB421" s="130"/>
      <c r="AC421" s="202"/>
      <c r="AD421" s="200"/>
      <c r="AE421" s="113"/>
      <c r="AF421" s="113"/>
      <c r="AG421" s="113"/>
      <c r="AH421" s="113"/>
      <c r="AI421" s="130"/>
      <c r="AJ421" s="135"/>
      <c r="AK421" s="57"/>
      <c r="AL421" s="287"/>
      <c r="AM421" s="288"/>
      <c r="AN421" s="288"/>
      <c r="AO421" s="288"/>
      <c r="AP421" s="288"/>
      <c r="AQ421" s="288"/>
      <c r="AR421" s="288"/>
      <c r="AS421" s="207" t="s">
        <v>132</v>
      </c>
      <c r="AT421" s="116" t="s">
        <v>670</v>
      </c>
      <c r="AU421" s="67" t="s">
        <v>2878</v>
      </c>
      <c r="AW421" s="67" t="s">
        <v>2505</v>
      </c>
      <c r="AX421" s="113" t="s">
        <v>106</v>
      </c>
      <c r="AY421" s="222">
        <v>94030</v>
      </c>
      <c r="AZ421" s="199" t="s">
        <v>2876</v>
      </c>
      <c r="BA421" s="75"/>
    </row>
    <row r="422" spans="1:53" s="251" customFormat="1" ht="14.15" customHeight="1" x14ac:dyDescent="0.4">
      <c r="A422" s="256" t="s">
        <v>2879</v>
      </c>
      <c r="B422" s="67" t="s">
        <v>244</v>
      </c>
      <c r="C422" s="224" t="s">
        <v>2880</v>
      </c>
      <c r="D422" s="115"/>
      <c r="E422" s="120" t="s">
        <v>173</v>
      </c>
      <c r="F422" s="82" t="s">
        <v>174</v>
      </c>
      <c r="G422" s="84"/>
      <c r="H422" s="90"/>
      <c r="I422" s="91"/>
      <c r="J422" s="97"/>
      <c r="K422" s="102">
        <v>44721</v>
      </c>
      <c r="L422" s="327"/>
      <c r="M422" s="106"/>
      <c r="N422" s="130" t="s">
        <v>2881</v>
      </c>
      <c r="O422" s="130" t="s">
        <v>2882</v>
      </c>
      <c r="P422" s="57"/>
      <c r="Q422" s="132">
        <v>9.7500000000000003E-2</v>
      </c>
      <c r="R422" s="132"/>
      <c r="S422" s="63" t="s">
        <v>3270</v>
      </c>
      <c r="T422" s="67" t="s">
        <v>2883</v>
      </c>
      <c r="U422" s="67" t="s">
        <v>264</v>
      </c>
      <c r="V422" s="113" t="s">
        <v>106</v>
      </c>
      <c r="W422" s="222">
        <v>95448</v>
      </c>
      <c r="X422" s="141" t="s">
        <v>2884</v>
      </c>
      <c r="Y422" s="141" t="s">
        <v>2884</v>
      </c>
      <c r="Z422" s="141" t="s">
        <v>2884</v>
      </c>
      <c r="AA422" s="200"/>
      <c r="AB422" s="130"/>
      <c r="AC422" s="202"/>
      <c r="AD422" s="200"/>
      <c r="AE422" s="113"/>
      <c r="AF422" s="113"/>
      <c r="AG422" s="113"/>
      <c r="AH422" s="113"/>
      <c r="AI422" s="130"/>
      <c r="AJ422" s="135"/>
      <c r="AK422" s="57"/>
      <c r="AL422" s="287"/>
      <c r="AM422" s="288"/>
      <c r="AN422" s="288"/>
      <c r="AO422" s="288"/>
      <c r="AP422" s="288"/>
      <c r="AQ422" s="288"/>
      <c r="AR422" s="288"/>
      <c r="AS422" s="207"/>
      <c r="AT422" s="116"/>
      <c r="AU422" s="67" t="s">
        <v>2883</v>
      </c>
      <c r="AW422" s="67" t="s">
        <v>264</v>
      </c>
      <c r="AX422" s="113" t="s">
        <v>106</v>
      </c>
      <c r="AY422" s="222">
        <v>95448</v>
      </c>
      <c r="AZ422" s="57" t="s">
        <v>2882</v>
      </c>
      <c r="BA422" s="317"/>
    </row>
    <row r="423" spans="1:53" s="251" customFormat="1" ht="14.15" customHeight="1" x14ac:dyDescent="0.4">
      <c r="A423" s="256" t="s">
        <v>2885</v>
      </c>
      <c r="B423" s="67" t="s">
        <v>108</v>
      </c>
      <c r="C423" s="68" t="s">
        <v>109</v>
      </c>
      <c r="D423" s="113" t="s">
        <v>2886</v>
      </c>
      <c r="E423" s="120" t="s">
        <v>100</v>
      </c>
      <c r="F423" s="82"/>
      <c r="G423" s="84"/>
      <c r="H423" s="90" t="s">
        <v>100</v>
      </c>
      <c r="I423" s="91"/>
      <c r="J423" s="97"/>
      <c r="K423" s="102">
        <v>43866</v>
      </c>
      <c r="L423" s="327"/>
      <c r="M423" s="106">
        <v>42739</v>
      </c>
      <c r="N423" s="113" t="s">
        <v>2887</v>
      </c>
      <c r="O423" s="113" t="s">
        <v>2888</v>
      </c>
      <c r="P423" s="57"/>
      <c r="Q423" s="132">
        <v>8.2500000000000004E-2</v>
      </c>
      <c r="R423" s="132"/>
      <c r="S423" s="63" t="s">
        <v>452</v>
      </c>
      <c r="T423" s="67" t="s">
        <v>2889</v>
      </c>
      <c r="U423" s="67" t="s">
        <v>452</v>
      </c>
      <c r="V423" s="113" t="s">
        <v>106</v>
      </c>
      <c r="W423" s="222">
        <v>95240</v>
      </c>
      <c r="X423" s="147"/>
      <c r="Y423" s="236"/>
      <c r="Z423" s="236"/>
      <c r="AA423" s="200"/>
      <c r="AB423" s="130"/>
      <c r="AC423" s="202"/>
      <c r="AD423" s="200"/>
      <c r="AE423" s="113"/>
      <c r="AF423" s="113"/>
      <c r="AG423" s="113"/>
      <c r="AH423" s="113"/>
      <c r="AI423" s="130"/>
      <c r="AJ423" s="135"/>
      <c r="AK423" s="57"/>
      <c r="AL423" s="290">
        <v>15741</v>
      </c>
      <c r="AM423" s="290"/>
      <c r="AN423" s="290"/>
      <c r="AO423" s="290"/>
      <c r="AP423" s="290"/>
      <c r="AQ423" s="290"/>
      <c r="AR423" s="290"/>
      <c r="AS423" s="207" t="s">
        <v>132</v>
      </c>
      <c r="AT423" s="116" t="s">
        <v>670</v>
      </c>
      <c r="AU423" s="67" t="s">
        <v>2889</v>
      </c>
      <c r="AW423" s="67" t="s">
        <v>452</v>
      </c>
      <c r="AX423" s="113" t="s">
        <v>106</v>
      </c>
      <c r="AY423" s="222">
        <v>95240</v>
      </c>
      <c r="AZ423" s="199" t="s">
        <v>2888</v>
      </c>
      <c r="BA423" s="317"/>
    </row>
    <row r="424" spans="1:53" s="251" customFormat="1" ht="14.15" customHeight="1" x14ac:dyDescent="0.4">
      <c r="A424" s="256" t="s">
        <v>2890</v>
      </c>
      <c r="B424" s="67" t="s">
        <v>244</v>
      </c>
      <c r="C424" s="224" t="s">
        <v>2891</v>
      </c>
      <c r="D424" s="115"/>
      <c r="E424" s="120" t="s">
        <v>173</v>
      </c>
      <c r="F424" s="82" t="s">
        <v>174</v>
      </c>
      <c r="G424" s="84"/>
      <c r="H424" s="90"/>
      <c r="I424" s="91"/>
      <c r="J424" s="97"/>
      <c r="K424" s="102"/>
      <c r="L424" s="327"/>
      <c r="M424" s="106"/>
      <c r="N424" s="113" t="s">
        <v>2892</v>
      </c>
      <c r="O424" s="130" t="s">
        <v>2893</v>
      </c>
      <c r="P424" s="57" t="s">
        <v>2894</v>
      </c>
      <c r="Q424" s="132">
        <v>8.2500000000000004E-2</v>
      </c>
      <c r="R424" s="132"/>
      <c r="S424" s="63" t="s">
        <v>759</v>
      </c>
      <c r="T424" s="67" t="s">
        <v>2895</v>
      </c>
      <c r="U424" s="67" t="s">
        <v>2896</v>
      </c>
      <c r="V424" s="113" t="s">
        <v>106</v>
      </c>
      <c r="W424" s="222">
        <v>94920</v>
      </c>
      <c r="X424" s="141" t="s">
        <v>2897</v>
      </c>
      <c r="Y424" s="141" t="s">
        <v>2897</v>
      </c>
      <c r="Z424" s="141" t="s">
        <v>2897</v>
      </c>
      <c r="AA424" s="200"/>
      <c r="AB424" s="130"/>
      <c r="AC424" s="202"/>
      <c r="AD424" s="200"/>
      <c r="AE424" s="113"/>
      <c r="AF424" s="113"/>
      <c r="AG424" s="113"/>
      <c r="AH424" s="113"/>
      <c r="AI424" s="130"/>
      <c r="AJ424" s="135"/>
      <c r="AK424" s="57"/>
      <c r="AL424" s="287"/>
      <c r="AM424" s="288"/>
      <c r="AN424" s="288"/>
      <c r="AO424" s="288"/>
      <c r="AP424" s="288"/>
      <c r="AQ424" s="288"/>
      <c r="AR424" s="288"/>
      <c r="AS424" s="207"/>
      <c r="AT424" s="116"/>
      <c r="AU424" s="67" t="s">
        <v>2895</v>
      </c>
      <c r="AW424" s="67" t="s">
        <v>2896</v>
      </c>
      <c r="AX424" s="113" t="s">
        <v>106</v>
      </c>
      <c r="AY424" s="222">
        <v>94920</v>
      </c>
      <c r="AZ424" s="199" t="s">
        <v>2893</v>
      </c>
      <c r="BA424" s="317"/>
    </row>
    <row r="425" spans="1:53" s="251" customFormat="1" ht="14.15" customHeight="1" x14ac:dyDescent="0.4">
      <c r="A425" s="256" t="s">
        <v>2898</v>
      </c>
      <c r="B425" s="67" t="s">
        <v>1637</v>
      </c>
      <c r="C425" s="224" t="s">
        <v>563</v>
      </c>
      <c r="D425" s="113"/>
      <c r="E425" s="120" t="s">
        <v>100</v>
      </c>
      <c r="F425" s="80"/>
      <c r="G425" s="81"/>
      <c r="H425" s="90" t="s">
        <v>100</v>
      </c>
      <c r="I425" s="91"/>
      <c r="J425" s="97"/>
      <c r="K425" s="102">
        <v>44963</v>
      </c>
      <c r="L425" s="327"/>
      <c r="M425" s="108">
        <v>44370</v>
      </c>
      <c r="N425" s="113" t="s">
        <v>191</v>
      </c>
      <c r="O425" s="113" t="s">
        <v>1638</v>
      </c>
      <c r="P425" s="57" t="s">
        <v>193</v>
      </c>
      <c r="Q425" s="132">
        <v>8.6249999999999993E-2</v>
      </c>
      <c r="R425" s="132">
        <v>8.7499999999999994E-2</v>
      </c>
      <c r="S425" s="63" t="s">
        <v>103</v>
      </c>
      <c r="T425" s="67" t="s">
        <v>2899</v>
      </c>
      <c r="U425" s="67" t="s">
        <v>105</v>
      </c>
      <c r="V425" s="113" t="s">
        <v>106</v>
      </c>
      <c r="W425" s="222">
        <v>94110</v>
      </c>
      <c r="X425" s="141" t="s">
        <v>1640</v>
      </c>
      <c r="Y425" s="139" t="s">
        <v>2900</v>
      </c>
      <c r="Z425" s="139" t="s">
        <v>197</v>
      </c>
      <c r="AA425" s="200"/>
      <c r="AB425" s="130"/>
      <c r="AC425" s="202"/>
      <c r="AD425" s="200"/>
      <c r="AE425" s="113"/>
      <c r="AF425" s="113"/>
      <c r="AG425" s="113"/>
      <c r="AH425" s="113"/>
      <c r="AI425" s="130"/>
      <c r="AJ425" s="135"/>
      <c r="AK425" s="43"/>
      <c r="AL425" s="290" t="s">
        <v>149</v>
      </c>
      <c r="AM425" s="290">
        <v>13305</v>
      </c>
      <c r="AN425" s="290" t="s">
        <v>198</v>
      </c>
      <c r="AO425" s="290">
        <v>62245</v>
      </c>
      <c r="AP425" s="290"/>
      <c r="AQ425" s="290"/>
      <c r="AR425" s="290"/>
      <c r="AS425" s="207" t="s">
        <v>132</v>
      </c>
      <c r="AT425" s="116" t="s">
        <v>670</v>
      </c>
      <c r="AU425" s="67" t="s">
        <v>2899</v>
      </c>
      <c r="AW425" s="67" t="s">
        <v>105</v>
      </c>
      <c r="AX425" s="113" t="s">
        <v>106</v>
      </c>
      <c r="AY425" s="222">
        <v>94110</v>
      </c>
      <c r="AZ425" s="199" t="s">
        <v>200</v>
      </c>
      <c r="BA425" s="317"/>
    </row>
    <row r="426" spans="1:53" s="251" customFormat="1" ht="14.15" customHeight="1" x14ac:dyDescent="0.4">
      <c r="A426" s="256" t="s">
        <v>2901</v>
      </c>
      <c r="B426" s="67" t="s">
        <v>98</v>
      </c>
      <c r="C426" s="224" t="s">
        <v>99</v>
      </c>
      <c r="D426" s="113"/>
      <c r="E426" s="120" t="s">
        <v>100</v>
      </c>
      <c r="F426" s="82"/>
      <c r="G426" s="84"/>
      <c r="H426" s="90" t="s">
        <v>100</v>
      </c>
      <c r="I426" s="91"/>
      <c r="J426" s="97"/>
      <c r="K426" s="102">
        <v>45782</v>
      </c>
      <c r="L426" s="327"/>
      <c r="M426" s="108">
        <v>43889</v>
      </c>
      <c r="N426" s="113" t="s">
        <v>2902</v>
      </c>
      <c r="O426" s="113" t="s">
        <v>2903</v>
      </c>
      <c r="P426" s="57" t="s">
        <v>2904</v>
      </c>
      <c r="Q426" s="132">
        <v>9.2499999999999999E-2</v>
      </c>
      <c r="R426" s="132">
        <v>8.7499999999999994E-2</v>
      </c>
      <c r="S426" s="63" t="s">
        <v>420</v>
      </c>
      <c r="T426" s="67" t="s">
        <v>2905</v>
      </c>
      <c r="U426" s="67" t="s">
        <v>420</v>
      </c>
      <c r="V426" s="113" t="s">
        <v>106</v>
      </c>
      <c r="W426" s="222">
        <v>94947</v>
      </c>
      <c r="X426" s="141" t="s">
        <v>2906</v>
      </c>
      <c r="Y426" s="139" t="s">
        <v>2906</v>
      </c>
      <c r="Z426" s="139" t="s">
        <v>2906</v>
      </c>
      <c r="AA426" s="144" t="s">
        <v>2907</v>
      </c>
      <c r="AB426" s="130"/>
      <c r="AC426" s="202"/>
      <c r="AD426" s="200"/>
      <c r="AE426" s="113"/>
      <c r="AF426" s="113"/>
      <c r="AG426" s="113"/>
      <c r="AH426" s="113"/>
      <c r="AI426" s="130" t="s">
        <v>0</v>
      </c>
      <c r="AJ426" s="135" t="s">
        <v>116</v>
      </c>
      <c r="AK426" s="43"/>
      <c r="AL426" s="289" t="s">
        <v>149</v>
      </c>
      <c r="AM426" s="289"/>
      <c r="AN426" s="289"/>
      <c r="AO426" s="289"/>
      <c r="AP426" s="289"/>
      <c r="AQ426" s="289"/>
      <c r="AR426" s="289"/>
      <c r="AS426" s="207" t="s">
        <v>132</v>
      </c>
      <c r="AT426" s="116" t="s">
        <v>670</v>
      </c>
      <c r="AU426" s="67" t="s">
        <v>2905</v>
      </c>
      <c r="AW426" s="67" t="s">
        <v>420</v>
      </c>
      <c r="AX426" s="113" t="s">
        <v>106</v>
      </c>
      <c r="AY426" s="222">
        <v>94947</v>
      </c>
      <c r="AZ426" s="199" t="s">
        <v>2903</v>
      </c>
      <c r="BA426" s="207"/>
    </row>
    <row r="427" spans="1:53" s="251" customFormat="1" ht="14.15" customHeight="1" x14ac:dyDescent="0.4">
      <c r="A427" s="256" t="s">
        <v>2908</v>
      </c>
      <c r="B427" s="67" t="s">
        <v>98</v>
      </c>
      <c r="C427" s="224" t="s">
        <v>563</v>
      </c>
      <c r="D427" s="115"/>
      <c r="E427" s="120" t="s">
        <v>100</v>
      </c>
      <c r="F427" s="82"/>
      <c r="G427" s="84"/>
      <c r="H427" s="90" t="s">
        <v>100</v>
      </c>
      <c r="I427" s="91"/>
      <c r="J427" s="97"/>
      <c r="K427" s="102">
        <v>44796</v>
      </c>
      <c r="L427" s="327"/>
      <c r="M427" s="106"/>
      <c r="N427" s="113" t="s">
        <v>2909</v>
      </c>
      <c r="O427" s="113" t="s">
        <v>2910</v>
      </c>
      <c r="P427" s="57" t="s">
        <v>2911</v>
      </c>
      <c r="Q427" s="132">
        <v>8.7499999999999994E-2</v>
      </c>
      <c r="R427" s="132">
        <v>0.08</v>
      </c>
      <c r="S427" s="63" t="s">
        <v>2912</v>
      </c>
      <c r="T427" s="67" t="s">
        <v>2913</v>
      </c>
      <c r="U427" s="67" t="s">
        <v>2914</v>
      </c>
      <c r="V427" s="113" t="s">
        <v>106</v>
      </c>
      <c r="W427" s="222">
        <v>93101</v>
      </c>
      <c r="X427" s="139" t="s">
        <v>2915</v>
      </c>
      <c r="Y427" s="139" t="s">
        <v>2916</v>
      </c>
      <c r="Z427" s="139" t="s">
        <v>2915</v>
      </c>
      <c r="AA427" s="200" t="s">
        <v>2917</v>
      </c>
      <c r="AB427" s="130" t="s">
        <v>2918</v>
      </c>
      <c r="AC427" s="202"/>
      <c r="AD427" s="200"/>
      <c r="AE427" s="113"/>
      <c r="AF427" s="113"/>
      <c r="AG427" s="113"/>
      <c r="AH427" s="113"/>
      <c r="AI427" s="130"/>
      <c r="AJ427" s="135"/>
      <c r="AK427" s="57"/>
      <c r="AL427" s="289" t="s">
        <v>289</v>
      </c>
      <c r="AM427" s="289">
        <v>13305</v>
      </c>
      <c r="AN427" s="289" t="s">
        <v>290</v>
      </c>
      <c r="AO427" s="289">
        <v>62245</v>
      </c>
      <c r="AP427" s="289"/>
      <c r="AQ427" s="289"/>
      <c r="AR427" s="289"/>
      <c r="AS427" s="207" t="s">
        <v>132</v>
      </c>
      <c r="AT427" s="116" t="s">
        <v>670</v>
      </c>
      <c r="AU427" s="67" t="s">
        <v>2913</v>
      </c>
      <c r="AW427" s="67" t="s">
        <v>2914</v>
      </c>
      <c r="AX427" s="113" t="s">
        <v>106</v>
      </c>
      <c r="AY427" s="222">
        <v>93101</v>
      </c>
      <c r="AZ427" s="199" t="s">
        <v>2910</v>
      </c>
      <c r="BA427" s="207"/>
    </row>
    <row r="428" spans="1:53" s="251" customFormat="1" ht="14.15" customHeight="1" x14ac:dyDescent="0.4">
      <c r="A428" s="256" t="s">
        <v>2919</v>
      </c>
      <c r="B428" s="67" t="s">
        <v>269</v>
      </c>
      <c r="C428" s="224" t="s">
        <v>1577</v>
      </c>
      <c r="D428" s="115"/>
      <c r="E428" s="120" t="s">
        <v>100</v>
      </c>
      <c r="F428" s="82"/>
      <c r="G428" s="84"/>
      <c r="H428" s="90" t="s">
        <v>100</v>
      </c>
      <c r="I428" s="91"/>
      <c r="J428" s="97"/>
      <c r="K428" s="102">
        <v>45929</v>
      </c>
      <c r="L428" s="327"/>
      <c r="M428" s="106">
        <v>43670</v>
      </c>
      <c r="N428" s="113" t="s">
        <v>1049</v>
      </c>
      <c r="O428" s="113" t="s">
        <v>2920</v>
      </c>
      <c r="P428" s="57"/>
      <c r="Q428" s="132">
        <v>0.10249999999999999</v>
      </c>
      <c r="R428" s="132"/>
      <c r="S428" s="63" t="s">
        <v>113</v>
      </c>
      <c r="T428" s="67" t="s">
        <v>2921</v>
      </c>
      <c r="U428" s="67" t="s">
        <v>1464</v>
      </c>
      <c r="V428" s="113" t="s">
        <v>106</v>
      </c>
      <c r="W428" s="222">
        <v>94550</v>
      </c>
      <c r="X428" s="141"/>
      <c r="Y428" s="236"/>
      <c r="Z428" s="236"/>
      <c r="AA428" s="200"/>
      <c r="AB428" s="130"/>
      <c r="AC428" s="202"/>
      <c r="AD428" s="200"/>
      <c r="AE428" s="113"/>
      <c r="AF428" s="113"/>
      <c r="AG428" s="113"/>
      <c r="AH428" s="113"/>
      <c r="AI428" s="130"/>
      <c r="AJ428" s="140"/>
      <c r="AK428" s="53"/>
      <c r="AL428" s="287" t="s">
        <v>251</v>
      </c>
      <c r="AM428" s="288">
        <v>13305</v>
      </c>
      <c r="AN428" s="288" t="s">
        <v>939</v>
      </c>
      <c r="AO428" s="288"/>
      <c r="AP428" s="288"/>
      <c r="AQ428" s="288"/>
      <c r="AR428" s="288"/>
      <c r="AS428" s="207" t="s">
        <v>132</v>
      </c>
      <c r="AT428" s="116" t="s">
        <v>670</v>
      </c>
      <c r="AU428" s="67" t="s">
        <v>2921</v>
      </c>
      <c r="AW428" s="67" t="s">
        <v>1464</v>
      </c>
      <c r="AX428" s="113" t="s">
        <v>106</v>
      </c>
      <c r="AY428" s="222">
        <v>94550</v>
      </c>
      <c r="AZ428" s="199" t="s">
        <v>2920</v>
      </c>
      <c r="BA428" s="75"/>
    </row>
    <row r="429" spans="1:53" s="251" customFormat="1" ht="14.15" customHeight="1" x14ac:dyDescent="0.4">
      <c r="A429" s="256" t="s">
        <v>2922</v>
      </c>
      <c r="B429" s="67" t="s">
        <v>98</v>
      </c>
      <c r="C429" s="224" t="s">
        <v>99</v>
      </c>
      <c r="D429" s="115"/>
      <c r="E429" s="120" t="s">
        <v>100</v>
      </c>
      <c r="F429" s="82"/>
      <c r="G429" s="362"/>
      <c r="H429" s="90" t="s">
        <v>100</v>
      </c>
      <c r="I429" s="91"/>
      <c r="J429" s="97"/>
      <c r="K429" s="102">
        <v>43489</v>
      </c>
      <c r="L429" s="327"/>
      <c r="M429" s="106">
        <v>43479</v>
      </c>
      <c r="N429" s="113" t="s">
        <v>2923</v>
      </c>
      <c r="O429" s="113" t="s">
        <v>2924</v>
      </c>
      <c r="P429" s="57"/>
      <c r="Q429" s="132">
        <v>9.375E-2</v>
      </c>
      <c r="R429" s="132">
        <v>0.09</v>
      </c>
      <c r="S429" s="63" t="s">
        <v>146</v>
      </c>
      <c r="T429" s="67" t="s">
        <v>2925</v>
      </c>
      <c r="U429" s="67" t="s">
        <v>148</v>
      </c>
      <c r="V429" s="113" t="s">
        <v>106</v>
      </c>
      <c r="W429" s="222">
        <v>95117</v>
      </c>
      <c r="X429" s="141" t="s">
        <v>2926</v>
      </c>
      <c r="Y429" s="236"/>
      <c r="Z429" s="236"/>
      <c r="AA429" s="200" t="s">
        <v>2927</v>
      </c>
      <c r="AB429" s="130"/>
      <c r="AC429" s="202" t="s">
        <v>2928</v>
      </c>
      <c r="AD429" s="200" t="s">
        <v>2929</v>
      </c>
      <c r="AE429" s="113"/>
      <c r="AF429" s="113"/>
      <c r="AG429" s="113"/>
      <c r="AH429" s="113"/>
      <c r="AI429" s="130" t="s">
        <v>2930</v>
      </c>
      <c r="AJ429" s="140" t="s">
        <v>2929</v>
      </c>
      <c r="AK429" s="53"/>
      <c r="AL429" s="290" t="s">
        <v>149</v>
      </c>
      <c r="AM429" s="290">
        <v>13305</v>
      </c>
      <c r="AN429" s="290"/>
      <c r="AO429" s="290"/>
      <c r="AP429" s="290"/>
      <c r="AQ429" s="290"/>
      <c r="AR429" s="290"/>
      <c r="AS429" s="207" t="s">
        <v>132</v>
      </c>
      <c r="AT429" s="116" t="s">
        <v>670</v>
      </c>
      <c r="AU429" s="67" t="s">
        <v>2925</v>
      </c>
      <c r="AW429" s="67" t="s">
        <v>148</v>
      </c>
      <c r="AX429" s="113" t="s">
        <v>106</v>
      </c>
      <c r="AY429" s="222">
        <v>95117</v>
      </c>
      <c r="AZ429" s="199" t="s">
        <v>2930</v>
      </c>
      <c r="BA429" s="317"/>
    </row>
    <row r="430" spans="1:53" s="251" customFormat="1" ht="14.15" customHeight="1" x14ac:dyDescent="0.4">
      <c r="A430" s="256" t="s">
        <v>2931</v>
      </c>
      <c r="B430" s="67" t="s">
        <v>125</v>
      </c>
      <c r="C430" s="224" t="s">
        <v>99</v>
      </c>
      <c r="D430" s="115" t="s">
        <v>2109</v>
      </c>
      <c r="E430" s="120" t="s">
        <v>100</v>
      </c>
      <c r="F430" s="82"/>
      <c r="G430" s="84"/>
      <c r="H430" s="90" t="s">
        <v>100</v>
      </c>
      <c r="I430" s="91"/>
      <c r="J430" s="97"/>
      <c r="K430" s="102">
        <v>45743</v>
      </c>
      <c r="L430" s="327"/>
      <c r="M430" s="106">
        <v>45765</v>
      </c>
      <c r="N430" s="113" t="s">
        <v>2932</v>
      </c>
      <c r="O430" s="113" t="s">
        <v>2933</v>
      </c>
      <c r="P430" s="57"/>
      <c r="Q430" s="132">
        <v>9.7500000000000003E-2</v>
      </c>
      <c r="R430" s="132"/>
      <c r="S430" s="63" t="s">
        <v>2934</v>
      </c>
      <c r="T430" s="67" t="s">
        <v>2935</v>
      </c>
      <c r="U430" s="67" t="s">
        <v>2934</v>
      </c>
      <c r="V430" s="113" t="s">
        <v>106</v>
      </c>
      <c r="W430" s="222">
        <v>94509</v>
      </c>
      <c r="X430" s="141" t="s">
        <v>2936</v>
      </c>
      <c r="Y430" s="236"/>
      <c r="Z430" s="236"/>
      <c r="AA430" s="200"/>
      <c r="AB430" s="130"/>
      <c r="AC430" s="202"/>
      <c r="AD430" s="200"/>
      <c r="AE430" s="113"/>
      <c r="AF430" s="113"/>
      <c r="AG430" s="113"/>
      <c r="AH430" s="113"/>
      <c r="AI430" s="130"/>
      <c r="AJ430" s="135"/>
      <c r="AK430" s="57"/>
      <c r="AL430" s="287">
        <v>15157</v>
      </c>
      <c r="AM430" s="288"/>
      <c r="AN430" s="288"/>
      <c r="AO430" s="288"/>
      <c r="AP430" s="288"/>
      <c r="AQ430" s="288"/>
      <c r="AR430" s="288"/>
      <c r="AS430" s="207"/>
      <c r="AT430" s="116"/>
      <c r="AU430" s="67" t="s">
        <v>2935</v>
      </c>
      <c r="AW430" s="67" t="s">
        <v>2934</v>
      </c>
      <c r="AX430" s="113" t="s">
        <v>106</v>
      </c>
      <c r="AY430" s="222">
        <v>94509</v>
      </c>
      <c r="AZ430" s="199" t="s">
        <v>2933</v>
      </c>
      <c r="BA430" s="317"/>
    </row>
    <row r="431" spans="1:53" s="251" customFormat="1" ht="14.15" customHeight="1" x14ac:dyDescent="0.4">
      <c r="A431" s="256" t="s">
        <v>2937</v>
      </c>
      <c r="B431" s="67" t="s">
        <v>125</v>
      </c>
      <c r="C431" s="224" t="s">
        <v>99</v>
      </c>
      <c r="D431" s="115" t="s">
        <v>2938</v>
      </c>
      <c r="E431" s="120" t="s">
        <v>100</v>
      </c>
      <c r="F431" s="82" t="s">
        <v>0</v>
      </c>
      <c r="G431" s="84"/>
      <c r="H431" s="90" t="s">
        <v>100</v>
      </c>
      <c r="I431" s="91" t="s">
        <v>0</v>
      </c>
      <c r="J431" s="97"/>
      <c r="K431" s="102"/>
      <c r="L431" s="327"/>
      <c r="M431" s="106">
        <v>43760</v>
      </c>
      <c r="N431" s="113" t="s">
        <v>2932</v>
      </c>
      <c r="O431" s="113" t="s">
        <v>2933</v>
      </c>
      <c r="P431" s="57"/>
      <c r="Q431" s="132">
        <v>8.7499999999999994E-2</v>
      </c>
      <c r="R431" s="132">
        <v>0.09</v>
      </c>
      <c r="S431" s="63" t="s">
        <v>205</v>
      </c>
      <c r="T431" s="67" t="s">
        <v>2939</v>
      </c>
      <c r="U431" s="67" t="s">
        <v>1558</v>
      </c>
      <c r="V431" s="113" t="s">
        <v>106</v>
      </c>
      <c r="W431" s="222">
        <v>94513</v>
      </c>
      <c r="X431" s="141"/>
      <c r="Y431" s="236"/>
      <c r="Z431" s="236"/>
      <c r="AA431" s="200"/>
      <c r="AB431" s="130"/>
      <c r="AC431" s="202"/>
      <c r="AD431" s="200"/>
      <c r="AE431" s="113"/>
      <c r="AF431" s="113"/>
      <c r="AG431" s="113"/>
      <c r="AH431" s="199"/>
      <c r="AI431" s="130"/>
      <c r="AJ431" s="140"/>
      <c r="AK431" s="53"/>
      <c r="AL431" s="287"/>
      <c r="AM431" s="288"/>
      <c r="AN431" s="288"/>
      <c r="AO431" s="288"/>
      <c r="AP431" s="288"/>
      <c r="AQ431" s="288"/>
      <c r="AR431" s="288"/>
      <c r="AS431" s="207" t="s">
        <v>132</v>
      </c>
      <c r="AT431" s="116" t="s">
        <v>670</v>
      </c>
      <c r="AU431" s="67" t="s">
        <v>2939</v>
      </c>
      <c r="AW431" s="67" t="s">
        <v>1558</v>
      </c>
      <c r="AX431" s="113" t="s">
        <v>106</v>
      </c>
      <c r="AY431" s="222">
        <v>94513</v>
      </c>
      <c r="AZ431" s="199" t="s">
        <v>2940</v>
      </c>
      <c r="BA431" s="75"/>
    </row>
    <row r="432" spans="1:53" s="251" customFormat="1" ht="14.15" customHeight="1" x14ac:dyDescent="0.4">
      <c r="A432" s="256" t="s">
        <v>2941</v>
      </c>
      <c r="B432" s="67" t="s">
        <v>98</v>
      </c>
      <c r="C432" s="224" t="s">
        <v>99</v>
      </c>
      <c r="D432" s="115"/>
      <c r="E432" s="120" t="s">
        <v>100</v>
      </c>
      <c r="F432" s="82"/>
      <c r="G432" s="84"/>
      <c r="H432" s="90" t="s">
        <v>100</v>
      </c>
      <c r="I432" s="91"/>
      <c r="J432" s="97"/>
      <c r="K432" s="102">
        <v>46021</v>
      </c>
      <c r="L432" s="327"/>
      <c r="M432" s="106"/>
      <c r="N432" s="113" t="s">
        <v>585</v>
      </c>
      <c r="O432" s="113" t="s">
        <v>2942</v>
      </c>
      <c r="P432" s="57" t="s">
        <v>586</v>
      </c>
      <c r="Q432" s="132">
        <v>8.6249999999999993E-2</v>
      </c>
      <c r="R432" s="132"/>
      <c r="S432" s="63" t="s">
        <v>103</v>
      </c>
      <c r="T432" s="67" t="s">
        <v>2943</v>
      </c>
      <c r="U432" s="67" t="s">
        <v>105</v>
      </c>
      <c r="V432" s="113" t="s">
        <v>106</v>
      </c>
      <c r="W432" s="222">
        <v>94118</v>
      </c>
      <c r="X432" s="139" t="s">
        <v>588</v>
      </c>
      <c r="Y432" s="139" t="s">
        <v>588</v>
      </c>
      <c r="Z432" s="139" t="s">
        <v>588</v>
      </c>
      <c r="AA432" s="200"/>
      <c r="AB432" s="130"/>
      <c r="AC432" s="202"/>
      <c r="AD432" s="200"/>
      <c r="AE432" s="113"/>
      <c r="AF432" s="113"/>
      <c r="AG432" s="113"/>
      <c r="AH432" s="113"/>
      <c r="AI432" s="130"/>
      <c r="AJ432" s="135"/>
      <c r="AK432" s="57"/>
      <c r="AL432" s="287" t="s">
        <v>251</v>
      </c>
      <c r="AM432" s="288" t="s">
        <v>325</v>
      </c>
      <c r="AN432" s="288"/>
      <c r="AO432" s="288">
        <v>62245</v>
      </c>
      <c r="AP432" s="288"/>
      <c r="AQ432" s="288"/>
      <c r="AR432" s="288"/>
      <c r="AS432" s="207"/>
      <c r="AT432" s="116"/>
      <c r="AU432" s="67" t="s">
        <v>2943</v>
      </c>
      <c r="AW432" s="67" t="s">
        <v>2156</v>
      </c>
      <c r="AX432" s="113" t="s">
        <v>106</v>
      </c>
      <c r="AY432" s="222">
        <v>94118</v>
      </c>
      <c r="AZ432" s="199" t="s">
        <v>2942</v>
      </c>
      <c r="BA432" s="317"/>
    </row>
    <row r="433" spans="1:53" s="251" customFormat="1" ht="14.15" customHeight="1" x14ac:dyDescent="0.4">
      <c r="A433" s="256" t="s">
        <v>2944</v>
      </c>
      <c r="B433" s="67" t="s">
        <v>98</v>
      </c>
      <c r="C433" s="224" t="s">
        <v>99</v>
      </c>
      <c r="D433" s="115"/>
      <c r="E433" s="120" t="s">
        <v>100</v>
      </c>
      <c r="F433" s="82"/>
      <c r="G433" s="84"/>
      <c r="H433" s="90" t="s">
        <v>100</v>
      </c>
      <c r="I433" s="91"/>
      <c r="J433" s="97"/>
      <c r="K433" s="102">
        <v>44613</v>
      </c>
      <c r="L433" s="327"/>
      <c r="M433" s="106"/>
      <c r="N433" s="113" t="s">
        <v>2945</v>
      </c>
      <c r="O433" s="113" t="s">
        <v>2946</v>
      </c>
      <c r="P433" s="57" t="s">
        <v>2947</v>
      </c>
      <c r="Q433" s="132">
        <v>9.2499999999999999E-2</v>
      </c>
      <c r="R433" s="132"/>
      <c r="S433" s="63" t="s">
        <v>420</v>
      </c>
      <c r="T433" s="67" t="s">
        <v>2948</v>
      </c>
      <c r="U433" s="67" t="s">
        <v>420</v>
      </c>
      <c r="V433" s="113" t="s">
        <v>106</v>
      </c>
      <c r="W433" s="222">
        <v>94945</v>
      </c>
      <c r="X433" s="141"/>
      <c r="Y433" s="236"/>
      <c r="Z433" s="236"/>
      <c r="AA433" s="200"/>
      <c r="AB433" s="130"/>
      <c r="AC433" s="202"/>
      <c r="AD433" s="200"/>
      <c r="AE433" s="113"/>
      <c r="AF433" s="113"/>
      <c r="AG433" s="113"/>
      <c r="AH433" s="113"/>
      <c r="AI433" s="130"/>
      <c r="AJ433" s="135"/>
      <c r="AK433" s="57"/>
      <c r="AL433" s="287"/>
      <c r="AM433" s="288"/>
      <c r="AN433" s="288"/>
      <c r="AO433" s="288"/>
      <c r="AP433" s="288"/>
      <c r="AQ433" s="288"/>
      <c r="AR433" s="288"/>
      <c r="AS433" s="207"/>
      <c r="AT433" s="116"/>
      <c r="AU433" s="67" t="s">
        <v>2949</v>
      </c>
      <c r="AW433" s="67" t="s">
        <v>420</v>
      </c>
      <c r="AX433" s="113" t="s">
        <v>106</v>
      </c>
      <c r="AY433" s="222">
        <v>94945</v>
      </c>
      <c r="AZ433" s="199" t="s">
        <v>2946</v>
      </c>
      <c r="BA433" s="317"/>
    </row>
    <row r="434" spans="1:53" s="251" customFormat="1" ht="14.15" customHeight="1" x14ac:dyDescent="0.4">
      <c r="A434" s="256" t="s">
        <v>2950</v>
      </c>
      <c r="B434" s="67" t="s">
        <v>98</v>
      </c>
      <c r="C434" s="224" t="s">
        <v>99</v>
      </c>
      <c r="D434" s="115"/>
      <c r="E434" s="120" t="s">
        <v>100</v>
      </c>
      <c r="F434" s="82"/>
      <c r="G434" s="84"/>
      <c r="H434" s="90" t="s">
        <v>100</v>
      </c>
      <c r="I434" s="91"/>
      <c r="J434" s="97"/>
      <c r="K434" s="102">
        <v>45442</v>
      </c>
      <c r="L434" s="327"/>
      <c r="M434" s="106">
        <v>44863</v>
      </c>
      <c r="N434" s="113" t="s">
        <v>2951</v>
      </c>
      <c r="O434" s="113" t="s">
        <v>2952</v>
      </c>
      <c r="P434" s="57"/>
      <c r="Q434" s="132">
        <v>9.2499999999999999E-2</v>
      </c>
      <c r="R434" s="132"/>
      <c r="S434" s="63" t="s">
        <v>226</v>
      </c>
      <c r="T434" s="67" t="s">
        <v>2953</v>
      </c>
      <c r="U434" s="67" t="s">
        <v>228</v>
      </c>
      <c r="V434" s="113" t="s">
        <v>106</v>
      </c>
      <c r="W434" s="222">
        <v>94901</v>
      </c>
      <c r="X434" s="141"/>
      <c r="Y434" s="236"/>
      <c r="Z434" s="236"/>
      <c r="AA434" s="200"/>
      <c r="AB434" s="130"/>
      <c r="AC434" s="202"/>
      <c r="AD434" s="200"/>
      <c r="AE434" s="113"/>
      <c r="AF434" s="113"/>
      <c r="AG434" s="113"/>
      <c r="AH434" s="113"/>
      <c r="AI434" s="130"/>
      <c r="AJ434" s="135"/>
      <c r="AK434" s="57"/>
      <c r="AL434" s="287" t="s">
        <v>251</v>
      </c>
      <c r="AM434" s="288">
        <v>13305</v>
      </c>
      <c r="AN434" s="288"/>
      <c r="AO434" s="288">
        <v>62245</v>
      </c>
      <c r="AP434" s="288"/>
      <c r="AQ434" s="288"/>
      <c r="AR434" s="288"/>
      <c r="AS434" s="207"/>
      <c r="AT434" s="116"/>
      <c r="AU434" s="67" t="s">
        <v>2953</v>
      </c>
      <c r="AW434" s="67" t="s">
        <v>228</v>
      </c>
      <c r="AX434" s="113" t="s">
        <v>106</v>
      </c>
      <c r="AY434" s="222">
        <v>94901</v>
      </c>
      <c r="AZ434" s="199" t="s">
        <v>2952</v>
      </c>
      <c r="BA434" s="317"/>
    </row>
    <row r="435" spans="1:53" s="251" customFormat="1" ht="14.15" customHeight="1" x14ac:dyDescent="0.4">
      <c r="A435" s="256" t="s">
        <v>2954</v>
      </c>
      <c r="B435" s="67" t="s">
        <v>118</v>
      </c>
      <c r="C435" s="224" t="s">
        <v>119</v>
      </c>
      <c r="D435" s="113" t="s">
        <v>2955</v>
      </c>
      <c r="E435" s="120" t="s">
        <v>100</v>
      </c>
      <c r="F435" s="82"/>
      <c r="G435" s="84"/>
      <c r="H435" s="90" t="s">
        <v>100</v>
      </c>
      <c r="I435" s="91"/>
      <c r="J435" s="97"/>
      <c r="K435" s="102">
        <v>44461</v>
      </c>
      <c r="L435" s="327"/>
      <c r="M435" s="106">
        <v>44447</v>
      </c>
      <c r="N435" s="113" t="s">
        <v>1347</v>
      </c>
      <c r="O435" s="113" t="s">
        <v>2956</v>
      </c>
      <c r="P435" s="57" t="s">
        <v>2957</v>
      </c>
      <c r="Q435" s="132">
        <v>8.6249999999999993E-2</v>
      </c>
      <c r="R435" s="132">
        <v>8.7499999999999994E-2</v>
      </c>
      <c r="S435" s="63" t="s">
        <v>103</v>
      </c>
      <c r="T435" s="67" t="s">
        <v>2958</v>
      </c>
      <c r="U435" s="67" t="s">
        <v>105</v>
      </c>
      <c r="V435" s="113" t="s">
        <v>106</v>
      </c>
      <c r="W435" s="222">
        <v>94117</v>
      </c>
      <c r="X435" s="229" t="s">
        <v>2959</v>
      </c>
      <c r="Y435" s="56" t="s">
        <v>2960</v>
      </c>
      <c r="Z435" s="139" t="s">
        <v>2961</v>
      </c>
      <c r="AA435" s="200" t="s">
        <v>2962</v>
      </c>
      <c r="AB435" s="130"/>
      <c r="AC435" s="202" t="s">
        <v>2963</v>
      </c>
      <c r="AD435" s="200" t="s">
        <v>2964</v>
      </c>
      <c r="AE435" s="113"/>
      <c r="AF435" s="113"/>
      <c r="AG435" s="113"/>
      <c r="AH435" s="113"/>
      <c r="AI435" s="130"/>
      <c r="AJ435" s="135"/>
      <c r="AK435" s="57"/>
      <c r="AL435" s="289" t="s">
        <v>289</v>
      </c>
      <c r="AM435" s="289"/>
      <c r="AN435" s="289"/>
      <c r="AO435" s="289"/>
      <c r="AP435" s="289"/>
      <c r="AQ435" s="289">
        <v>1478</v>
      </c>
      <c r="AR435" s="289"/>
      <c r="AS435" s="207" t="s">
        <v>132</v>
      </c>
      <c r="AT435" s="116" t="s">
        <v>1961</v>
      </c>
      <c r="AU435" s="67" t="s">
        <v>2958</v>
      </c>
      <c r="AW435" s="67" t="s">
        <v>105</v>
      </c>
      <c r="AX435" s="113" t="s">
        <v>106</v>
      </c>
      <c r="AY435" s="222">
        <v>94117</v>
      </c>
      <c r="AZ435" s="199" t="s">
        <v>2964</v>
      </c>
      <c r="BA435" s="207"/>
    </row>
    <row r="436" spans="1:53" s="251" customFormat="1" ht="14.15" customHeight="1" x14ac:dyDescent="0.4">
      <c r="A436" s="256" t="s">
        <v>2965</v>
      </c>
      <c r="B436" s="67" t="s">
        <v>118</v>
      </c>
      <c r="C436" s="224" t="s">
        <v>119</v>
      </c>
      <c r="D436" s="115"/>
      <c r="E436" s="120" t="s">
        <v>100</v>
      </c>
      <c r="F436" s="82"/>
      <c r="G436" s="84"/>
      <c r="H436" s="90" t="s">
        <v>100</v>
      </c>
      <c r="I436" s="91"/>
      <c r="J436" s="97"/>
      <c r="K436" s="102">
        <v>44461</v>
      </c>
      <c r="L436" s="327"/>
      <c r="M436" s="106">
        <v>44341</v>
      </c>
      <c r="N436" s="113" t="s">
        <v>1347</v>
      </c>
      <c r="O436" s="113"/>
      <c r="P436" s="57" t="s">
        <v>2957</v>
      </c>
      <c r="Q436" s="132">
        <v>8.6249999999999993E-2</v>
      </c>
      <c r="R436" s="132"/>
      <c r="S436" s="63" t="s">
        <v>103</v>
      </c>
      <c r="T436" s="67" t="s">
        <v>2966</v>
      </c>
      <c r="U436" s="67" t="s">
        <v>105</v>
      </c>
      <c r="V436" s="113" t="s">
        <v>106</v>
      </c>
      <c r="W436" s="222">
        <v>94123</v>
      </c>
      <c r="X436" s="139" t="s">
        <v>2960</v>
      </c>
      <c r="Y436" s="139" t="s">
        <v>2960</v>
      </c>
      <c r="Z436" s="139" t="s">
        <v>2961</v>
      </c>
      <c r="AA436" s="200"/>
      <c r="AB436" s="130"/>
      <c r="AC436" s="202"/>
      <c r="AD436" s="200"/>
      <c r="AE436" s="113"/>
      <c r="AF436" s="113"/>
      <c r="AG436" s="113"/>
      <c r="AH436" s="113"/>
      <c r="AI436" s="130"/>
      <c r="AJ436" s="135"/>
      <c r="AK436" s="57"/>
      <c r="AL436" s="287"/>
      <c r="AM436" s="288"/>
      <c r="AN436" s="288"/>
      <c r="AO436" s="288"/>
      <c r="AP436" s="288"/>
      <c r="AQ436" s="288">
        <v>1478</v>
      </c>
      <c r="AR436" s="288"/>
      <c r="AS436" s="207"/>
      <c r="AT436" s="116"/>
      <c r="AU436" s="67" t="s">
        <v>2966</v>
      </c>
      <c r="AW436" s="67" t="s">
        <v>105</v>
      </c>
      <c r="AX436" s="113" t="s">
        <v>106</v>
      </c>
      <c r="AY436" s="222">
        <v>94123</v>
      </c>
      <c r="AZ436" s="199"/>
      <c r="BA436" s="317"/>
    </row>
    <row r="437" spans="1:53" s="251" customFormat="1" ht="14.15" customHeight="1" x14ac:dyDescent="0.4">
      <c r="A437" s="256" t="s">
        <v>2967</v>
      </c>
      <c r="B437" s="67" t="s">
        <v>174</v>
      </c>
      <c r="C437" s="224" t="s">
        <v>2968</v>
      </c>
      <c r="D437" s="115"/>
      <c r="E437" s="120" t="s">
        <v>174</v>
      </c>
      <c r="F437" s="82"/>
      <c r="G437" s="84"/>
      <c r="H437" s="125" t="s">
        <v>2969</v>
      </c>
      <c r="I437" s="91">
        <v>45756</v>
      </c>
      <c r="J437" s="97"/>
      <c r="K437" s="102"/>
      <c r="L437" s="327"/>
      <c r="M437" s="106">
        <v>45392</v>
      </c>
      <c r="N437" s="113" t="s">
        <v>2970</v>
      </c>
      <c r="O437" s="113" t="s">
        <v>2971</v>
      </c>
      <c r="P437" s="57" t="s">
        <v>2972</v>
      </c>
      <c r="Q437" s="132">
        <v>8.2500000000000004E-2</v>
      </c>
      <c r="R437" s="132"/>
      <c r="S437" s="63" t="s">
        <v>759</v>
      </c>
      <c r="T437" s="67" t="s">
        <v>2973</v>
      </c>
      <c r="U437" s="67" t="s">
        <v>2896</v>
      </c>
      <c r="V437" s="113" t="s">
        <v>106</v>
      </c>
      <c r="W437" s="222">
        <v>94920</v>
      </c>
      <c r="X437" s="141" t="s">
        <v>2974</v>
      </c>
      <c r="Y437" s="319"/>
      <c r="Z437" s="319"/>
      <c r="AA437" s="200"/>
      <c r="AB437" s="130"/>
      <c r="AC437" s="202"/>
      <c r="AD437" s="200"/>
      <c r="AE437" s="113"/>
      <c r="AF437" s="113"/>
      <c r="AG437" s="113"/>
      <c r="AH437" s="113"/>
      <c r="AI437" s="130"/>
      <c r="AJ437" s="135"/>
      <c r="AK437" s="57"/>
      <c r="AL437" s="287"/>
      <c r="AM437" s="288"/>
      <c r="AN437" s="288"/>
      <c r="AO437" s="288"/>
      <c r="AP437" s="288"/>
      <c r="AQ437" s="288"/>
      <c r="AR437" s="288"/>
      <c r="AS437" s="207"/>
      <c r="AT437" s="116" t="s">
        <v>116</v>
      </c>
      <c r="AU437" s="67" t="s">
        <v>2973</v>
      </c>
      <c r="AW437" s="67" t="s">
        <v>2896</v>
      </c>
      <c r="AX437" s="113" t="s">
        <v>106</v>
      </c>
      <c r="AY437" s="222">
        <v>94920</v>
      </c>
      <c r="AZ437" s="199" t="s">
        <v>2971</v>
      </c>
      <c r="BA437" s="317"/>
    </row>
    <row r="438" spans="1:53" s="251" customFormat="1" ht="14.15" customHeight="1" x14ac:dyDescent="0.4">
      <c r="A438" s="256" t="s">
        <v>2975</v>
      </c>
      <c r="B438" s="67" t="s">
        <v>2976</v>
      </c>
      <c r="C438" s="224" t="s">
        <v>99</v>
      </c>
      <c r="D438" s="115"/>
      <c r="E438" s="120" t="s">
        <v>100</v>
      </c>
      <c r="F438" s="82"/>
      <c r="G438" s="84"/>
      <c r="H438" s="90" t="s">
        <v>100</v>
      </c>
      <c r="I438" s="91"/>
      <c r="J438" s="97"/>
      <c r="K438" s="102">
        <v>45104</v>
      </c>
      <c r="L438" s="327"/>
      <c r="M438" s="106">
        <v>43613</v>
      </c>
      <c r="N438" s="113" t="s">
        <v>512</v>
      </c>
      <c r="O438" s="113" t="s">
        <v>2977</v>
      </c>
      <c r="P438" s="57"/>
      <c r="Q438" s="132">
        <v>9.2499999999999999E-2</v>
      </c>
      <c r="R438" s="132"/>
      <c r="S438" s="63" t="s">
        <v>226</v>
      </c>
      <c r="T438" s="67" t="s">
        <v>2978</v>
      </c>
      <c r="U438" s="67" t="s">
        <v>228</v>
      </c>
      <c r="V438" s="113" t="s">
        <v>106</v>
      </c>
      <c r="W438" s="222">
        <v>94901</v>
      </c>
      <c r="X438" s="141"/>
      <c r="Y438" s="236"/>
      <c r="Z438" s="236"/>
      <c r="AA438" s="200"/>
      <c r="AB438" s="130"/>
      <c r="AC438" s="202"/>
      <c r="AD438" s="200"/>
      <c r="AE438" s="113"/>
      <c r="AF438" s="113"/>
      <c r="AG438" s="113"/>
      <c r="AH438" s="113"/>
      <c r="AI438" s="130"/>
      <c r="AJ438" s="135"/>
      <c r="AK438" s="57"/>
      <c r="AL438" s="287" t="s">
        <v>251</v>
      </c>
      <c r="AM438" s="288">
        <v>13305</v>
      </c>
      <c r="AN438" s="288">
        <v>15157</v>
      </c>
      <c r="AO438" s="288">
        <v>67240</v>
      </c>
      <c r="AP438" s="288"/>
      <c r="AQ438" s="288">
        <v>15741</v>
      </c>
      <c r="AR438" s="288"/>
      <c r="AS438" s="207"/>
      <c r="AT438" s="116"/>
      <c r="AU438" s="67" t="s">
        <v>2978</v>
      </c>
      <c r="AW438" s="67" t="s">
        <v>228</v>
      </c>
      <c r="AX438" s="113" t="s">
        <v>106</v>
      </c>
      <c r="AY438" s="222">
        <v>94901</v>
      </c>
      <c r="AZ438" s="199" t="s">
        <v>2977</v>
      </c>
      <c r="BA438" s="317"/>
    </row>
    <row r="439" spans="1:53" s="251" customFormat="1" ht="14.15" customHeight="1" x14ac:dyDescent="0.4">
      <c r="A439" s="256" t="s">
        <v>2979</v>
      </c>
      <c r="B439" s="67" t="s">
        <v>244</v>
      </c>
      <c r="C439" s="224" t="s">
        <v>2980</v>
      </c>
      <c r="D439" s="115"/>
      <c r="E439" s="120" t="s">
        <v>173</v>
      </c>
      <c r="F439" s="82" t="s">
        <v>174</v>
      </c>
      <c r="G439" s="84"/>
      <c r="H439" s="90"/>
      <c r="I439" s="91"/>
      <c r="J439" s="97"/>
      <c r="K439" s="102">
        <v>44642</v>
      </c>
      <c r="L439" s="327"/>
      <c r="M439" s="106"/>
      <c r="N439" s="113" t="s">
        <v>2981</v>
      </c>
      <c r="O439" s="130" t="s">
        <v>2982</v>
      </c>
      <c r="P439" s="57"/>
      <c r="Q439" s="132">
        <v>9.7500000000000003E-2</v>
      </c>
      <c r="R439" s="132"/>
      <c r="S439" s="63" t="s">
        <v>205</v>
      </c>
      <c r="T439" s="57" t="s">
        <v>2983</v>
      </c>
      <c r="U439" s="67" t="s">
        <v>138</v>
      </c>
      <c r="V439" s="113" t="s">
        <v>106</v>
      </c>
      <c r="W439" s="222">
        <v>94520</v>
      </c>
      <c r="X439" s="141" t="s">
        <v>2984</v>
      </c>
      <c r="Y439" s="141" t="s">
        <v>2984</v>
      </c>
      <c r="Z439" s="141" t="s">
        <v>2984</v>
      </c>
      <c r="AA439" s="200"/>
      <c r="AB439" s="130"/>
      <c r="AC439" s="202"/>
      <c r="AD439" s="200"/>
      <c r="AE439" s="113"/>
      <c r="AF439" s="113"/>
      <c r="AG439" s="113"/>
      <c r="AH439" s="113"/>
      <c r="AI439" s="130"/>
      <c r="AJ439" s="135"/>
      <c r="AK439" s="57"/>
      <c r="AL439" s="287" t="s">
        <v>251</v>
      </c>
      <c r="AM439" s="288">
        <v>13305</v>
      </c>
      <c r="AN439" s="288">
        <v>62245</v>
      </c>
      <c r="AO439" s="288"/>
      <c r="AP439" s="288"/>
      <c r="AQ439" s="288"/>
      <c r="AR439" s="288"/>
      <c r="AS439" s="207"/>
      <c r="AT439" s="116"/>
      <c r="AU439" s="57" t="s">
        <v>2983</v>
      </c>
      <c r="AW439" s="67" t="s">
        <v>138</v>
      </c>
      <c r="AX439" s="113" t="s">
        <v>106</v>
      </c>
      <c r="AY439" s="222">
        <v>94520</v>
      </c>
      <c r="AZ439" s="57" t="s">
        <v>2982</v>
      </c>
      <c r="BA439" s="317"/>
    </row>
    <row r="440" spans="1:53" ht="14.15" customHeight="1" x14ac:dyDescent="0.4">
      <c r="A440" s="256" t="s">
        <v>2985</v>
      </c>
      <c r="B440" s="67" t="s">
        <v>98</v>
      </c>
      <c r="C440" s="68" t="s">
        <v>99</v>
      </c>
      <c r="E440" s="120" t="s">
        <v>100</v>
      </c>
      <c r="F440" s="82"/>
      <c r="G440" s="84"/>
      <c r="H440" s="90" t="s">
        <v>100</v>
      </c>
      <c r="I440" s="91"/>
      <c r="J440" s="97"/>
      <c r="K440" s="102">
        <v>45002</v>
      </c>
      <c r="L440" s="327"/>
      <c r="M440" s="106"/>
      <c r="N440" s="128" t="s">
        <v>2986</v>
      </c>
      <c r="O440" s="128" t="s">
        <v>2987</v>
      </c>
      <c r="Q440" s="131">
        <v>0.10249999999999999</v>
      </c>
      <c r="S440" s="63" t="s">
        <v>6340</v>
      </c>
      <c r="T440" s="67" t="s">
        <v>2988</v>
      </c>
      <c r="U440" s="67" t="s">
        <v>1372</v>
      </c>
      <c r="V440" s="79" t="s">
        <v>106</v>
      </c>
      <c r="W440" s="76">
        <v>95472</v>
      </c>
      <c r="X440" s="141" t="s">
        <v>2989</v>
      </c>
      <c r="AI440" s="135" t="s">
        <v>2987</v>
      </c>
      <c r="AO440" s="288">
        <v>67240</v>
      </c>
      <c r="AS440" s="207" t="s">
        <v>132</v>
      </c>
      <c r="AT440" s="116" t="s">
        <v>532</v>
      </c>
      <c r="AU440" s="67" t="s">
        <v>2988</v>
      </c>
      <c r="AW440" s="67" t="s">
        <v>1372</v>
      </c>
      <c r="AX440" s="79" t="s">
        <v>106</v>
      </c>
      <c r="AY440" s="76">
        <v>95472</v>
      </c>
      <c r="AZ440" s="77" t="s">
        <v>2987</v>
      </c>
    </row>
    <row r="441" spans="1:53" ht="14.15" customHeight="1" x14ac:dyDescent="0.4">
      <c r="A441" s="256" t="s">
        <v>2990</v>
      </c>
      <c r="B441" s="67" t="s">
        <v>269</v>
      </c>
      <c r="C441" s="224" t="s">
        <v>109</v>
      </c>
      <c r="D441" s="115"/>
      <c r="E441" s="120" t="s">
        <v>100</v>
      </c>
      <c r="F441" s="82"/>
      <c r="G441" s="84"/>
      <c r="H441" s="90" t="s">
        <v>100</v>
      </c>
      <c r="I441" s="91"/>
      <c r="J441" s="97"/>
      <c r="K441" s="102">
        <v>43491</v>
      </c>
      <c r="L441" s="327"/>
      <c r="M441" s="106">
        <v>44963</v>
      </c>
      <c r="N441" s="113" t="s">
        <v>111</v>
      </c>
      <c r="O441" s="113" t="s">
        <v>2991</v>
      </c>
      <c r="P441" s="57"/>
      <c r="Q441" s="132">
        <v>0.10249999999999999</v>
      </c>
      <c r="R441" s="132"/>
      <c r="S441" s="63" t="s">
        <v>113</v>
      </c>
      <c r="T441" s="67" t="s">
        <v>2992</v>
      </c>
      <c r="U441" s="67" t="s">
        <v>115</v>
      </c>
      <c r="V441" s="113" t="s">
        <v>106</v>
      </c>
      <c r="W441" s="222">
        <v>94601</v>
      </c>
      <c r="X441" s="141"/>
      <c r="Z441" s="236"/>
      <c r="AA441" s="200"/>
      <c r="AB441" s="130"/>
      <c r="AC441" s="202"/>
      <c r="AD441" s="200"/>
      <c r="AE441" s="113"/>
      <c r="AF441" s="113"/>
      <c r="AG441" s="113"/>
      <c r="AH441" s="113"/>
      <c r="AI441" s="130"/>
      <c r="AK441" s="57"/>
      <c r="AL441" s="287" t="s">
        <v>149</v>
      </c>
      <c r="AS441" s="207" t="s">
        <v>132</v>
      </c>
      <c r="AT441" s="116" t="s">
        <v>1961</v>
      </c>
      <c r="AU441" s="67" t="s">
        <v>2992</v>
      </c>
      <c r="AV441" s="251"/>
      <c r="AW441" s="67" t="s">
        <v>115</v>
      </c>
      <c r="AX441" s="113" t="s">
        <v>106</v>
      </c>
      <c r="AY441" s="222">
        <v>94601</v>
      </c>
      <c r="AZ441" s="199" t="s">
        <v>2991</v>
      </c>
      <c r="BA441" s="317"/>
    </row>
    <row r="442" spans="1:53" s="251" customFormat="1" ht="14.15" customHeight="1" x14ac:dyDescent="0.4">
      <c r="A442" s="256" t="s">
        <v>2993</v>
      </c>
      <c r="B442" s="67" t="s">
        <v>98</v>
      </c>
      <c r="C442" s="224" t="s">
        <v>99</v>
      </c>
      <c r="D442" s="115"/>
      <c r="E442" s="120" t="s">
        <v>100</v>
      </c>
      <c r="F442" s="82"/>
      <c r="G442" s="84"/>
      <c r="H442" s="90" t="s">
        <v>100</v>
      </c>
      <c r="I442" s="91"/>
      <c r="J442" s="97"/>
      <c r="K442" s="102"/>
      <c r="L442" s="327"/>
      <c r="M442" s="106">
        <v>44119</v>
      </c>
      <c r="N442" s="113" t="s">
        <v>2994</v>
      </c>
      <c r="O442" s="113" t="s">
        <v>2995</v>
      </c>
      <c r="P442" s="57"/>
      <c r="Q442" s="132">
        <v>9.2499999999999999E-2</v>
      </c>
      <c r="R442" s="132"/>
      <c r="S442" s="63" t="s">
        <v>303</v>
      </c>
      <c r="T442" s="67" t="s">
        <v>2996</v>
      </c>
      <c r="U442" s="67" t="s">
        <v>1533</v>
      </c>
      <c r="V442" s="113" t="s">
        <v>106</v>
      </c>
      <c r="W442" s="222">
        <v>94590</v>
      </c>
      <c r="X442" s="141"/>
      <c r="Y442" s="236"/>
      <c r="Z442" s="236"/>
      <c r="AA442" s="200"/>
      <c r="AB442" s="130"/>
      <c r="AC442" s="202"/>
      <c r="AD442" s="200"/>
      <c r="AE442" s="113"/>
      <c r="AF442" s="113"/>
      <c r="AG442" s="113"/>
      <c r="AH442" s="113"/>
      <c r="AI442" s="130"/>
      <c r="AJ442" s="135"/>
      <c r="AK442" s="57"/>
      <c r="AL442" s="287"/>
      <c r="AM442" s="288"/>
      <c r="AN442" s="288"/>
      <c r="AO442" s="288"/>
      <c r="AP442" s="288"/>
      <c r="AQ442" s="288"/>
      <c r="AR442" s="288"/>
      <c r="AS442" s="207"/>
      <c r="AT442" s="116"/>
      <c r="AU442" s="67" t="s">
        <v>2997</v>
      </c>
      <c r="AW442" s="67" t="s">
        <v>1533</v>
      </c>
      <c r="AX442" s="113" t="s">
        <v>106</v>
      </c>
      <c r="AY442" s="222">
        <v>94590</v>
      </c>
      <c r="AZ442" s="199" t="s">
        <v>2995</v>
      </c>
      <c r="BA442" s="317"/>
    </row>
    <row r="443" spans="1:53" s="251" customFormat="1" ht="14.15" customHeight="1" x14ac:dyDescent="0.4">
      <c r="A443" s="256" t="s">
        <v>2998</v>
      </c>
      <c r="B443" s="67" t="s">
        <v>269</v>
      </c>
      <c r="C443" s="224" t="s">
        <v>119</v>
      </c>
      <c r="D443" s="113"/>
      <c r="E443" s="120" t="s">
        <v>173</v>
      </c>
      <c r="F443" s="82">
        <v>45550</v>
      </c>
      <c r="G443" s="84">
        <v>750</v>
      </c>
      <c r="H443" s="90" t="s">
        <v>100</v>
      </c>
      <c r="I443" s="91"/>
      <c r="J443" s="97"/>
      <c r="K443" s="102">
        <v>45832</v>
      </c>
      <c r="L443" s="327"/>
      <c r="M443" s="106">
        <v>45846</v>
      </c>
      <c r="N443" s="113" t="s">
        <v>2999</v>
      </c>
      <c r="O443" s="113" t="s">
        <v>3000</v>
      </c>
      <c r="P443" s="57"/>
      <c r="Q443" s="132">
        <v>9.375E-2</v>
      </c>
      <c r="R443" s="132"/>
      <c r="S443" s="63" t="s">
        <v>1685</v>
      </c>
      <c r="T443" s="67" t="s">
        <v>3001</v>
      </c>
      <c r="U443" s="67" t="s">
        <v>2505</v>
      </c>
      <c r="V443" s="113" t="s">
        <v>106</v>
      </c>
      <c r="W443" s="222">
        <v>94030</v>
      </c>
      <c r="X443" s="141" t="s">
        <v>3002</v>
      </c>
      <c r="Y443" s="226" t="s">
        <v>3003</v>
      </c>
      <c r="Z443" s="226" t="s">
        <v>3003</v>
      </c>
      <c r="AA443" s="200"/>
      <c r="AB443" s="130"/>
      <c r="AC443" s="202"/>
      <c r="AD443" s="200"/>
      <c r="AE443" s="113"/>
      <c r="AF443" s="113"/>
      <c r="AG443" s="113"/>
      <c r="AH443" s="113"/>
      <c r="AI443" s="130" t="s">
        <v>3004</v>
      </c>
      <c r="AJ443" s="135"/>
      <c r="AK443" s="57"/>
      <c r="AL443" s="290" t="s">
        <v>251</v>
      </c>
      <c r="AM443" s="290" t="s">
        <v>198</v>
      </c>
      <c r="AN443" s="290">
        <v>13305</v>
      </c>
      <c r="AO443" s="290">
        <v>62245</v>
      </c>
      <c r="AP443" s="290"/>
      <c r="AQ443" s="290"/>
      <c r="AR443" s="290"/>
      <c r="AS443" s="207" t="s">
        <v>132</v>
      </c>
      <c r="AT443" s="116" t="s">
        <v>1961</v>
      </c>
      <c r="AU443" s="67" t="s">
        <v>3001</v>
      </c>
      <c r="AW443" s="67" t="s">
        <v>2505</v>
      </c>
      <c r="AX443" s="113" t="s">
        <v>106</v>
      </c>
      <c r="AY443" s="222">
        <v>94030</v>
      </c>
      <c r="AZ443" s="199" t="s">
        <v>3000</v>
      </c>
      <c r="BA443" s="317"/>
    </row>
    <row r="444" spans="1:53" s="251" customFormat="1" ht="14.15" customHeight="1" x14ac:dyDescent="0.4">
      <c r="A444" s="256" t="s">
        <v>3005</v>
      </c>
      <c r="B444" s="67" t="s">
        <v>98</v>
      </c>
      <c r="C444" s="224" t="s">
        <v>254</v>
      </c>
      <c r="D444" s="115"/>
      <c r="E444" s="120" t="s">
        <v>100</v>
      </c>
      <c r="F444" s="82"/>
      <c r="G444" s="84"/>
      <c r="H444" s="90" t="s">
        <v>100</v>
      </c>
      <c r="I444" s="91"/>
      <c r="J444" s="97"/>
      <c r="K444" s="102">
        <v>45208</v>
      </c>
      <c r="L444" s="327"/>
      <c r="M444" s="106">
        <v>44377</v>
      </c>
      <c r="N444" s="113" t="s">
        <v>3006</v>
      </c>
      <c r="O444" s="113" t="s">
        <v>3007</v>
      </c>
      <c r="P444" s="57"/>
      <c r="Q444" s="132">
        <v>9.2499999999999999E-2</v>
      </c>
      <c r="R444" s="132"/>
      <c r="S444" s="63" t="s">
        <v>226</v>
      </c>
      <c r="T444" s="67" t="s">
        <v>3008</v>
      </c>
      <c r="U444" s="67" t="s">
        <v>228</v>
      </c>
      <c r="V444" s="113" t="s">
        <v>106</v>
      </c>
      <c r="W444" s="222">
        <v>94901</v>
      </c>
      <c r="X444" s="141" t="s">
        <v>3009</v>
      </c>
      <c r="Y444" s="236"/>
      <c r="Z444" s="236"/>
      <c r="AA444" s="200"/>
      <c r="AB444" s="130"/>
      <c r="AC444" s="202"/>
      <c r="AD444" s="200"/>
      <c r="AE444" s="113"/>
      <c r="AF444" s="113"/>
      <c r="AG444" s="113"/>
      <c r="AH444" s="113"/>
      <c r="AI444" s="130"/>
      <c r="AJ444" s="135"/>
      <c r="AK444" s="57"/>
      <c r="AL444" s="287">
        <v>54230</v>
      </c>
      <c r="AM444" s="288">
        <v>18333</v>
      </c>
      <c r="AN444" s="288" t="s">
        <v>257</v>
      </c>
      <c r="AO444" s="288">
        <v>62245</v>
      </c>
      <c r="AP444" s="288"/>
      <c r="AQ444" s="288"/>
      <c r="AR444" s="288"/>
      <c r="AS444" s="207" t="s">
        <v>132</v>
      </c>
      <c r="AT444" s="116" t="s">
        <v>1961</v>
      </c>
      <c r="AU444" s="67" t="s">
        <v>3008</v>
      </c>
      <c r="AW444" s="67" t="s">
        <v>228</v>
      </c>
      <c r="AX444" s="113" t="s">
        <v>106</v>
      </c>
      <c r="AY444" s="222">
        <v>94901</v>
      </c>
      <c r="AZ444" s="199" t="s">
        <v>3007</v>
      </c>
      <c r="BA444" s="317"/>
    </row>
    <row r="445" spans="1:53" s="251" customFormat="1" ht="14.15" customHeight="1" x14ac:dyDescent="0.4">
      <c r="A445" s="256" t="s">
        <v>3010</v>
      </c>
      <c r="B445" s="67" t="s">
        <v>689</v>
      </c>
      <c r="C445" s="68" t="s">
        <v>99</v>
      </c>
      <c r="D445" s="79"/>
      <c r="E445" s="120" t="s">
        <v>173</v>
      </c>
      <c r="F445" s="82" t="s">
        <v>174</v>
      </c>
      <c r="G445" s="84"/>
      <c r="H445" s="90" t="s">
        <v>100</v>
      </c>
      <c r="I445" s="91"/>
      <c r="J445" s="97"/>
      <c r="K445" s="102">
        <v>45058</v>
      </c>
      <c r="L445" s="327"/>
      <c r="M445" s="106"/>
      <c r="N445" s="128" t="s">
        <v>3011</v>
      </c>
      <c r="O445" s="128" t="s">
        <v>3012</v>
      </c>
      <c r="P445" s="59"/>
      <c r="Q445" s="131">
        <v>8.2500000000000004E-2</v>
      </c>
      <c r="R445" s="131"/>
      <c r="S445" s="63" t="s">
        <v>759</v>
      </c>
      <c r="T445" s="67" t="s">
        <v>3013</v>
      </c>
      <c r="U445" s="67" t="s">
        <v>2896</v>
      </c>
      <c r="V445" s="79" t="s">
        <v>106</v>
      </c>
      <c r="W445" s="76">
        <v>94920</v>
      </c>
      <c r="X445" s="147"/>
      <c r="Y445" s="236"/>
      <c r="Z445" s="234"/>
      <c r="AA445" s="79"/>
      <c r="AB445" s="135"/>
      <c r="AC445" s="136"/>
      <c r="AD445" s="79"/>
      <c r="AE445" s="128"/>
      <c r="AF445" s="128"/>
      <c r="AG445" s="128"/>
      <c r="AH445" s="128"/>
      <c r="AI445" s="135"/>
      <c r="AJ445" s="135"/>
      <c r="AK445" s="58"/>
      <c r="AL445" s="287" t="s">
        <v>251</v>
      </c>
      <c r="AM445" s="288">
        <v>13305</v>
      </c>
      <c r="AN445" s="288"/>
      <c r="AO445" s="288">
        <v>62245</v>
      </c>
      <c r="AP445" s="288"/>
      <c r="AQ445" s="288"/>
      <c r="AR445" s="288"/>
      <c r="AS445" s="207"/>
      <c r="AT445" s="116"/>
      <c r="AU445" s="67" t="s">
        <v>3013</v>
      </c>
      <c r="AV445" s="66"/>
      <c r="AW445" s="67" t="s">
        <v>2896</v>
      </c>
      <c r="AX445" s="79" t="s">
        <v>106</v>
      </c>
      <c r="AY445" s="76">
        <v>94920</v>
      </c>
      <c r="AZ445" s="77" t="s">
        <v>3012</v>
      </c>
      <c r="BA445" s="75"/>
    </row>
    <row r="446" spans="1:53" s="251" customFormat="1" ht="14.15" customHeight="1" x14ac:dyDescent="0.4">
      <c r="A446" s="256" t="s">
        <v>3014</v>
      </c>
      <c r="B446" s="67" t="s">
        <v>174</v>
      </c>
      <c r="C446" s="68" t="s">
        <v>99</v>
      </c>
      <c r="D446" s="79"/>
      <c r="E446" s="120" t="s">
        <v>1166</v>
      </c>
      <c r="F446" s="82" t="s">
        <v>174</v>
      </c>
      <c r="G446" s="84"/>
      <c r="H446" s="90" t="s">
        <v>174</v>
      </c>
      <c r="I446" s="91"/>
      <c r="J446" s="97"/>
      <c r="K446" s="102">
        <v>45783</v>
      </c>
      <c r="L446" s="327"/>
      <c r="M446" s="106"/>
      <c r="N446" s="128" t="s">
        <v>2662</v>
      </c>
      <c r="O446" s="128" t="s">
        <v>3015</v>
      </c>
      <c r="P446" s="59"/>
      <c r="Q446" s="131">
        <v>8.6249999999999993E-2</v>
      </c>
      <c r="R446" s="131"/>
      <c r="S446" s="63" t="s">
        <v>103</v>
      </c>
      <c r="T446" s="67" t="s">
        <v>3016</v>
      </c>
      <c r="U446" s="67" t="s">
        <v>105</v>
      </c>
      <c r="V446" s="79" t="s">
        <v>106</v>
      </c>
      <c r="W446" s="76">
        <v>94123</v>
      </c>
      <c r="X446" s="147"/>
      <c r="Y446" s="236"/>
      <c r="Z446" s="234"/>
      <c r="AA446" s="79"/>
      <c r="AB446" s="135"/>
      <c r="AC446" s="136"/>
      <c r="AD446" s="79"/>
      <c r="AE446" s="128"/>
      <c r="AF446" s="128"/>
      <c r="AG446" s="128"/>
      <c r="AH446" s="128"/>
      <c r="AI446" s="135"/>
      <c r="AJ446" s="135"/>
      <c r="AK446" s="58"/>
      <c r="AL446" s="287" t="s">
        <v>251</v>
      </c>
      <c r="AM446" s="288">
        <v>13305</v>
      </c>
      <c r="AN446" s="288" t="s">
        <v>257</v>
      </c>
      <c r="AO446" s="288">
        <v>62245</v>
      </c>
      <c r="AP446" s="288"/>
      <c r="AQ446" s="288"/>
      <c r="AR446" s="288"/>
      <c r="AS446" s="207" t="s">
        <v>132</v>
      </c>
      <c r="AT446" s="116" t="s">
        <v>258</v>
      </c>
      <c r="AU446" s="67" t="s">
        <v>3017</v>
      </c>
      <c r="AV446" s="66"/>
      <c r="AW446" s="67" t="s">
        <v>105</v>
      </c>
      <c r="AX446" s="79" t="s">
        <v>106</v>
      </c>
      <c r="AY446" s="76">
        <v>94123</v>
      </c>
      <c r="AZ446" s="77" t="s">
        <v>3015</v>
      </c>
      <c r="BA446" s="75"/>
    </row>
    <row r="447" spans="1:53" ht="14.15" customHeight="1" x14ac:dyDescent="0.4">
      <c r="A447" s="256" t="s">
        <v>3018</v>
      </c>
      <c r="B447" s="67" t="s">
        <v>98</v>
      </c>
      <c r="C447" s="68" t="s">
        <v>99</v>
      </c>
      <c r="E447" s="120" t="s">
        <v>100</v>
      </c>
      <c r="F447" s="82"/>
      <c r="G447" s="84"/>
      <c r="H447" s="90" t="s">
        <v>100</v>
      </c>
      <c r="I447" s="91"/>
      <c r="J447" s="97"/>
      <c r="K447" s="102">
        <v>45022</v>
      </c>
      <c r="L447" s="327"/>
      <c r="M447" s="106"/>
      <c r="N447" s="128" t="s">
        <v>1100</v>
      </c>
      <c r="O447" s="128" t="s">
        <v>751</v>
      </c>
      <c r="Q447" s="131">
        <v>9.2499999999999999E-2</v>
      </c>
      <c r="S447" s="63" t="s">
        <v>420</v>
      </c>
      <c r="T447" s="67" t="s">
        <v>752</v>
      </c>
      <c r="U447" s="67" t="s">
        <v>420</v>
      </c>
      <c r="V447" s="79" t="s">
        <v>106</v>
      </c>
      <c r="W447" s="76">
        <v>94949</v>
      </c>
      <c r="AM447" s="288">
        <v>13305</v>
      </c>
      <c r="AO447" s="288">
        <v>62245</v>
      </c>
      <c r="AS447" s="207" t="s">
        <v>132</v>
      </c>
      <c r="AT447" s="116" t="s">
        <v>532</v>
      </c>
      <c r="AU447" s="67" t="s">
        <v>752</v>
      </c>
      <c r="AW447" s="67" t="s">
        <v>420</v>
      </c>
      <c r="AX447" s="79" t="s">
        <v>106</v>
      </c>
      <c r="AY447" s="76">
        <v>94949</v>
      </c>
      <c r="AZ447" s="77" t="s">
        <v>751</v>
      </c>
    </row>
    <row r="448" spans="1:53" s="251" customFormat="1" ht="14.15" customHeight="1" x14ac:dyDescent="0.4">
      <c r="A448" s="256" t="s">
        <v>3019</v>
      </c>
      <c r="B448" s="67" t="s">
        <v>3020</v>
      </c>
      <c r="C448" s="68" t="s">
        <v>99</v>
      </c>
      <c r="D448" s="79"/>
      <c r="E448" s="120" t="s">
        <v>100</v>
      </c>
      <c r="F448" s="82"/>
      <c r="G448" s="84"/>
      <c r="H448" s="90" t="s">
        <v>100</v>
      </c>
      <c r="I448" s="91"/>
      <c r="J448" s="97"/>
      <c r="K448" s="102"/>
      <c r="L448" s="327"/>
      <c r="M448" s="106">
        <v>45303</v>
      </c>
      <c r="N448" s="128" t="s">
        <v>3021</v>
      </c>
      <c r="O448" s="128" t="s">
        <v>3022</v>
      </c>
      <c r="P448" s="59"/>
      <c r="Q448" s="131">
        <v>0.1075</v>
      </c>
      <c r="R448" s="131"/>
      <c r="S448" s="63" t="s">
        <v>113</v>
      </c>
      <c r="T448" s="67" t="s">
        <v>3023</v>
      </c>
      <c r="U448" s="67" t="s">
        <v>115</v>
      </c>
      <c r="V448" s="79" t="s">
        <v>106</v>
      </c>
      <c r="W448" s="76">
        <v>94621</v>
      </c>
      <c r="X448" s="147"/>
      <c r="Y448" s="236"/>
      <c r="Z448" s="234"/>
      <c r="AA448" s="79"/>
      <c r="AB448" s="135"/>
      <c r="AC448" s="136"/>
      <c r="AD448" s="79"/>
      <c r="AE448" s="128"/>
      <c r="AF448" s="128"/>
      <c r="AG448" s="128"/>
      <c r="AH448" s="128"/>
      <c r="AI448" s="135"/>
      <c r="AJ448" s="135"/>
      <c r="AK448" s="58"/>
      <c r="AL448" s="287"/>
      <c r="AM448" s="288"/>
      <c r="AN448" s="288"/>
      <c r="AO448" s="288"/>
      <c r="AP448" s="288"/>
      <c r="AQ448" s="288"/>
      <c r="AR448" s="288"/>
      <c r="AS448" s="207"/>
      <c r="AT448" s="116"/>
      <c r="AU448" s="67"/>
      <c r="AV448" s="66"/>
      <c r="AW448" s="67"/>
      <c r="AX448" s="79"/>
      <c r="AY448" s="76"/>
      <c r="AZ448" s="77"/>
      <c r="BA448" s="75"/>
    </row>
    <row r="449" spans="1:53" ht="14.15" customHeight="1" x14ac:dyDescent="0.4">
      <c r="A449" s="256" t="s">
        <v>3024</v>
      </c>
      <c r="B449" s="67" t="s">
        <v>98</v>
      </c>
      <c r="C449" s="224" t="s">
        <v>99</v>
      </c>
      <c r="D449" s="115"/>
      <c r="E449" s="120" t="s">
        <v>100</v>
      </c>
      <c r="F449" s="82"/>
      <c r="G449" s="84"/>
      <c r="H449" s="90" t="s">
        <v>100</v>
      </c>
      <c r="I449" s="91"/>
      <c r="J449" s="97"/>
      <c r="K449" s="102">
        <v>45492</v>
      </c>
      <c r="L449" s="327"/>
      <c r="M449" s="106"/>
      <c r="N449" s="113" t="s">
        <v>1159</v>
      </c>
      <c r="O449" s="113" t="s">
        <v>3025</v>
      </c>
      <c r="P449" s="57"/>
      <c r="Q449" s="132">
        <v>8.7499999999999994E-2</v>
      </c>
      <c r="R449" s="132"/>
      <c r="S449" s="63" t="s">
        <v>2250</v>
      </c>
      <c r="T449" s="67" t="s">
        <v>3026</v>
      </c>
      <c r="U449" s="67" t="s">
        <v>3027</v>
      </c>
      <c r="V449" s="113" t="s">
        <v>106</v>
      </c>
      <c r="W449" s="222">
        <v>95330</v>
      </c>
      <c r="X449" s="141"/>
      <c r="Z449" s="236"/>
      <c r="AA449" s="200"/>
      <c r="AB449" s="130"/>
      <c r="AC449" s="202"/>
      <c r="AD449" s="200"/>
      <c r="AE449" s="113"/>
      <c r="AF449" s="113"/>
      <c r="AG449" s="113"/>
      <c r="AH449" s="113"/>
      <c r="AI449" s="130"/>
      <c r="AK449" s="57"/>
      <c r="AL449" s="287" t="s">
        <v>251</v>
      </c>
      <c r="AS449" s="207"/>
      <c r="AT449" s="116" t="s">
        <v>406</v>
      </c>
      <c r="AU449" s="67" t="s">
        <v>3026</v>
      </c>
      <c r="AV449" s="251"/>
      <c r="AW449" s="67" t="s">
        <v>3027</v>
      </c>
      <c r="AX449" s="113" t="s">
        <v>106</v>
      </c>
      <c r="AY449" s="222">
        <v>95330</v>
      </c>
      <c r="AZ449" s="199" t="s">
        <v>3028</v>
      </c>
      <c r="BA449" s="317"/>
    </row>
    <row r="450" spans="1:53" ht="14.15" customHeight="1" x14ac:dyDescent="0.4">
      <c r="A450" s="256" t="s">
        <v>3029</v>
      </c>
      <c r="B450" s="67" t="s">
        <v>98</v>
      </c>
      <c r="C450" s="224" t="s">
        <v>99</v>
      </c>
      <c r="D450" s="113"/>
      <c r="E450" s="120" t="s">
        <v>100</v>
      </c>
      <c r="F450" s="82"/>
      <c r="G450" s="84"/>
      <c r="H450" s="90" t="s">
        <v>100</v>
      </c>
      <c r="I450" s="91"/>
      <c r="J450" s="97"/>
      <c r="K450" s="102">
        <v>45435</v>
      </c>
      <c r="L450" s="327"/>
      <c r="M450" s="106"/>
      <c r="N450" s="113" t="s">
        <v>789</v>
      </c>
      <c r="O450" s="113" t="s">
        <v>3030</v>
      </c>
      <c r="P450" s="57"/>
      <c r="Q450" s="132">
        <v>9.2499999999999999E-2</v>
      </c>
      <c r="R450" s="132"/>
      <c r="S450" s="63" t="s">
        <v>226</v>
      </c>
      <c r="T450" s="67" t="s">
        <v>3031</v>
      </c>
      <c r="U450" s="67" t="s">
        <v>228</v>
      </c>
      <c r="V450" s="113" t="s">
        <v>106</v>
      </c>
      <c r="W450" s="222">
        <v>94901</v>
      </c>
      <c r="X450" s="141"/>
      <c r="Y450" s="141"/>
      <c r="Z450" s="141"/>
      <c r="AA450" s="200"/>
      <c r="AB450" s="130"/>
      <c r="AC450" s="202"/>
      <c r="AD450" s="200"/>
      <c r="AE450" s="113"/>
      <c r="AF450" s="113"/>
      <c r="AG450" s="113"/>
      <c r="AH450" s="113"/>
      <c r="AI450" s="130"/>
      <c r="AK450" s="57"/>
      <c r="AL450" s="290"/>
      <c r="AM450" s="290" t="s">
        <v>180</v>
      </c>
      <c r="AN450" s="290"/>
      <c r="AO450" s="290"/>
      <c r="AP450" s="290"/>
      <c r="AQ450" s="290"/>
      <c r="AR450" s="290"/>
      <c r="AS450" s="207"/>
      <c r="AT450" s="116" t="s">
        <v>3032</v>
      </c>
      <c r="AU450" s="67" t="s">
        <v>3031</v>
      </c>
      <c r="AV450" s="251"/>
      <c r="AW450" s="67" t="s">
        <v>228</v>
      </c>
      <c r="AX450" s="113" t="s">
        <v>106</v>
      </c>
      <c r="AY450" s="222">
        <v>94901</v>
      </c>
      <c r="AZ450" s="199" t="s">
        <v>3030</v>
      </c>
      <c r="BA450" s="317"/>
    </row>
    <row r="451" spans="1:53" s="251" customFormat="1" ht="14.15" customHeight="1" x14ac:dyDescent="0.25">
      <c r="A451" s="256" t="s">
        <v>3033</v>
      </c>
      <c r="B451" s="67" t="s">
        <v>98</v>
      </c>
      <c r="C451" s="68" t="s">
        <v>563</v>
      </c>
      <c r="D451" s="79"/>
      <c r="E451" s="118" t="s">
        <v>100</v>
      </c>
      <c r="F451" s="80"/>
      <c r="G451" s="81"/>
      <c r="H451" s="87" t="s">
        <v>100</v>
      </c>
      <c r="I451" s="86"/>
      <c r="J451" s="96"/>
      <c r="K451" s="100">
        <v>44259</v>
      </c>
      <c r="L451" s="328"/>
      <c r="M451" s="104"/>
      <c r="N451" s="128" t="s">
        <v>3034</v>
      </c>
      <c r="O451" s="128" t="s">
        <v>3035</v>
      </c>
      <c r="P451" s="59"/>
      <c r="Q451" s="132">
        <v>9.2499999999999999E-2</v>
      </c>
      <c r="R451" s="132">
        <v>0.09</v>
      </c>
      <c r="S451" s="63" t="s">
        <v>420</v>
      </c>
      <c r="T451" s="67" t="s">
        <v>3036</v>
      </c>
      <c r="U451" s="67" t="s">
        <v>420</v>
      </c>
      <c r="V451" s="79" t="s">
        <v>106</v>
      </c>
      <c r="W451" s="76">
        <v>94949</v>
      </c>
      <c r="X451" s="147"/>
      <c r="Y451" s="236"/>
      <c r="Z451" s="234"/>
      <c r="AA451" s="79" t="s">
        <v>3037</v>
      </c>
      <c r="AB451" s="135"/>
      <c r="AC451" s="136" t="s">
        <v>3038</v>
      </c>
      <c r="AD451" s="79" t="s">
        <v>3039</v>
      </c>
      <c r="AE451" s="128"/>
      <c r="AF451" s="128"/>
      <c r="AG451" s="128"/>
      <c r="AH451" s="128"/>
      <c r="AI451" s="135" t="s">
        <v>3040</v>
      </c>
      <c r="AJ451" s="135" t="s">
        <v>116</v>
      </c>
      <c r="AK451" s="58"/>
      <c r="AL451" s="290" t="s">
        <v>149</v>
      </c>
      <c r="AM451" s="290"/>
      <c r="AN451" s="290"/>
      <c r="AO451" s="290"/>
      <c r="AP451" s="290"/>
      <c r="AQ451" s="290"/>
      <c r="AR451" s="290"/>
      <c r="AS451" s="207" t="s">
        <v>132</v>
      </c>
      <c r="AT451" s="116" t="s">
        <v>1961</v>
      </c>
      <c r="AU451" s="67" t="s">
        <v>3036</v>
      </c>
      <c r="AV451" s="66"/>
      <c r="AW451" s="67" t="s">
        <v>420</v>
      </c>
      <c r="AX451" s="79" t="s">
        <v>106</v>
      </c>
      <c r="AY451" s="76">
        <v>94949</v>
      </c>
      <c r="AZ451" s="77" t="s">
        <v>3035</v>
      </c>
      <c r="BA451" s="317"/>
    </row>
    <row r="452" spans="1:53" s="251" customFormat="1" ht="14.15" customHeight="1" x14ac:dyDescent="0.4">
      <c r="A452" s="256" t="s">
        <v>3041</v>
      </c>
      <c r="B452" s="67" t="s">
        <v>125</v>
      </c>
      <c r="C452" s="224" t="s">
        <v>99</v>
      </c>
      <c r="D452" s="113" t="s">
        <v>3042</v>
      </c>
      <c r="E452" s="120" t="s">
        <v>100</v>
      </c>
      <c r="F452" s="82"/>
      <c r="G452" s="84"/>
      <c r="H452" s="90" t="s">
        <v>100</v>
      </c>
      <c r="I452" s="91"/>
      <c r="J452" s="97"/>
      <c r="K452" s="102">
        <v>44531</v>
      </c>
      <c r="L452" s="327"/>
      <c r="M452" s="106"/>
      <c r="N452" s="113" t="s">
        <v>3043</v>
      </c>
      <c r="O452" s="113" t="s">
        <v>3044</v>
      </c>
      <c r="P452" s="57"/>
      <c r="Q452" s="132">
        <v>0.09</v>
      </c>
      <c r="R452" s="132">
        <v>0.09</v>
      </c>
      <c r="S452" s="63" t="s">
        <v>1594</v>
      </c>
      <c r="T452" s="67" t="s">
        <v>3045</v>
      </c>
      <c r="U452" s="67" t="s">
        <v>3046</v>
      </c>
      <c r="V452" s="113" t="s">
        <v>106</v>
      </c>
      <c r="W452" s="222">
        <v>94904</v>
      </c>
      <c r="X452" s="147"/>
      <c r="Y452" s="236"/>
      <c r="Z452" s="236"/>
      <c r="AA452" s="200"/>
      <c r="AB452" s="130"/>
      <c r="AC452" s="202"/>
      <c r="AD452" s="200"/>
      <c r="AE452" s="113"/>
      <c r="AF452" s="113"/>
      <c r="AG452" s="113"/>
      <c r="AH452" s="113"/>
      <c r="AI452" s="130"/>
      <c r="AJ452" s="135" t="s">
        <v>116</v>
      </c>
      <c r="AK452" s="57"/>
      <c r="AL452" s="287">
        <v>44150</v>
      </c>
      <c r="AM452" s="288"/>
      <c r="AN452" s="288"/>
      <c r="AO452" s="288" t="s">
        <v>3047</v>
      </c>
      <c r="AP452" s="288"/>
      <c r="AQ452" s="288"/>
      <c r="AR452" s="288"/>
      <c r="AS452" s="207" t="s">
        <v>132</v>
      </c>
      <c r="AT452" s="116" t="s">
        <v>1961</v>
      </c>
      <c r="AU452" s="67" t="s">
        <v>3045</v>
      </c>
      <c r="AW452" s="67" t="s">
        <v>3046</v>
      </c>
      <c r="AX452" s="113" t="s">
        <v>106</v>
      </c>
      <c r="AY452" s="222">
        <v>94904</v>
      </c>
      <c r="AZ452" s="199" t="s">
        <v>3044</v>
      </c>
      <c r="BA452" s="75"/>
    </row>
    <row r="453" spans="1:53" s="251" customFormat="1" ht="14.15" customHeight="1" x14ac:dyDescent="0.4">
      <c r="A453" s="256" t="s">
        <v>3048</v>
      </c>
      <c r="B453" s="67" t="s">
        <v>98</v>
      </c>
      <c r="C453" s="224" t="s">
        <v>99</v>
      </c>
      <c r="D453" s="115"/>
      <c r="E453" s="120" t="s">
        <v>100</v>
      </c>
      <c r="F453" s="82"/>
      <c r="G453" s="84"/>
      <c r="H453" s="90" t="s">
        <v>100</v>
      </c>
      <c r="I453" s="91"/>
      <c r="J453" s="97"/>
      <c r="K453" s="102"/>
      <c r="L453" s="327"/>
      <c r="M453" s="106"/>
      <c r="N453" s="113" t="s">
        <v>2867</v>
      </c>
      <c r="O453" s="113" t="s">
        <v>3049</v>
      </c>
      <c r="P453" s="57"/>
      <c r="Q453" s="132">
        <v>9.2499999999999999E-2</v>
      </c>
      <c r="R453" s="132"/>
      <c r="S453" s="63" t="s">
        <v>226</v>
      </c>
      <c r="T453" s="67" t="s">
        <v>3050</v>
      </c>
      <c r="U453" s="67" t="s">
        <v>228</v>
      </c>
      <c r="V453" s="113" t="s">
        <v>106</v>
      </c>
      <c r="W453" s="222">
        <v>94901</v>
      </c>
      <c r="X453" s="141"/>
      <c r="Y453" s="236"/>
      <c r="Z453" s="236"/>
      <c r="AA453" s="200"/>
      <c r="AB453" s="130"/>
      <c r="AC453" s="202"/>
      <c r="AD453" s="200"/>
      <c r="AE453" s="113"/>
      <c r="AF453" s="113"/>
      <c r="AG453" s="113"/>
      <c r="AH453" s="113"/>
      <c r="AI453" s="130"/>
      <c r="AJ453" s="135"/>
      <c r="AK453" s="57"/>
      <c r="AL453" s="287" t="s">
        <v>251</v>
      </c>
      <c r="AM453" s="288"/>
      <c r="AN453" s="288"/>
      <c r="AO453" s="288"/>
      <c r="AP453" s="288"/>
      <c r="AQ453" s="288"/>
      <c r="AR453" s="288"/>
      <c r="AS453" s="207"/>
      <c r="AT453" s="116"/>
      <c r="AU453" s="67" t="s">
        <v>3050</v>
      </c>
      <c r="AW453" s="67" t="s">
        <v>228</v>
      </c>
      <c r="AX453" s="113" t="s">
        <v>106</v>
      </c>
      <c r="AY453" s="222">
        <v>94901</v>
      </c>
      <c r="AZ453" s="199" t="s">
        <v>3049</v>
      </c>
      <c r="BA453" s="317"/>
    </row>
    <row r="454" spans="1:53" s="251" customFormat="1" ht="14.15" customHeight="1" x14ac:dyDescent="0.4">
      <c r="A454" s="256" t="s">
        <v>3051</v>
      </c>
      <c r="B454" s="67" t="s">
        <v>125</v>
      </c>
      <c r="C454" s="224" t="s">
        <v>99</v>
      </c>
      <c r="D454" s="113" t="s">
        <v>788</v>
      </c>
      <c r="E454" s="120" t="s">
        <v>100</v>
      </c>
      <c r="F454" s="82"/>
      <c r="G454" s="84"/>
      <c r="H454" s="90" t="s">
        <v>100</v>
      </c>
      <c r="I454" s="91"/>
      <c r="J454" s="97"/>
      <c r="K454" s="102">
        <v>45411</v>
      </c>
      <c r="L454" s="327"/>
      <c r="M454" s="106">
        <v>45663</v>
      </c>
      <c r="N454" s="113" t="s">
        <v>3052</v>
      </c>
      <c r="O454" s="113" t="s">
        <v>3053</v>
      </c>
      <c r="P454" s="57"/>
      <c r="Q454" s="132">
        <v>9.2499999999999999E-2</v>
      </c>
      <c r="R454" s="132">
        <v>9.2499999999999999E-2</v>
      </c>
      <c r="S454" s="63" t="s">
        <v>226</v>
      </c>
      <c r="T454" s="67" t="s">
        <v>3054</v>
      </c>
      <c r="U454" s="67" t="s">
        <v>228</v>
      </c>
      <c r="V454" s="113" t="s">
        <v>106</v>
      </c>
      <c r="W454" s="222">
        <v>94901</v>
      </c>
      <c r="X454" s="139" t="s">
        <v>3055</v>
      </c>
      <c r="Y454" s="139" t="s">
        <v>3055</v>
      </c>
      <c r="Z454" s="236"/>
      <c r="AA454" s="200"/>
      <c r="AB454" s="130"/>
      <c r="AC454" s="202"/>
      <c r="AD454" s="200"/>
      <c r="AE454" s="113"/>
      <c r="AF454" s="113"/>
      <c r="AG454" s="113"/>
      <c r="AH454" s="113"/>
      <c r="AI454" s="130" t="s">
        <v>3056</v>
      </c>
      <c r="AJ454" s="135" t="s">
        <v>116</v>
      </c>
      <c r="AK454" s="57"/>
      <c r="AL454" s="288">
        <v>15157</v>
      </c>
      <c r="AM454" s="288"/>
      <c r="AN454" s="287"/>
      <c r="AO454" s="288"/>
      <c r="AP454" s="288"/>
      <c r="AQ454" s="288"/>
      <c r="AR454" s="288"/>
      <c r="AS454" s="207" t="s">
        <v>132</v>
      </c>
      <c r="AT454" s="116" t="s">
        <v>1961</v>
      </c>
      <c r="AU454" s="67" t="s">
        <v>3054</v>
      </c>
      <c r="AW454" s="67" t="s">
        <v>228</v>
      </c>
      <c r="AX454" s="113" t="s">
        <v>106</v>
      </c>
      <c r="AY454" s="222">
        <v>94901</v>
      </c>
      <c r="AZ454" s="199" t="s">
        <v>3053</v>
      </c>
      <c r="BA454" s="75"/>
    </row>
    <row r="455" spans="1:53" s="251" customFormat="1" ht="14.15" customHeight="1" x14ac:dyDescent="0.4">
      <c r="A455" s="256" t="s">
        <v>3057</v>
      </c>
      <c r="B455" s="67" t="s">
        <v>125</v>
      </c>
      <c r="C455" s="224" t="s">
        <v>563</v>
      </c>
      <c r="D455" s="113" t="s">
        <v>3058</v>
      </c>
      <c r="E455" s="120" t="s">
        <v>100</v>
      </c>
      <c r="F455" s="82"/>
      <c r="G455" s="84"/>
      <c r="H455" s="90" t="s">
        <v>100</v>
      </c>
      <c r="I455" s="91"/>
      <c r="J455" s="97"/>
      <c r="K455" s="102">
        <v>45376</v>
      </c>
      <c r="L455" s="327"/>
      <c r="M455" s="106">
        <v>45590</v>
      </c>
      <c r="N455" s="113" t="s">
        <v>3059</v>
      </c>
      <c r="O455" s="113" t="s">
        <v>3060</v>
      </c>
      <c r="P455" s="57"/>
      <c r="Q455" s="132">
        <v>9.2499999999999999E-2</v>
      </c>
      <c r="R455" s="132">
        <v>9.2499999999999999E-2</v>
      </c>
      <c r="S455" s="63" t="s">
        <v>226</v>
      </c>
      <c r="T455" s="67" t="s">
        <v>3061</v>
      </c>
      <c r="U455" s="67" t="s">
        <v>228</v>
      </c>
      <c r="V455" s="113" t="s">
        <v>106</v>
      </c>
      <c r="W455" s="222">
        <v>94901</v>
      </c>
      <c r="X455" s="141" t="s">
        <v>3062</v>
      </c>
      <c r="Y455" s="236"/>
      <c r="Z455" s="236"/>
      <c r="AA455" s="200" t="s">
        <v>3063</v>
      </c>
      <c r="AB455" s="130" t="s">
        <v>3064</v>
      </c>
      <c r="AC455" s="202"/>
      <c r="AD455" s="200"/>
      <c r="AE455" s="113"/>
      <c r="AF455" s="113"/>
      <c r="AG455" s="113"/>
      <c r="AH455" s="113"/>
      <c r="AI455" s="130"/>
      <c r="AJ455" s="135"/>
      <c r="AK455" s="57"/>
      <c r="AL455" s="287">
        <v>44150</v>
      </c>
      <c r="AM455" s="288"/>
      <c r="AN455" s="288">
        <v>63544</v>
      </c>
      <c r="AO455" s="288"/>
      <c r="AP455" s="288" t="s">
        <v>3065</v>
      </c>
      <c r="AQ455" s="288"/>
      <c r="AR455" s="288"/>
      <c r="AS455" s="207" t="s">
        <v>132</v>
      </c>
      <c r="AT455" s="116" t="s">
        <v>1961</v>
      </c>
      <c r="AU455" s="67" t="s">
        <v>3066</v>
      </c>
      <c r="AW455" s="67" t="s">
        <v>3067</v>
      </c>
      <c r="AX455" s="113" t="s">
        <v>106</v>
      </c>
      <c r="AY455" s="222">
        <v>94964</v>
      </c>
      <c r="AZ455" s="199" t="s">
        <v>3060</v>
      </c>
      <c r="BA455" s="75"/>
    </row>
    <row r="456" spans="1:53" s="210" customFormat="1" ht="14.15" customHeight="1" x14ac:dyDescent="0.4">
      <c r="A456" s="256" t="s">
        <v>3068</v>
      </c>
      <c r="B456" s="67" t="s">
        <v>125</v>
      </c>
      <c r="C456" s="224" t="s">
        <v>99</v>
      </c>
      <c r="D456" s="113" t="s">
        <v>3069</v>
      </c>
      <c r="E456" s="120" t="s">
        <v>100</v>
      </c>
      <c r="F456" s="82"/>
      <c r="G456" s="84"/>
      <c r="H456" s="90" t="s">
        <v>100</v>
      </c>
      <c r="I456" s="91"/>
      <c r="J456" s="97"/>
      <c r="K456" s="102">
        <v>44803</v>
      </c>
      <c r="L456" s="327"/>
      <c r="M456" s="106">
        <v>44895</v>
      </c>
      <c r="N456" s="113" t="s">
        <v>657</v>
      </c>
      <c r="O456" s="113" t="s">
        <v>3070</v>
      </c>
      <c r="P456" s="208"/>
      <c r="Q456" s="132">
        <v>9.2499999999999999E-2</v>
      </c>
      <c r="R456" s="132"/>
      <c r="S456" s="63" t="s">
        <v>303</v>
      </c>
      <c r="T456" s="67" t="s">
        <v>3071</v>
      </c>
      <c r="U456" s="67" t="s">
        <v>1533</v>
      </c>
      <c r="V456" s="113" t="s">
        <v>106</v>
      </c>
      <c r="W456" s="222">
        <v>94589</v>
      </c>
      <c r="X456" s="147"/>
      <c r="Y456" s="236" t="s">
        <v>3072</v>
      </c>
      <c r="Z456" s="236"/>
      <c r="AA456" s="200"/>
      <c r="AB456" s="130"/>
      <c r="AC456" s="202"/>
      <c r="AD456" s="200"/>
      <c r="AE456" s="113"/>
      <c r="AF456" s="113"/>
      <c r="AG456" s="113"/>
      <c r="AH456" s="113"/>
      <c r="AI456" s="130"/>
      <c r="AJ456" s="135"/>
      <c r="AK456" s="57"/>
      <c r="AL456" s="287">
        <v>15157</v>
      </c>
      <c r="AM456" s="288">
        <v>15303</v>
      </c>
      <c r="AN456" s="288"/>
      <c r="AO456" s="288"/>
      <c r="AP456" s="288"/>
      <c r="AQ456" s="288"/>
      <c r="AR456" s="288"/>
      <c r="AS456" s="207" t="s">
        <v>132</v>
      </c>
      <c r="AT456" s="116" t="s">
        <v>1961</v>
      </c>
      <c r="AU456" s="67" t="s">
        <v>3071</v>
      </c>
      <c r="AV456" s="251"/>
      <c r="AW456" s="67" t="s">
        <v>1533</v>
      </c>
      <c r="AX456" s="113" t="s">
        <v>106</v>
      </c>
      <c r="AY456" s="222">
        <v>94589</v>
      </c>
      <c r="AZ456" s="199" t="s">
        <v>3070</v>
      </c>
      <c r="BA456" s="75"/>
    </row>
    <row r="457" spans="1:53" s="210" customFormat="1" ht="14.15" customHeight="1" x14ac:dyDescent="0.4">
      <c r="A457" s="256" t="s">
        <v>3073</v>
      </c>
      <c r="B457" s="67" t="s">
        <v>98</v>
      </c>
      <c r="C457" s="224" t="s">
        <v>99</v>
      </c>
      <c r="D457" s="113" t="s">
        <v>3074</v>
      </c>
      <c r="E457" s="120" t="s">
        <v>100</v>
      </c>
      <c r="F457" s="82" t="s">
        <v>288</v>
      </c>
      <c r="G457" s="84"/>
      <c r="H457" s="90" t="s">
        <v>100</v>
      </c>
      <c r="I457" s="91"/>
      <c r="J457" s="97"/>
      <c r="K457" s="102">
        <v>45427</v>
      </c>
      <c r="L457" s="327"/>
      <c r="M457" s="106">
        <v>43504</v>
      </c>
      <c r="N457" s="113" t="s">
        <v>2624</v>
      </c>
      <c r="O457" s="113" t="s">
        <v>3075</v>
      </c>
      <c r="P457" s="57"/>
      <c r="Q457" s="132">
        <v>8.6249999999999993E-2</v>
      </c>
      <c r="R457" s="132">
        <v>8.7499999999999994E-2</v>
      </c>
      <c r="S457" s="63" t="s">
        <v>103</v>
      </c>
      <c r="T457" s="67" t="s">
        <v>3076</v>
      </c>
      <c r="U457" s="67" t="s">
        <v>105</v>
      </c>
      <c r="V457" s="113" t="s">
        <v>106</v>
      </c>
      <c r="W457" s="222">
        <v>94123</v>
      </c>
      <c r="X457" s="141" t="s">
        <v>3077</v>
      </c>
      <c r="Y457" s="139" t="s">
        <v>3078</v>
      </c>
      <c r="Z457" s="139" t="s">
        <v>3078</v>
      </c>
      <c r="AA457" s="200" t="s">
        <v>3079</v>
      </c>
      <c r="AB457" s="130"/>
      <c r="AC457" s="202"/>
      <c r="AD457" s="200"/>
      <c r="AE457" s="113"/>
      <c r="AF457" s="113"/>
      <c r="AG457" s="113"/>
      <c r="AH457" s="113"/>
      <c r="AI457" s="130" t="s">
        <v>3080</v>
      </c>
      <c r="AJ457" s="135" t="s">
        <v>116</v>
      </c>
      <c r="AK457" s="57"/>
      <c r="AL457" s="287" t="s">
        <v>289</v>
      </c>
      <c r="AM457" s="288"/>
      <c r="AN457" s="288"/>
      <c r="AO457" s="288"/>
      <c r="AP457" s="288"/>
      <c r="AQ457" s="288" t="s">
        <v>1993</v>
      </c>
      <c r="AR457" s="288"/>
      <c r="AS457" s="207" t="s">
        <v>132</v>
      </c>
      <c r="AT457" s="116" t="s">
        <v>1961</v>
      </c>
      <c r="AU457" s="67" t="s">
        <v>3076</v>
      </c>
      <c r="AV457" s="251" t="s">
        <v>3081</v>
      </c>
      <c r="AW457" s="67" t="s">
        <v>105</v>
      </c>
      <c r="AX457" s="113" t="s">
        <v>106</v>
      </c>
      <c r="AY457" s="222">
        <v>94123</v>
      </c>
      <c r="AZ457" s="199" t="s">
        <v>3075</v>
      </c>
      <c r="BA457" s="75"/>
    </row>
    <row r="458" spans="1:53" s="210" customFormat="1" ht="14.15" customHeight="1" x14ac:dyDescent="0.4">
      <c r="A458" s="256" t="s">
        <v>3082</v>
      </c>
      <c r="B458" s="67" t="s">
        <v>98</v>
      </c>
      <c r="C458" s="224" t="s">
        <v>254</v>
      </c>
      <c r="D458" s="113" t="s">
        <v>3083</v>
      </c>
      <c r="E458" s="120" t="s">
        <v>100</v>
      </c>
      <c r="F458" s="82"/>
      <c r="G458" s="84"/>
      <c r="H458" s="90" t="s">
        <v>100</v>
      </c>
      <c r="I458" s="91"/>
      <c r="J458" s="97"/>
      <c r="K458" s="102">
        <v>45818</v>
      </c>
      <c r="L458" s="327"/>
      <c r="M458" s="106">
        <v>44250</v>
      </c>
      <c r="N458" s="113" t="s">
        <v>3084</v>
      </c>
      <c r="O458" s="113" t="s">
        <v>3085</v>
      </c>
      <c r="P458" s="57"/>
      <c r="Q458" s="132">
        <v>9.2499999999999999E-2</v>
      </c>
      <c r="R458" s="132">
        <v>0.09</v>
      </c>
      <c r="S458" s="63" t="s">
        <v>536</v>
      </c>
      <c r="T458" s="67" t="s">
        <v>3086</v>
      </c>
      <c r="U458" s="67" t="s">
        <v>538</v>
      </c>
      <c r="V458" s="113" t="s">
        <v>106</v>
      </c>
      <c r="W458" s="222">
        <v>94960</v>
      </c>
      <c r="X458" s="141" t="s">
        <v>3087</v>
      </c>
      <c r="Y458" s="236"/>
      <c r="Z458" s="236"/>
      <c r="AA458" s="200" t="s">
        <v>3084</v>
      </c>
      <c r="AB458" s="130"/>
      <c r="AC458" s="202"/>
      <c r="AD458" s="200"/>
      <c r="AE458" s="113"/>
      <c r="AF458" s="113"/>
      <c r="AG458" s="113"/>
      <c r="AH458" s="113"/>
      <c r="AI458" s="130"/>
      <c r="AJ458" s="135"/>
      <c r="AK458" s="57"/>
      <c r="AL458" s="287" t="s">
        <v>251</v>
      </c>
      <c r="AM458" s="288">
        <v>13305</v>
      </c>
      <c r="AN458" s="288" t="s">
        <v>198</v>
      </c>
      <c r="AO458" s="288">
        <v>62245</v>
      </c>
      <c r="AP458" s="288">
        <v>62235</v>
      </c>
      <c r="AQ458" s="288"/>
      <c r="AR458" s="288" t="s">
        <v>3088</v>
      </c>
      <c r="AS458" s="207" t="s">
        <v>132</v>
      </c>
      <c r="AT458" s="116" t="s">
        <v>1961</v>
      </c>
      <c r="AU458" s="67" t="s">
        <v>3089</v>
      </c>
      <c r="AV458" s="251"/>
      <c r="AW458" s="67" t="s">
        <v>538</v>
      </c>
      <c r="AX458" s="113" t="s">
        <v>106</v>
      </c>
      <c r="AY458" s="222">
        <v>94960</v>
      </c>
      <c r="AZ458" s="199" t="s">
        <v>3085</v>
      </c>
      <c r="BA458" s="75"/>
    </row>
    <row r="459" spans="1:53" s="210" customFormat="1" ht="14.15" customHeight="1" x14ac:dyDescent="0.4">
      <c r="A459" s="256" t="s">
        <v>3090</v>
      </c>
      <c r="B459" s="67" t="s">
        <v>174</v>
      </c>
      <c r="C459" s="68" t="s">
        <v>99</v>
      </c>
      <c r="D459" s="79"/>
      <c r="E459" s="120" t="s">
        <v>1648</v>
      </c>
      <c r="F459" s="82" t="s">
        <v>174</v>
      </c>
      <c r="G459" s="84"/>
      <c r="H459" s="90"/>
      <c r="I459" s="91"/>
      <c r="J459" s="97"/>
      <c r="K459" s="102">
        <v>45432</v>
      </c>
      <c r="L459" s="327"/>
      <c r="M459" s="106"/>
      <c r="N459" s="128" t="s">
        <v>3091</v>
      </c>
      <c r="O459" s="128" t="s">
        <v>3092</v>
      </c>
      <c r="P459" s="59" t="s">
        <v>3093</v>
      </c>
      <c r="Q459" s="131">
        <v>9.6299999999999997E-2</v>
      </c>
      <c r="R459" s="131"/>
      <c r="S459" s="63" t="s">
        <v>1208</v>
      </c>
      <c r="T459" s="67" t="s">
        <v>3094</v>
      </c>
      <c r="U459" s="67" t="s">
        <v>1208</v>
      </c>
      <c r="V459" s="79" t="s">
        <v>106</v>
      </c>
      <c r="W459" s="76">
        <v>94401</v>
      </c>
      <c r="X459" s="141" t="s">
        <v>3095</v>
      </c>
      <c r="Y459" s="236"/>
      <c r="Z459" s="234"/>
      <c r="AA459" s="79"/>
      <c r="AB459" s="135"/>
      <c r="AC459" s="136"/>
      <c r="AD459" s="79"/>
      <c r="AE459" s="128"/>
      <c r="AF459" s="128"/>
      <c r="AG459" s="128"/>
      <c r="AH459" s="128"/>
      <c r="AI459" s="135"/>
      <c r="AJ459" s="135"/>
      <c r="AK459" s="58"/>
      <c r="AL459" s="287"/>
      <c r="AM459" s="288"/>
      <c r="AN459" s="288"/>
      <c r="AO459" s="288"/>
      <c r="AP459" s="288"/>
      <c r="AQ459" s="288"/>
      <c r="AR459" s="288"/>
      <c r="AS459" s="207"/>
      <c r="AT459" s="116"/>
      <c r="AU459" s="67" t="s">
        <v>3094</v>
      </c>
      <c r="AV459" s="66"/>
      <c r="AW459" s="67" t="s">
        <v>1208</v>
      </c>
      <c r="AX459" s="79" t="s">
        <v>106</v>
      </c>
      <c r="AY459" s="76">
        <v>94401</v>
      </c>
      <c r="AZ459" s="77" t="s">
        <v>3092</v>
      </c>
      <c r="BA459" s="75"/>
    </row>
    <row r="460" spans="1:53" s="210" customFormat="1" ht="14.15" customHeight="1" x14ac:dyDescent="0.4">
      <c r="A460" s="256" t="s">
        <v>3096</v>
      </c>
      <c r="B460" s="67" t="s">
        <v>434</v>
      </c>
      <c r="C460" s="224" t="s">
        <v>99</v>
      </c>
      <c r="D460" s="115"/>
      <c r="E460" s="120" t="s">
        <v>253</v>
      </c>
      <c r="F460" s="82"/>
      <c r="G460" s="84"/>
      <c r="H460" s="90" t="s">
        <v>253</v>
      </c>
      <c r="I460" s="91"/>
      <c r="J460" s="97"/>
      <c r="K460" s="102">
        <v>45909</v>
      </c>
      <c r="L460" s="327"/>
      <c r="M460" s="106"/>
      <c r="N460" s="113" t="s">
        <v>3097</v>
      </c>
      <c r="O460" s="113" t="s">
        <v>3098</v>
      </c>
      <c r="P460" s="57"/>
      <c r="Q460" s="132">
        <v>8.5000000000000006E-2</v>
      </c>
      <c r="R460" s="132"/>
      <c r="S460" s="63" t="s">
        <v>3099</v>
      </c>
      <c r="T460" s="67" t="s">
        <v>3100</v>
      </c>
      <c r="U460" s="67" t="s">
        <v>3101</v>
      </c>
      <c r="V460" s="113" t="s">
        <v>106</v>
      </c>
      <c r="W460" s="222">
        <v>93618</v>
      </c>
      <c r="X460" s="141"/>
      <c r="Y460" s="236"/>
      <c r="Z460" s="236"/>
      <c r="AA460" s="200"/>
      <c r="AB460" s="130"/>
      <c r="AC460" s="202"/>
      <c r="AD460" s="200"/>
      <c r="AE460" s="113"/>
      <c r="AF460" s="113"/>
      <c r="AG460" s="113"/>
      <c r="AH460" s="113"/>
      <c r="AI460" s="130"/>
      <c r="AJ460" s="135"/>
      <c r="AK460" s="57"/>
      <c r="AL460" s="287"/>
      <c r="AM460" s="288">
        <v>13305</v>
      </c>
      <c r="AN460" s="288"/>
      <c r="AO460" s="288">
        <v>62245</v>
      </c>
      <c r="AP460" s="288"/>
      <c r="AQ460" s="288"/>
      <c r="AR460" s="288"/>
      <c r="AS460" s="207"/>
      <c r="AT460" s="116" t="s">
        <v>589</v>
      </c>
      <c r="AU460" s="67" t="s">
        <v>3102</v>
      </c>
      <c r="AV460" s="251"/>
      <c r="AW460" s="67" t="s">
        <v>3101</v>
      </c>
      <c r="AX460" s="113" t="s">
        <v>106</v>
      </c>
      <c r="AY460" s="222">
        <v>93618</v>
      </c>
      <c r="AZ460" s="199" t="s">
        <v>3098</v>
      </c>
      <c r="BA460" s="317"/>
    </row>
    <row r="461" spans="1:53" s="210" customFormat="1" ht="14.15" customHeight="1" x14ac:dyDescent="0.4">
      <c r="A461" s="256" t="s">
        <v>3103</v>
      </c>
      <c r="B461" s="67" t="s">
        <v>98</v>
      </c>
      <c r="C461" s="224" t="s">
        <v>99</v>
      </c>
      <c r="D461" s="115"/>
      <c r="E461" s="120" t="s">
        <v>100</v>
      </c>
      <c r="F461" s="82"/>
      <c r="G461" s="84"/>
      <c r="H461" s="90" t="s">
        <v>100</v>
      </c>
      <c r="I461" s="91"/>
      <c r="J461" s="97"/>
      <c r="K461" s="102">
        <v>45348</v>
      </c>
      <c r="L461" s="327"/>
      <c r="M461" s="106"/>
      <c r="N461" s="113" t="s">
        <v>3103</v>
      </c>
      <c r="O461" s="113" t="s">
        <v>3104</v>
      </c>
      <c r="P461" s="57"/>
      <c r="Q461" s="132">
        <v>9.2499999999999999E-2</v>
      </c>
      <c r="R461" s="132"/>
      <c r="S461" s="63" t="s">
        <v>420</v>
      </c>
      <c r="T461" s="67"/>
      <c r="U461" s="67" t="s">
        <v>420</v>
      </c>
      <c r="V461" s="113" t="s">
        <v>106</v>
      </c>
      <c r="W461" s="222">
        <v>94949</v>
      </c>
      <c r="X461" s="141"/>
      <c r="Y461" s="236"/>
      <c r="Z461" s="236"/>
      <c r="AA461" s="200"/>
      <c r="AB461" s="130"/>
      <c r="AC461" s="202"/>
      <c r="AD461" s="200"/>
      <c r="AE461" s="113"/>
      <c r="AF461" s="113"/>
      <c r="AG461" s="113"/>
      <c r="AH461" s="113"/>
      <c r="AI461" s="130"/>
      <c r="AJ461" s="135"/>
      <c r="AK461" s="57"/>
      <c r="AL461" s="287">
        <v>15741</v>
      </c>
      <c r="AM461" s="288">
        <v>15741</v>
      </c>
      <c r="AN461" s="288"/>
      <c r="AO461" s="288"/>
      <c r="AP461" s="288"/>
      <c r="AQ461" s="288"/>
      <c r="AR461" s="288"/>
      <c r="AS461" s="207"/>
      <c r="AT461" s="116"/>
      <c r="AU461" s="67"/>
      <c r="AV461" s="251"/>
      <c r="AW461" s="67" t="s">
        <v>420</v>
      </c>
      <c r="AX461" s="113" t="s">
        <v>106</v>
      </c>
      <c r="AY461" s="222">
        <v>94949</v>
      </c>
      <c r="AZ461" s="199"/>
      <c r="BA461" s="317"/>
    </row>
    <row r="462" spans="1:53" s="251" customFormat="1" ht="14.15" customHeight="1" x14ac:dyDescent="0.4">
      <c r="A462" s="256" t="s">
        <v>3105</v>
      </c>
      <c r="B462" s="67" t="s">
        <v>98</v>
      </c>
      <c r="C462" s="224" t="s">
        <v>99</v>
      </c>
      <c r="D462" s="113"/>
      <c r="E462" s="120" t="s">
        <v>100</v>
      </c>
      <c r="F462" s="82"/>
      <c r="G462" s="84"/>
      <c r="H462" s="90" t="s">
        <v>100</v>
      </c>
      <c r="I462" s="91"/>
      <c r="J462" s="97"/>
      <c r="K462" s="102">
        <v>45399</v>
      </c>
      <c r="L462" s="327"/>
      <c r="M462" s="106"/>
      <c r="N462" s="113" t="s">
        <v>941</v>
      </c>
      <c r="O462" s="113" t="s">
        <v>3106</v>
      </c>
      <c r="P462" s="57"/>
      <c r="Q462" s="132">
        <v>0.1075</v>
      </c>
      <c r="R462" s="132"/>
      <c r="S462" s="63" t="s">
        <v>113</v>
      </c>
      <c r="T462" s="67" t="s">
        <v>3107</v>
      </c>
      <c r="U462" s="67" t="s">
        <v>324</v>
      </c>
      <c r="V462" s="113" t="s">
        <v>106</v>
      </c>
      <c r="W462" s="222">
        <v>94501</v>
      </c>
      <c r="X462" s="141"/>
      <c r="Y462" s="141"/>
      <c r="Z462" s="141"/>
      <c r="AA462" s="200"/>
      <c r="AB462" s="130"/>
      <c r="AC462" s="202"/>
      <c r="AD462" s="200"/>
      <c r="AE462" s="113"/>
      <c r="AF462" s="113"/>
      <c r="AG462" s="113"/>
      <c r="AH462" s="113"/>
      <c r="AI462" s="130"/>
      <c r="AJ462" s="135"/>
      <c r="AK462" s="57"/>
      <c r="AL462" s="290"/>
      <c r="AM462" s="290">
        <v>15157</v>
      </c>
      <c r="AN462" s="290"/>
      <c r="AO462" s="290"/>
      <c r="AP462" s="290"/>
      <c r="AQ462" s="290"/>
      <c r="AR462" s="290"/>
      <c r="AS462" s="207"/>
      <c r="AT462" s="116" t="s">
        <v>258</v>
      </c>
      <c r="AU462" s="67" t="s">
        <v>3107</v>
      </c>
      <c r="AW462" s="67" t="s">
        <v>324</v>
      </c>
      <c r="AX462" s="113" t="s">
        <v>106</v>
      </c>
      <c r="AY462" s="222">
        <v>94501</v>
      </c>
      <c r="AZ462" s="199" t="s">
        <v>3106</v>
      </c>
      <c r="BA462" s="317"/>
    </row>
    <row r="463" spans="1:53" s="251" customFormat="1" ht="14.15" customHeight="1" x14ac:dyDescent="0.4">
      <c r="A463" s="256" t="s">
        <v>3108</v>
      </c>
      <c r="B463" s="67" t="s">
        <v>253</v>
      </c>
      <c r="C463" s="224" t="s">
        <v>254</v>
      </c>
      <c r="D463" s="115"/>
      <c r="E463" s="120" t="s">
        <v>173</v>
      </c>
      <c r="F463" s="82" t="s">
        <v>174</v>
      </c>
      <c r="G463" s="84"/>
      <c r="H463" s="90"/>
      <c r="I463" s="91"/>
      <c r="J463" s="97"/>
      <c r="K463" s="102">
        <v>44830</v>
      </c>
      <c r="L463" s="327"/>
      <c r="M463" s="106"/>
      <c r="N463" s="113" t="s">
        <v>3109</v>
      </c>
      <c r="O463" s="113" t="s">
        <v>3110</v>
      </c>
      <c r="P463" s="57"/>
      <c r="Q463" s="132">
        <v>9.2499999999999999E-2</v>
      </c>
      <c r="R463" s="132"/>
      <c r="S463" s="63" t="s">
        <v>226</v>
      </c>
      <c r="T463" s="67" t="s">
        <v>3111</v>
      </c>
      <c r="U463" s="67" t="s">
        <v>228</v>
      </c>
      <c r="V463" s="113" t="s">
        <v>106</v>
      </c>
      <c r="W463" s="222">
        <v>94901</v>
      </c>
      <c r="X463" s="141"/>
      <c r="Y463" s="236"/>
      <c r="Z463" s="236"/>
      <c r="AA463" s="200"/>
      <c r="AB463" s="130"/>
      <c r="AC463" s="202"/>
      <c r="AD463" s="200"/>
      <c r="AE463" s="113"/>
      <c r="AF463" s="113"/>
      <c r="AG463" s="113"/>
      <c r="AH463" s="113"/>
      <c r="AI463" s="130"/>
      <c r="AJ463" s="135"/>
      <c r="AK463" s="57"/>
      <c r="AL463" s="287">
        <v>54220</v>
      </c>
      <c r="AM463" s="288">
        <v>13305</v>
      </c>
      <c r="AN463" s="288"/>
      <c r="AO463" s="288"/>
      <c r="AP463" s="288"/>
      <c r="AQ463" s="288"/>
      <c r="AR463" s="288"/>
      <c r="AS463" s="207"/>
      <c r="AT463" s="116" t="s">
        <v>406</v>
      </c>
      <c r="AU463" s="67" t="s">
        <v>3111</v>
      </c>
      <c r="AW463" s="67" t="s">
        <v>228</v>
      </c>
      <c r="AX463" s="113" t="s">
        <v>106</v>
      </c>
      <c r="AY463" s="222">
        <v>94901</v>
      </c>
      <c r="AZ463" s="199" t="s">
        <v>3110</v>
      </c>
      <c r="BA463" s="317"/>
    </row>
    <row r="464" spans="1:53" s="251" customFormat="1" ht="14.15" customHeight="1" x14ac:dyDescent="0.4">
      <c r="A464" s="256" t="s">
        <v>3112</v>
      </c>
      <c r="B464" s="67" t="s">
        <v>269</v>
      </c>
      <c r="C464" s="224" t="s">
        <v>254</v>
      </c>
      <c r="D464" s="115"/>
      <c r="E464" s="120" t="s">
        <v>100</v>
      </c>
      <c r="F464" s="82"/>
      <c r="G464" s="84"/>
      <c r="H464" s="90" t="s">
        <v>100</v>
      </c>
      <c r="I464" s="91"/>
      <c r="J464" s="97"/>
      <c r="K464" s="102">
        <v>44474</v>
      </c>
      <c r="L464" s="327"/>
      <c r="M464" s="106">
        <v>44670</v>
      </c>
      <c r="N464" s="113" t="s">
        <v>3113</v>
      </c>
      <c r="O464" s="113" t="s">
        <v>3114</v>
      </c>
      <c r="P464" s="57" t="s">
        <v>3115</v>
      </c>
      <c r="Q464" s="132">
        <v>0.09</v>
      </c>
      <c r="R464" s="132">
        <v>0.09</v>
      </c>
      <c r="S464" s="63" t="s">
        <v>875</v>
      </c>
      <c r="T464" s="67" t="s">
        <v>3116</v>
      </c>
      <c r="U464" s="67" t="s">
        <v>875</v>
      </c>
      <c r="V464" s="113" t="s">
        <v>106</v>
      </c>
      <c r="W464" s="222">
        <v>94930</v>
      </c>
      <c r="X464" s="147"/>
      <c r="Y464" s="236"/>
      <c r="Z464" s="236"/>
      <c r="AA464" s="200"/>
      <c r="AB464" s="130"/>
      <c r="AC464" s="202"/>
      <c r="AD464" s="200"/>
      <c r="AE464" s="113"/>
      <c r="AF464" s="113"/>
      <c r="AG464" s="113"/>
      <c r="AH464" s="113"/>
      <c r="AI464" s="130"/>
      <c r="AJ464" s="135"/>
      <c r="AK464" s="57"/>
      <c r="AL464" s="290" t="s">
        <v>289</v>
      </c>
      <c r="AM464" s="290">
        <v>13305</v>
      </c>
      <c r="AN464" s="290"/>
      <c r="AO464" s="290"/>
      <c r="AP464" s="290"/>
      <c r="AQ464" s="290"/>
      <c r="AR464" s="290">
        <v>15741</v>
      </c>
      <c r="AS464" s="207" t="s">
        <v>132</v>
      </c>
      <c r="AT464" s="116" t="s">
        <v>1961</v>
      </c>
      <c r="AU464" s="67" t="s">
        <v>3116</v>
      </c>
      <c r="AW464" s="67" t="s">
        <v>3117</v>
      </c>
      <c r="AX464" s="113" t="s">
        <v>106</v>
      </c>
      <c r="AY464" s="222">
        <v>94930</v>
      </c>
      <c r="AZ464" s="199" t="s">
        <v>3114</v>
      </c>
      <c r="BA464" s="317"/>
    </row>
    <row r="465" spans="1:53" s="251" customFormat="1" ht="14.15" customHeight="1" x14ac:dyDescent="0.4">
      <c r="A465" s="256" t="s">
        <v>3118</v>
      </c>
      <c r="B465" s="67" t="s">
        <v>125</v>
      </c>
      <c r="C465" s="224" t="s">
        <v>563</v>
      </c>
      <c r="D465" s="79" t="s">
        <v>3119</v>
      </c>
      <c r="E465" s="120" t="s">
        <v>100</v>
      </c>
      <c r="F465" s="82"/>
      <c r="G465" s="84"/>
      <c r="H465" s="90" t="s">
        <v>100</v>
      </c>
      <c r="I465" s="91"/>
      <c r="J465" s="97"/>
      <c r="K465" s="102">
        <v>45855</v>
      </c>
      <c r="L465" s="327"/>
      <c r="M465" s="106">
        <v>43292</v>
      </c>
      <c r="N465" s="113" t="s">
        <v>3120</v>
      </c>
      <c r="O465" s="113" t="s">
        <v>3121</v>
      </c>
      <c r="P465" s="57" t="s">
        <v>3122</v>
      </c>
      <c r="Q465" s="132">
        <v>9.2499999999999999E-2</v>
      </c>
      <c r="R465" s="132">
        <v>9.2499999999999999E-2</v>
      </c>
      <c r="S465" s="63" t="s">
        <v>226</v>
      </c>
      <c r="T465" s="67" t="s">
        <v>3123</v>
      </c>
      <c r="U465" s="67" t="s">
        <v>228</v>
      </c>
      <c r="V465" s="113" t="s">
        <v>106</v>
      </c>
      <c r="W465" s="222">
        <v>94901</v>
      </c>
      <c r="X465" s="147"/>
      <c r="Y465" s="236"/>
      <c r="Z465" s="236"/>
      <c r="AA465" s="200" t="s">
        <v>500</v>
      </c>
      <c r="AB465" s="130" t="s">
        <v>3124</v>
      </c>
      <c r="AC465" s="202"/>
      <c r="AD465" s="200"/>
      <c r="AE465" s="113"/>
      <c r="AF465" s="113"/>
      <c r="AG465" s="113"/>
      <c r="AH465" s="113"/>
      <c r="AI465" s="130" t="s">
        <v>0</v>
      </c>
      <c r="AJ465" s="135" t="s">
        <v>116</v>
      </c>
      <c r="AK465" s="230" t="s">
        <v>3125</v>
      </c>
      <c r="AL465" s="290" t="s">
        <v>3126</v>
      </c>
      <c r="AM465" s="290"/>
      <c r="AN465" s="290">
        <v>15157</v>
      </c>
      <c r="AO465" s="290"/>
      <c r="AP465" s="290"/>
      <c r="AQ465" s="290"/>
      <c r="AR465" s="290"/>
      <c r="AS465" s="207" t="s">
        <v>132</v>
      </c>
      <c r="AT465" s="116" t="s">
        <v>1961</v>
      </c>
      <c r="AU465" s="67" t="s">
        <v>3123</v>
      </c>
      <c r="AW465" s="67" t="s">
        <v>228</v>
      </c>
      <c r="AX465" s="113" t="s">
        <v>106</v>
      </c>
      <c r="AY465" s="222">
        <v>94901</v>
      </c>
      <c r="AZ465" s="199" t="s">
        <v>3121</v>
      </c>
      <c r="BA465" s="317"/>
    </row>
    <row r="466" spans="1:53" s="210" customFormat="1" ht="14.15" customHeight="1" x14ac:dyDescent="0.4">
      <c r="A466" s="256" t="s">
        <v>3127</v>
      </c>
      <c r="B466" s="67" t="s">
        <v>98</v>
      </c>
      <c r="C466" s="224" t="s">
        <v>119</v>
      </c>
      <c r="D466" s="115"/>
      <c r="E466" s="120" t="s">
        <v>100</v>
      </c>
      <c r="F466" s="82"/>
      <c r="G466" s="84"/>
      <c r="H466" s="90" t="s">
        <v>100</v>
      </c>
      <c r="I466" s="91"/>
      <c r="J466" s="97"/>
      <c r="K466" s="102"/>
      <c r="L466" s="327"/>
      <c r="M466" s="106">
        <v>44706</v>
      </c>
      <c r="N466" s="113" t="s">
        <v>3128</v>
      </c>
      <c r="O466" s="113" t="s">
        <v>3129</v>
      </c>
      <c r="P466" s="57"/>
      <c r="Q466" s="132">
        <v>8.6249999999999993E-2</v>
      </c>
      <c r="R466" s="132"/>
      <c r="S466" s="63" t="s">
        <v>103</v>
      </c>
      <c r="T466" s="67" t="s">
        <v>3130</v>
      </c>
      <c r="U466" s="67" t="s">
        <v>105</v>
      </c>
      <c r="V466" s="113" t="s">
        <v>106</v>
      </c>
      <c r="W466" s="222">
        <v>94115</v>
      </c>
      <c r="X466" s="141"/>
      <c r="Y466" s="236"/>
      <c r="Z466" s="236"/>
      <c r="AA466" s="200"/>
      <c r="AB466" s="130"/>
      <c r="AC466" s="202"/>
      <c r="AD466" s="200"/>
      <c r="AE466" s="113"/>
      <c r="AF466" s="113"/>
      <c r="AG466" s="113"/>
      <c r="AH466" s="113"/>
      <c r="AI466" s="130"/>
      <c r="AJ466" s="135"/>
      <c r="AK466" s="57"/>
      <c r="AL466" s="287"/>
      <c r="AM466" s="288"/>
      <c r="AN466" s="288"/>
      <c r="AO466" s="288"/>
      <c r="AP466" s="288"/>
      <c r="AQ466" s="288"/>
      <c r="AR466" s="288"/>
      <c r="AS466" s="207"/>
      <c r="AT466" s="116"/>
      <c r="AU466" s="67" t="s">
        <v>3130</v>
      </c>
      <c r="AV466" s="251"/>
      <c r="AW466" s="67" t="s">
        <v>2156</v>
      </c>
      <c r="AX466" s="113" t="s">
        <v>106</v>
      </c>
      <c r="AY466" s="222">
        <v>94115</v>
      </c>
      <c r="AZ466" s="199" t="s">
        <v>3129</v>
      </c>
      <c r="BA466" s="317"/>
    </row>
    <row r="467" spans="1:53" s="210" customFormat="1" ht="14.15" customHeight="1" x14ac:dyDescent="0.4">
      <c r="A467" s="256" t="s">
        <v>3131</v>
      </c>
      <c r="B467" s="67" t="s">
        <v>98</v>
      </c>
      <c r="C467" s="224" t="s">
        <v>699</v>
      </c>
      <c r="D467" s="115"/>
      <c r="E467" s="120" t="s">
        <v>3132</v>
      </c>
      <c r="F467" s="82" t="s">
        <v>174</v>
      </c>
      <c r="G467" s="84"/>
      <c r="H467" s="90" t="s">
        <v>3133</v>
      </c>
      <c r="I467" s="91" t="s">
        <v>174</v>
      </c>
      <c r="J467" s="97"/>
      <c r="K467" s="102">
        <v>44788</v>
      </c>
      <c r="L467" s="327"/>
      <c r="M467" s="106"/>
      <c r="N467" s="113" t="s">
        <v>3134</v>
      </c>
      <c r="O467" s="113" t="s">
        <v>3135</v>
      </c>
      <c r="P467" s="57"/>
      <c r="Q467" s="132">
        <v>9.8750000000000004E-2</v>
      </c>
      <c r="R467" s="132"/>
      <c r="S467" s="63" t="s">
        <v>1685</v>
      </c>
      <c r="T467" s="67" t="s">
        <v>3136</v>
      </c>
      <c r="U467" s="67" t="s">
        <v>980</v>
      </c>
      <c r="V467" s="113" t="s">
        <v>106</v>
      </c>
      <c r="W467" s="222">
        <v>94066</v>
      </c>
      <c r="X467" s="141"/>
      <c r="Y467" s="236"/>
      <c r="Z467" s="236"/>
      <c r="AA467" s="200"/>
      <c r="AB467" s="130"/>
      <c r="AC467" s="202"/>
      <c r="AD467" s="200"/>
      <c r="AE467" s="113"/>
      <c r="AF467" s="113"/>
      <c r="AG467" s="113"/>
      <c r="AH467" s="113"/>
      <c r="AI467" s="130"/>
      <c r="AJ467" s="135"/>
      <c r="AK467" s="57"/>
      <c r="AL467" s="287"/>
      <c r="AM467" s="288"/>
      <c r="AN467" s="288"/>
      <c r="AO467" s="288"/>
      <c r="AP467" s="288"/>
      <c r="AQ467" s="288"/>
      <c r="AR467" s="288"/>
      <c r="AS467" s="207"/>
      <c r="AT467" s="116" t="s">
        <v>399</v>
      </c>
      <c r="AU467" s="67" t="s">
        <v>3136</v>
      </c>
      <c r="AV467" s="251"/>
      <c r="AW467" s="67" t="s">
        <v>980</v>
      </c>
      <c r="AX467" s="113" t="s">
        <v>106</v>
      </c>
      <c r="AY467" s="222">
        <v>94066</v>
      </c>
      <c r="AZ467" s="199" t="s">
        <v>3135</v>
      </c>
      <c r="BA467" s="317"/>
    </row>
    <row r="468" spans="1:53" s="210" customFormat="1" ht="14.15" customHeight="1" x14ac:dyDescent="0.4">
      <c r="A468" s="256" t="s">
        <v>3137</v>
      </c>
      <c r="B468" s="67" t="s">
        <v>1295</v>
      </c>
      <c r="C468" s="224" t="s">
        <v>254</v>
      </c>
      <c r="D468" s="113" t="s">
        <v>2788</v>
      </c>
      <c r="E468" s="120" t="s">
        <v>100</v>
      </c>
      <c r="F468" s="82"/>
      <c r="G468" s="84"/>
      <c r="H468" s="90" t="s">
        <v>100</v>
      </c>
      <c r="I468" s="91"/>
      <c r="J468" s="97"/>
      <c r="K468" s="102">
        <v>45968</v>
      </c>
      <c r="L468" s="327"/>
      <c r="M468" s="106">
        <v>45260</v>
      </c>
      <c r="N468" s="113" t="s">
        <v>3138</v>
      </c>
      <c r="O468" s="113" t="s">
        <v>3139</v>
      </c>
      <c r="P468" s="57" t="s">
        <v>3140</v>
      </c>
      <c r="Q468" s="132">
        <v>9.2499999999999999E-2</v>
      </c>
      <c r="R468" s="132">
        <v>9.2499999999999999E-2</v>
      </c>
      <c r="S468" s="63" t="s">
        <v>226</v>
      </c>
      <c r="T468" s="67" t="s">
        <v>3141</v>
      </c>
      <c r="U468" s="67" t="s">
        <v>228</v>
      </c>
      <c r="V468" s="113" t="s">
        <v>106</v>
      </c>
      <c r="W468" s="222">
        <v>94903</v>
      </c>
      <c r="X468" s="141" t="s">
        <v>3142</v>
      </c>
      <c r="Y468" s="139" t="s">
        <v>3143</v>
      </c>
      <c r="Z468" s="236" t="s">
        <v>3144</v>
      </c>
      <c r="AA468" s="200" t="s">
        <v>3145</v>
      </c>
      <c r="AB468" s="130" t="s">
        <v>3146</v>
      </c>
      <c r="AC468" s="202" t="s">
        <v>3147</v>
      </c>
      <c r="AD468" s="200" t="s">
        <v>3148</v>
      </c>
      <c r="AE468" s="138" t="s">
        <v>3149</v>
      </c>
      <c r="AF468" s="113" t="s">
        <v>3150</v>
      </c>
      <c r="AG468" s="113" t="s">
        <v>3151</v>
      </c>
      <c r="AH468" s="113" t="s">
        <v>3152</v>
      </c>
      <c r="AI468" s="130" t="s">
        <v>3153</v>
      </c>
      <c r="AJ468" s="135" t="s">
        <v>116</v>
      </c>
      <c r="AK468" s="57"/>
      <c r="AL468" s="290" t="s">
        <v>149</v>
      </c>
      <c r="AM468" s="290">
        <v>13305</v>
      </c>
      <c r="AN468" s="290" t="s">
        <v>198</v>
      </c>
      <c r="AO468" s="290">
        <v>62245</v>
      </c>
      <c r="AP468" s="290"/>
      <c r="AQ468" s="290">
        <v>15741</v>
      </c>
      <c r="AR468" s="290"/>
      <c r="AS468" s="207" t="s">
        <v>132</v>
      </c>
      <c r="AT468" s="116" t="s">
        <v>1961</v>
      </c>
      <c r="AU468" s="67" t="s">
        <v>3141</v>
      </c>
      <c r="AV468" s="251" t="s">
        <v>3154</v>
      </c>
      <c r="AW468" s="67" t="s">
        <v>228</v>
      </c>
      <c r="AX468" s="113" t="s">
        <v>106</v>
      </c>
      <c r="AY468" s="222">
        <v>94903</v>
      </c>
      <c r="AZ468" s="323" t="s">
        <v>3139</v>
      </c>
      <c r="BA468" s="317"/>
    </row>
    <row r="469" spans="1:53" s="251" customFormat="1" ht="14.15" customHeight="1" x14ac:dyDescent="0.4">
      <c r="A469" s="256" t="s">
        <v>3155</v>
      </c>
      <c r="B469" s="67" t="s">
        <v>98</v>
      </c>
      <c r="C469" s="224" t="s">
        <v>99</v>
      </c>
      <c r="D469" s="115"/>
      <c r="E469" s="120" t="s">
        <v>100</v>
      </c>
      <c r="F469" s="82"/>
      <c r="G469" s="84"/>
      <c r="H469" s="90" t="s">
        <v>100</v>
      </c>
      <c r="I469" s="91"/>
      <c r="J469" s="97"/>
      <c r="K469" s="102">
        <v>45152</v>
      </c>
      <c r="L469" s="327"/>
      <c r="M469" s="106"/>
      <c r="N469" s="113" t="s">
        <v>3156</v>
      </c>
      <c r="O469" s="113" t="s">
        <v>3157</v>
      </c>
      <c r="P469" s="57" t="s">
        <v>3158</v>
      </c>
      <c r="Q469" s="132">
        <v>9.6299999999999997E-2</v>
      </c>
      <c r="R469" s="132"/>
      <c r="S469" s="63" t="s">
        <v>280</v>
      </c>
      <c r="T469" s="67" t="s">
        <v>3159</v>
      </c>
      <c r="U469" s="67" t="s">
        <v>282</v>
      </c>
      <c r="V469" s="113" t="s">
        <v>106</v>
      </c>
      <c r="W469" s="222">
        <v>94010</v>
      </c>
      <c r="X469" s="141"/>
      <c r="Y469" s="236"/>
      <c r="Z469" s="236"/>
      <c r="AA469" s="200"/>
      <c r="AB469" s="130"/>
      <c r="AC469" s="202"/>
      <c r="AD469" s="200"/>
      <c r="AE469" s="113"/>
      <c r="AF469" s="113"/>
      <c r="AG469" s="113"/>
      <c r="AH469" s="113"/>
      <c r="AI469" s="113" t="s">
        <v>3157</v>
      </c>
      <c r="AJ469" s="135"/>
      <c r="AK469" s="57"/>
      <c r="AL469" s="287"/>
      <c r="AM469" s="288">
        <v>13305</v>
      </c>
      <c r="AN469" s="288"/>
      <c r="AO469" s="288"/>
      <c r="AP469" s="288"/>
      <c r="AQ469" s="288"/>
      <c r="AR469" s="288"/>
      <c r="AS469" s="207"/>
      <c r="AT469" s="116"/>
      <c r="AU469" s="67" t="s">
        <v>3159</v>
      </c>
      <c r="AW469" s="67" t="s">
        <v>282</v>
      </c>
      <c r="AX469" s="113" t="s">
        <v>106</v>
      </c>
      <c r="AY469" s="222">
        <v>94010</v>
      </c>
      <c r="AZ469" s="199"/>
      <c r="BA469" s="317"/>
    </row>
    <row r="470" spans="1:53" s="251" customFormat="1" ht="14.15" customHeight="1" x14ac:dyDescent="0.4">
      <c r="A470" s="256" t="s">
        <v>6435</v>
      </c>
      <c r="B470" s="67" t="s">
        <v>98</v>
      </c>
      <c r="C470" s="224" t="s">
        <v>99</v>
      </c>
      <c r="D470" s="115"/>
      <c r="E470" s="120" t="s">
        <v>100</v>
      </c>
      <c r="F470" s="82"/>
      <c r="G470" s="84"/>
      <c r="H470" s="90" t="s">
        <v>100</v>
      </c>
      <c r="I470" s="91"/>
      <c r="J470" s="97"/>
      <c r="K470" s="102">
        <v>45933</v>
      </c>
      <c r="L470" s="327"/>
      <c r="M470" s="106"/>
      <c r="N470" s="113" t="s">
        <v>1778</v>
      </c>
      <c r="O470" s="113" t="s">
        <v>6453</v>
      </c>
      <c r="P470" s="57"/>
      <c r="Q470" s="132">
        <v>0.1075</v>
      </c>
      <c r="R470" s="132"/>
      <c r="S470" s="63" t="s">
        <v>113</v>
      </c>
      <c r="T470" s="67" t="s">
        <v>4782</v>
      </c>
      <c r="U470" s="67" t="s">
        <v>324</v>
      </c>
      <c r="V470" s="113" t="s">
        <v>106</v>
      </c>
      <c r="W470" s="222">
        <v>94501</v>
      </c>
      <c r="X470" s="141" t="s">
        <v>6455</v>
      </c>
      <c r="Y470" s="139" t="s">
        <v>6454</v>
      </c>
      <c r="Z470" s="236"/>
      <c r="AA470" s="200" t="s">
        <v>6456</v>
      </c>
      <c r="AB470" s="130" t="s">
        <v>6457</v>
      </c>
      <c r="AC470" s="202" t="s">
        <v>6458</v>
      </c>
      <c r="AD470" s="200" t="s">
        <v>6457</v>
      </c>
      <c r="AE470" s="113"/>
      <c r="AF470" s="113"/>
      <c r="AG470" s="113"/>
      <c r="AH470" s="113"/>
      <c r="AI470" s="113"/>
      <c r="AJ470" s="135"/>
      <c r="AK470" s="57"/>
      <c r="AL470" s="287" t="s">
        <v>251</v>
      </c>
      <c r="AM470" s="288" t="s">
        <v>916</v>
      </c>
      <c r="AN470" s="288"/>
      <c r="AO470" s="288"/>
      <c r="AP470" s="288"/>
      <c r="AQ470" s="288"/>
      <c r="AR470" s="288"/>
      <c r="AS470" s="207"/>
      <c r="AT470" s="116"/>
      <c r="AU470" s="67" t="s">
        <v>6459</v>
      </c>
      <c r="AW470" s="67" t="s">
        <v>324</v>
      </c>
      <c r="AX470" s="113" t="s">
        <v>106</v>
      </c>
      <c r="AY470" s="222">
        <v>94501</v>
      </c>
      <c r="AZ470" s="199" t="s">
        <v>6453</v>
      </c>
      <c r="BA470" s="317"/>
    </row>
    <row r="471" spans="1:53" s="251" customFormat="1" ht="14.15" customHeight="1" x14ac:dyDescent="0.4">
      <c r="A471" s="256" t="s">
        <v>3160</v>
      </c>
      <c r="B471" s="67" t="s">
        <v>98</v>
      </c>
      <c r="C471" s="224" t="s">
        <v>99</v>
      </c>
      <c r="D471" s="115"/>
      <c r="E471" s="120" t="s">
        <v>100</v>
      </c>
      <c r="F471" s="82"/>
      <c r="G471" s="84"/>
      <c r="H471" s="90" t="s">
        <v>100</v>
      </c>
      <c r="I471" s="91"/>
      <c r="J471" s="97"/>
      <c r="K471" s="102">
        <v>45819</v>
      </c>
      <c r="L471" s="327"/>
      <c r="M471" s="106"/>
      <c r="N471" s="113" t="s">
        <v>3161</v>
      </c>
      <c r="O471" s="113" t="s">
        <v>3162</v>
      </c>
      <c r="P471" s="57"/>
      <c r="Q471" s="132">
        <v>8.6249999999999993E-2</v>
      </c>
      <c r="R471" s="132"/>
      <c r="S471" s="63" t="s">
        <v>103</v>
      </c>
      <c r="T471" s="67" t="s">
        <v>3163</v>
      </c>
      <c r="U471" s="67" t="s">
        <v>105</v>
      </c>
      <c r="V471" s="113" t="s">
        <v>106</v>
      </c>
      <c r="W471" s="222">
        <v>94130</v>
      </c>
      <c r="X471" s="141"/>
      <c r="Y471" s="236"/>
      <c r="Z471" s="319"/>
      <c r="AA471" s="200"/>
      <c r="AB471" s="130"/>
      <c r="AC471" s="202"/>
      <c r="AD471" s="200"/>
      <c r="AE471" s="113"/>
      <c r="AF471" s="113"/>
      <c r="AG471" s="113"/>
      <c r="AH471" s="113"/>
      <c r="AI471" s="130"/>
      <c r="AJ471" s="135"/>
      <c r="AK471" s="57"/>
      <c r="AL471" s="287"/>
      <c r="AM471" s="288"/>
      <c r="AN471" s="288"/>
      <c r="AO471" s="288">
        <v>62245</v>
      </c>
      <c r="AP471" s="288">
        <v>15303</v>
      </c>
      <c r="AQ471" s="288"/>
      <c r="AR471" s="288"/>
      <c r="AS471" s="207"/>
      <c r="AT471" s="116" t="s">
        <v>589</v>
      </c>
      <c r="AU471" s="67" t="s">
        <v>3163</v>
      </c>
      <c r="AW471" s="67" t="s">
        <v>105</v>
      </c>
      <c r="AX471" s="113" t="s">
        <v>106</v>
      </c>
      <c r="AY471" s="222">
        <v>94130</v>
      </c>
      <c r="AZ471" s="199" t="s">
        <v>3162</v>
      </c>
      <c r="BA471" s="317"/>
    </row>
    <row r="472" spans="1:53" s="251" customFormat="1" ht="14.15" customHeight="1" x14ac:dyDescent="0.4">
      <c r="A472" s="256" t="s">
        <v>3164</v>
      </c>
      <c r="B472" s="67" t="s">
        <v>98</v>
      </c>
      <c r="C472" s="224" t="s">
        <v>99</v>
      </c>
      <c r="D472" s="113"/>
      <c r="E472" s="120" t="s">
        <v>100</v>
      </c>
      <c r="F472" s="82"/>
      <c r="G472" s="84"/>
      <c r="H472" s="90" t="s">
        <v>100</v>
      </c>
      <c r="I472" s="91"/>
      <c r="J472" s="97"/>
      <c r="K472" s="102">
        <v>44279</v>
      </c>
      <c r="L472" s="327"/>
      <c r="M472" s="106"/>
      <c r="N472" s="113" t="s">
        <v>3165</v>
      </c>
      <c r="O472" s="113" t="s">
        <v>3166</v>
      </c>
      <c r="P472" s="57" t="s">
        <v>3167</v>
      </c>
      <c r="Q472" s="132">
        <v>7.7499999999999999E-2</v>
      </c>
      <c r="R472" s="132">
        <v>0.08</v>
      </c>
      <c r="S472" s="63" t="s">
        <v>3168</v>
      </c>
      <c r="T472" s="67" t="s">
        <v>3169</v>
      </c>
      <c r="U472" s="67" t="s">
        <v>3168</v>
      </c>
      <c r="V472" s="113" t="s">
        <v>106</v>
      </c>
      <c r="W472" s="222">
        <v>95630</v>
      </c>
      <c r="X472" s="141" t="s">
        <v>3170</v>
      </c>
      <c r="Y472" s="139" t="s">
        <v>3171</v>
      </c>
      <c r="Z472" s="236"/>
      <c r="AA472" s="200"/>
      <c r="AB472" s="130"/>
      <c r="AC472" s="202"/>
      <c r="AD472" s="200"/>
      <c r="AE472" s="113"/>
      <c r="AF472" s="113"/>
      <c r="AG472" s="113"/>
      <c r="AH472" s="113"/>
      <c r="AI472" s="130" t="s">
        <v>3172</v>
      </c>
      <c r="AJ472" s="135"/>
      <c r="AK472" s="57"/>
      <c r="AL472" s="290" t="s">
        <v>149</v>
      </c>
      <c r="AM472" s="290">
        <v>13305</v>
      </c>
      <c r="AN472" s="290" t="s">
        <v>290</v>
      </c>
      <c r="AO472" s="290">
        <v>62245</v>
      </c>
      <c r="AP472" s="290"/>
      <c r="AQ472" s="290"/>
      <c r="AR472" s="290"/>
      <c r="AS472" s="207" t="s">
        <v>132</v>
      </c>
      <c r="AT472" s="116" t="s">
        <v>1961</v>
      </c>
      <c r="AU472" s="67" t="s">
        <v>3169</v>
      </c>
      <c r="AW472" s="67" t="s">
        <v>3168</v>
      </c>
      <c r="AX472" s="113" t="s">
        <v>106</v>
      </c>
      <c r="AY472" s="222">
        <v>95630</v>
      </c>
      <c r="AZ472" s="199" t="s">
        <v>3166</v>
      </c>
      <c r="BA472" s="317"/>
    </row>
    <row r="473" spans="1:53" s="251" customFormat="1" ht="14.15" customHeight="1" x14ac:dyDescent="0.4">
      <c r="A473" s="256" t="s">
        <v>3173</v>
      </c>
      <c r="B473" s="67" t="s">
        <v>98</v>
      </c>
      <c r="C473" s="224" t="s">
        <v>99</v>
      </c>
      <c r="D473" s="113"/>
      <c r="E473" s="120" t="s">
        <v>100</v>
      </c>
      <c r="F473" s="82"/>
      <c r="G473" s="84"/>
      <c r="H473" s="90" t="s">
        <v>100</v>
      </c>
      <c r="I473" s="91"/>
      <c r="J473" s="97"/>
      <c r="K473" s="102">
        <v>45958</v>
      </c>
      <c r="L473" s="327"/>
      <c r="M473" s="106"/>
      <c r="N473" s="113" t="s">
        <v>3174</v>
      </c>
      <c r="O473" s="113" t="s">
        <v>3175</v>
      </c>
      <c r="P473" s="57"/>
      <c r="Q473" s="132">
        <v>9.2499999999999999E-2</v>
      </c>
      <c r="R473" s="132">
        <v>9.2499999999999999E-2</v>
      </c>
      <c r="S473" s="63" t="s">
        <v>226</v>
      </c>
      <c r="T473" s="67" t="s">
        <v>3176</v>
      </c>
      <c r="U473" s="67" t="s">
        <v>228</v>
      </c>
      <c r="V473" s="113" t="s">
        <v>106</v>
      </c>
      <c r="W473" s="222">
        <v>94901</v>
      </c>
      <c r="X473" s="141"/>
      <c r="Y473" s="236"/>
      <c r="Z473" s="236"/>
      <c r="AA473" s="200" t="s">
        <v>3177</v>
      </c>
      <c r="AB473" s="130"/>
      <c r="AC473" s="202"/>
      <c r="AD473" s="200"/>
      <c r="AE473" s="113"/>
      <c r="AF473" s="113"/>
      <c r="AG473" s="113"/>
      <c r="AH473" s="113"/>
      <c r="AI473" s="130"/>
      <c r="AJ473" s="135"/>
      <c r="AK473" s="57"/>
      <c r="AL473" s="290" t="s">
        <v>289</v>
      </c>
      <c r="AM473" s="290">
        <v>13305</v>
      </c>
      <c r="AN473" s="290" t="s">
        <v>290</v>
      </c>
      <c r="AO473" s="290">
        <v>62245</v>
      </c>
      <c r="AP473" s="290"/>
      <c r="AQ473" s="290"/>
      <c r="AR473" s="290"/>
      <c r="AS473" s="207" t="s">
        <v>132</v>
      </c>
      <c r="AT473" s="116" t="s">
        <v>1961</v>
      </c>
      <c r="AU473" s="67" t="s">
        <v>3176</v>
      </c>
      <c r="AW473" s="67" t="s">
        <v>228</v>
      </c>
      <c r="AX473" s="113" t="s">
        <v>106</v>
      </c>
      <c r="AY473" s="222">
        <v>94901</v>
      </c>
      <c r="AZ473" s="199" t="s">
        <v>3175</v>
      </c>
      <c r="BA473" s="317"/>
    </row>
    <row r="474" spans="1:53" s="251" customFormat="1" ht="14.15" customHeight="1" x14ac:dyDescent="0.4">
      <c r="A474" s="256" t="s">
        <v>3178</v>
      </c>
      <c r="B474" s="67" t="s">
        <v>244</v>
      </c>
      <c r="C474" s="224" t="s">
        <v>878</v>
      </c>
      <c r="D474" s="115"/>
      <c r="E474" s="120" t="s">
        <v>173</v>
      </c>
      <c r="F474" s="82" t="s">
        <v>174</v>
      </c>
      <c r="G474" s="84"/>
      <c r="H474" s="90"/>
      <c r="I474" s="91"/>
      <c r="J474" s="97"/>
      <c r="K474" s="102">
        <v>45118</v>
      </c>
      <c r="L474" s="327"/>
      <c r="M474" s="106"/>
      <c r="N474" s="113" t="s">
        <v>3179</v>
      </c>
      <c r="O474" s="130" t="s">
        <v>3180</v>
      </c>
      <c r="P474" s="57"/>
      <c r="Q474" s="132">
        <v>9.7500000000000003E-2</v>
      </c>
      <c r="R474" s="132"/>
      <c r="S474" s="63" t="s">
        <v>3181</v>
      </c>
      <c r="T474" s="67" t="s">
        <v>3182</v>
      </c>
      <c r="U474" s="67" t="s">
        <v>553</v>
      </c>
      <c r="V474" s="113" t="s">
        <v>106</v>
      </c>
      <c r="W474" s="222">
        <v>94805</v>
      </c>
      <c r="X474" s="141" t="s">
        <v>3183</v>
      </c>
      <c r="Y474" s="141" t="s">
        <v>3183</v>
      </c>
      <c r="Z474" s="141" t="s">
        <v>3183</v>
      </c>
      <c r="AA474" s="200"/>
      <c r="AB474" s="130"/>
      <c r="AC474" s="202"/>
      <c r="AD474" s="200"/>
      <c r="AE474" s="113"/>
      <c r="AF474" s="113"/>
      <c r="AG474" s="113"/>
      <c r="AH474" s="113"/>
      <c r="AI474" s="130"/>
      <c r="AJ474" s="135"/>
      <c r="AK474" s="57"/>
      <c r="AL474" s="287" t="s">
        <v>251</v>
      </c>
      <c r="AM474" s="288">
        <v>13305</v>
      </c>
      <c r="AN474" s="288" t="s">
        <v>325</v>
      </c>
      <c r="AO474" s="288">
        <v>67240</v>
      </c>
      <c r="AP474" s="288"/>
      <c r="AQ474" s="288"/>
      <c r="AR474" s="288"/>
      <c r="AS474" s="207"/>
      <c r="AT474" s="116"/>
      <c r="AU474" s="67" t="s">
        <v>3182</v>
      </c>
      <c r="AW474" s="67" t="s">
        <v>553</v>
      </c>
      <c r="AX474" s="113" t="s">
        <v>106</v>
      </c>
      <c r="AY474" s="222">
        <v>94805</v>
      </c>
      <c r="AZ474" s="199" t="s">
        <v>3180</v>
      </c>
      <c r="BA474" s="317"/>
    </row>
    <row r="475" spans="1:53" s="251" customFormat="1" ht="14.15" customHeight="1" x14ac:dyDescent="0.4">
      <c r="A475" s="256" t="s">
        <v>3184</v>
      </c>
      <c r="B475" s="67" t="s">
        <v>98</v>
      </c>
      <c r="C475" s="68" t="s">
        <v>99</v>
      </c>
      <c r="D475" s="79"/>
      <c r="E475" s="120" t="s">
        <v>100</v>
      </c>
      <c r="F475" s="82"/>
      <c r="G475" s="84"/>
      <c r="H475" s="90" t="s">
        <v>100</v>
      </c>
      <c r="I475" s="91"/>
      <c r="J475" s="97"/>
      <c r="K475" s="102">
        <v>45310</v>
      </c>
      <c r="L475" s="327"/>
      <c r="M475" s="106"/>
      <c r="N475" s="128" t="s">
        <v>3185</v>
      </c>
      <c r="O475" s="128" t="s">
        <v>3186</v>
      </c>
      <c r="P475" s="59" t="s">
        <v>3187</v>
      </c>
      <c r="Q475" s="131">
        <v>9.7500000000000003E-2</v>
      </c>
      <c r="R475" s="131"/>
      <c r="S475" s="63" t="s">
        <v>205</v>
      </c>
      <c r="T475" s="67" t="s">
        <v>2348</v>
      </c>
      <c r="U475" s="67" t="s">
        <v>576</v>
      </c>
      <c r="V475" s="79" t="s">
        <v>106</v>
      </c>
      <c r="W475" s="76">
        <v>94553</v>
      </c>
      <c r="X475" s="147"/>
      <c r="Y475" s="236"/>
      <c r="Z475" s="234"/>
      <c r="AA475" s="79"/>
      <c r="AB475" s="135"/>
      <c r="AC475" s="136"/>
      <c r="AD475" s="79"/>
      <c r="AE475" s="128"/>
      <c r="AF475" s="128"/>
      <c r="AG475" s="128"/>
      <c r="AH475" s="128"/>
      <c r="AI475" s="135"/>
      <c r="AJ475" s="135"/>
      <c r="AK475" s="58"/>
      <c r="AL475" s="287"/>
      <c r="AM475" s="288"/>
      <c r="AN475" s="288"/>
      <c r="AO475" s="288"/>
      <c r="AP475" s="288"/>
      <c r="AQ475" s="288"/>
      <c r="AR475" s="288"/>
      <c r="AS475" s="207"/>
      <c r="AT475" s="116"/>
      <c r="AU475" s="67"/>
      <c r="AV475" s="66"/>
      <c r="AW475" s="67"/>
      <c r="AX475" s="79"/>
      <c r="AY475" s="76"/>
      <c r="AZ475" s="77"/>
      <c r="BA475" s="75"/>
    </row>
    <row r="476" spans="1:53" s="210" customFormat="1" ht="14.15" customHeight="1" x14ac:dyDescent="0.4">
      <c r="A476" s="256" t="s">
        <v>3188</v>
      </c>
      <c r="B476" s="67" t="s">
        <v>125</v>
      </c>
      <c r="C476" s="224" t="s">
        <v>99</v>
      </c>
      <c r="D476" s="113" t="s">
        <v>3189</v>
      </c>
      <c r="E476" s="120" t="s">
        <v>100</v>
      </c>
      <c r="F476" s="82"/>
      <c r="G476" s="84"/>
      <c r="H476" s="90" t="s">
        <v>100</v>
      </c>
      <c r="I476" s="91"/>
      <c r="J476" s="97"/>
      <c r="K476" s="102">
        <v>44028</v>
      </c>
      <c r="L476" s="327"/>
      <c r="M476" s="106"/>
      <c r="N476" s="113" t="s">
        <v>2255</v>
      </c>
      <c r="O476" s="113" t="s">
        <v>3190</v>
      </c>
      <c r="P476" s="57"/>
      <c r="Q476" s="132">
        <v>0.10249999999999999</v>
      </c>
      <c r="R476" s="132"/>
      <c r="S476" s="63" t="s">
        <v>653</v>
      </c>
      <c r="T476" s="67" t="s">
        <v>3191</v>
      </c>
      <c r="U476" s="67" t="s">
        <v>653</v>
      </c>
      <c r="V476" s="113" t="s">
        <v>106</v>
      </c>
      <c r="W476" s="222">
        <v>94952</v>
      </c>
      <c r="X476" s="141"/>
      <c r="Y476" s="236"/>
      <c r="Z476" s="236"/>
      <c r="AA476" s="200"/>
      <c r="AB476" s="130"/>
      <c r="AC476" s="202"/>
      <c r="AD476" s="200"/>
      <c r="AE476" s="113"/>
      <c r="AF476" s="113"/>
      <c r="AG476" s="113"/>
      <c r="AH476" s="113"/>
      <c r="AI476" s="130"/>
      <c r="AJ476" s="135"/>
      <c r="AK476" s="57"/>
      <c r="AL476" s="290">
        <v>15157</v>
      </c>
      <c r="AM476" s="290" t="s">
        <v>149</v>
      </c>
      <c r="AN476" s="290"/>
      <c r="AO476" s="290"/>
      <c r="AP476" s="290"/>
      <c r="AQ476" s="290"/>
      <c r="AR476" s="290"/>
      <c r="AS476" s="207" t="s">
        <v>132</v>
      </c>
      <c r="AT476" s="116" t="s">
        <v>1961</v>
      </c>
      <c r="AU476" s="67" t="s">
        <v>3191</v>
      </c>
      <c r="AV476" s="251"/>
      <c r="AW476" s="67" t="s">
        <v>653</v>
      </c>
      <c r="AX476" s="113" t="s">
        <v>106</v>
      </c>
      <c r="AY476" s="222">
        <v>94952</v>
      </c>
      <c r="AZ476" s="199" t="s">
        <v>3190</v>
      </c>
      <c r="BA476" s="317"/>
    </row>
    <row r="477" spans="1:53" s="210" customFormat="1" ht="14.15" customHeight="1" x14ac:dyDescent="0.4">
      <c r="A477" s="256" t="s">
        <v>3192</v>
      </c>
      <c r="B477" s="67" t="s">
        <v>125</v>
      </c>
      <c r="C477" s="224" t="s">
        <v>99</v>
      </c>
      <c r="D477" s="113" t="s">
        <v>3189</v>
      </c>
      <c r="E477" s="120" t="s">
        <v>100</v>
      </c>
      <c r="F477" s="82"/>
      <c r="G477" s="84"/>
      <c r="H477" s="90" t="s">
        <v>100</v>
      </c>
      <c r="I477" s="91"/>
      <c r="J477" s="97"/>
      <c r="K477" s="102">
        <v>43979</v>
      </c>
      <c r="L477" s="327"/>
      <c r="M477" s="106">
        <v>43825</v>
      </c>
      <c r="N477" s="113" t="s">
        <v>223</v>
      </c>
      <c r="O477" s="113" t="s">
        <v>3193</v>
      </c>
      <c r="P477" s="57"/>
      <c r="Q477" s="132">
        <v>9.2499999999999999E-2</v>
      </c>
      <c r="R477" s="132"/>
      <c r="S477" s="63" t="s">
        <v>420</v>
      </c>
      <c r="T477" s="67" t="s">
        <v>3194</v>
      </c>
      <c r="U477" s="67" t="s">
        <v>420</v>
      </c>
      <c r="V477" s="113" t="s">
        <v>106</v>
      </c>
      <c r="W477" s="222">
        <v>94945</v>
      </c>
      <c r="X477" s="139" t="s">
        <v>3195</v>
      </c>
      <c r="Y477" s="139" t="s">
        <v>3195</v>
      </c>
      <c r="Z477" s="236"/>
      <c r="AA477" s="200"/>
      <c r="AB477" s="130"/>
      <c r="AC477" s="202"/>
      <c r="AD477" s="200"/>
      <c r="AE477" s="113"/>
      <c r="AF477" s="113"/>
      <c r="AG477" s="113"/>
      <c r="AH477" s="113"/>
      <c r="AI477" s="130"/>
      <c r="AJ477" s="135"/>
      <c r="AK477" s="57"/>
      <c r="AL477" s="290" t="s">
        <v>149</v>
      </c>
      <c r="AM477" s="290"/>
      <c r="AN477" s="290"/>
      <c r="AO477" s="290"/>
      <c r="AP477" s="290"/>
      <c r="AQ477" s="290"/>
      <c r="AR477" s="290"/>
      <c r="AS477" s="207" t="s">
        <v>132</v>
      </c>
      <c r="AT477" s="116" t="s">
        <v>1961</v>
      </c>
      <c r="AU477" s="67" t="s">
        <v>3196</v>
      </c>
      <c r="AV477" s="251"/>
      <c r="AW477" s="67" t="s">
        <v>420</v>
      </c>
      <c r="AX477" s="113" t="s">
        <v>106</v>
      </c>
      <c r="AY477" s="222">
        <v>94945</v>
      </c>
      <c r="AZ477" s="199" t="s">
        <v>3193</v>
      </c>
      <c r="BA477" s="317"/>
    </row>
    <row r="478" spans="1:53" s="210" customFormat="1" ht="14.15" customHeight="1" x14ac:dyDescent="0.4">
      <c r="A478" s="256" t="s">
        <v>3197</v>
      </c>
      <c r="B478" s="67" t="s">
        <v>125</v>
      </c>
      <c r="C478" s="224" t="s">
        <v>99</v>
      </c>
      <c r="D478" s="113" t="s">
        <v>3189</v>
      </c>
      <c r="E478" s="120" t="s">
        <v>100</v>
      </c>
      <c r="F478" s="82"/>
      <c r="G478" s="84"/>
      <c r="H478" s="90" t="s">
        <v>100</v>
      </c>
      <c r="I478" s="91"/>
      <c r="J478" s="97"/>
      <c r="K478" s="102">
        <v>44350</v>
      </c>
      <c r="L478" s="327"/>
      <c r="M478" s="106">
        <v>43978</v>
      </c>
      <c r="N478" s="113" t="s">
        <v>223</v>
      </c>
      <c r="O478" s="113" t="s">
        <v>3198</v>
      </c>
      <c r="P478" s="57"/>
      <c r="Q478" s="132">
        <v>0.10249999999999999</v>
      </c>
      <c r="R478" s="132"/>
      <c r="S478" s="63" t="s">
        <v>653</v>
      </c>
      <c r="T478" s="67" t="s">
        <v>3199</v>
      </c>
      <c r="U478" s="67" t="s">
        <v>653</v>
      </c>
      <c r="V478" s="113" t="s">
        <v>106</v>
      </c>
      <c r="W478" s="222">
        <v>94952</v>
      </c>
      <c r="X478" s="139" t="s">
        <v>3195</v>
      </c>
      <c r="Y478" s="139" t="s">
        <v>3195</v>
      </c>
      <c r="Z478" s="236"/>
      <c r="AA478" s="200"/>
      <c r="AB478" s="130"/>
      <c r="AC478" s="202"/>
      <c r="AD478" s="200"/>
      <c r="AE478" s="113"/>
      <c r="AF478" s="113"/>
      <c r="AG478" s="113"/>
      <c r="AH478" s="113"/>
      <c r="AI478" s="130"/>
      <c r="AJ478" s="135"/>
      <c r="AK478" s="57"/>
      <c r="AL478" s="290" t="s">
        <v>149</v>
      </c>
      <c r="AM478" s="290"/>
      <c r="AN478" s="290"/>
      <c r="AO478" s="290"/>
      <c r="AP478" s="290"/>
      <c r="AQ478" s="290"/>
      <c r="AR478" s="290"/>
      <c r="AS478" s="207" t="s">
        <v>132</v>
      </c>
      <c r="AT478" s="116" t="s">
        <v>1961</v>
      </c>
      <c r="AU478" s="67" t="s">
        <v>3199</v>
      </c>
      <c r="AV478" s="251"/>
      <c r="AW478" s="67" t="s">
        <v>653</v>
      </c>
      <c r="AX478" s="113" t="s">
        <v>106</v>
      </c>
      <c r="AY478" s="222">
        <v>94952</v>
      </c>
      <c r="AZ478" s="199" t="s">
        <v>3198</v>
      </c>
      <c r="BA478" s="317"/>
    </row>
    <row r="479" spans="1:53" s="210" customFormat="1" ht="14.15" customHeight="1" x14ac:dyDescent="0.4">
      <c r="A479" s="256" t="s">
        <v>3200</v>
      </c>
      <c r="B479" s="67" t="s">
        <v>108</v>
      </c>
      <c r="C479" s="68" t="s">
        <v>109</v>
      </c>
      <c r="D479" s="113"/>
      <c r="E479" s="120" t="s">
        <v>100</v>
      </c>
      <c r="F479" s="82"/>
      <c r="G479" s="84"/>
      <c r="H479" s="90" t="s">
        <v>100</v>
      </c>
      <c r="I479" s="91"/>
      <c r="J479" s="97"/>
      <c r="K479" s="102"/>
      <c r="L479" s="327"/>
      <c r="M479" s="106">
        <v>43942</v>
      </c>
      <c r="N479" s="113" t="s">
        <v>3201</v>
      </c>
      <c r="O479" s="113" t="s">
        <v>3202</v>
      </c>
      <c r="P479" s="57"/>
      <c r="Q479" s="132">
        <v>9.1249999999999998E-2</v>
      </c>
      <c r="R479" s="132"/>
      <c r="S479" s="63" t="s">
        <v>177</v>
      </c>
      <c r="T479" s="67" t="s">
        <v>3203</v>
      </c>
      <c r="U479" s="67" t="s">
        <v>3204</v>
      </c>
      <c r="V479" s="113" t="s">
        <v>106</v>
      </c>
      <c r="W479" s="222">
        <v>94085</v>
      </c>
      <c r="X479" s="141"/>
      <c r="Y479" s="236"/>
      <c r="Z479" s="236"/>
      <c r="AA479" s="200"/>
      <c r="AB479" s="130"/>
      <c r="AC479" s="202"/>
      <c r="AD479" s="200"/>
      <c r="AE479" s="113"/>
      <c r="AF479" s="113"/>
      <c r="AG479" s="113"/>
      <c r="AH479" s="113"/>
      <c r="AI479" s="130"/>
      <c r="AJ479" s="135"/>
      <c r="AK479" s="57"/>
      <c r="AL479" s="290"/>
      <c r="AM479" s="290"/>
      <c r="AN479" s="290"/>
      <c r="AO479" s="290"/>
      <c r="AP479" s="290"/>
      <c r="AQ479" s="290"/>
      <c r="AR479" s="290"/>
      <c r="AS479" s="207" t="s">
        <v>132</v>
      </c>
      <c r="AT479" s="116" t="s">
        <v>1961</v>
      </c>
      <c r="AU479" s="67" t="s">
        <v>3203</v>
      </c>
      <c r="AV479" s="251"/>
      <c r="AW479" s="67" t="s">
        <v>3204</v>
      </c>
      <c r="AX479" s="113" t="s">
        <v>106</v>
      </c>
      <c r="AY479" s="222">
        <v>94085</v>
      </c>
      <c r="AZ479" s="199" t="s">
        <v>3202</v>
      </c>
      <c r="BA479" s="317"/>
    </row>
    <row r="480" spans="1:53" s="210" customFormat="1" ht="14.15" customHeight="1" x14ac:dyDescent="0.4">
      <c r="A480" s="256" t="s">
        <v>3205</v>
      </c>
      <c r="B480" s="67" t="s">
        <v>125</v>
      </c>
      <c r="C480" s="224" t="s">
        <v>99</v>
      </c>
      <c r="D480" s="79" t="s">
        <v>3206</v>
      </c>
      <c r="E480" s="120" t="s">
        <v>100</v>
      </c>
      <c r="F480" s="82"/>
      <c r="G480" s="84"/>
      <c r="H480" s="92" t="s">
        <v>100</v>
      </c>
      <c r="I480" s="91"/>
      <c r="J480" s="97"/>
      <c r="K480" s="102">
        <v>45957</v>
      </c>
      <c r="L480" s="327"/>
      <c r="M480" s="106">
        <v>43112</v>
      </c>
      <c r="N480" s="113" t="s">
        <v>3207</v>
      </c>
      <c r="O480" s="113" t="s">
        <v>3208</v>
      </c>
      <c r="P480" s="57"/>
      <c r="Q480" s="132">
        <v>9.2499999999999999E-2</v>
      </c>
      <c r="R480" s="132">
        <v>9.2499999999999999E-2</v>
      </c>
      <c r="S480" s="63" t="s">
        <v>226</v>
      </c>
      <c r="T480" s="67" t="s">
        <v>3209</v>
      </c>
      <c r="U480" s="67" t="s">
        <v>228</v>
      </c>
      <c r="V480" s="113" t="s">
        <v>106</v>
      </c>
      <c r="W480" s="222">
        <v>94901</v>
      </c>
      <c r="X480" s="141" t="s">
        <v>3210</v>
      </c>
      <c r="Y480" s="236"/>
      <c r="Z480" s="236"/>
      <c r="AA480" s="200" t="s">
        <v>3211</v>
      </c>
      <c r="AB480" s="130"/>
      <c r="AC480" s="202" t="s">
        <v>3212</v>
      </c>
      <c r="AD480" s="200"/>
      <c r="AE480" s="113" t="s">
        <v>3213</v>
      </c>
      <c r="AF480" s="113" t="s">
        <v>2977</v>
      </c>
      <c r="AG480" s="113"/>
      <c r="AH480" s="113"/>
      <c r="AI480" s="130"/>
      <c r="AJ480" s="135"/>
      <c r="AK480" s="57"/>
      <c r="AL480" s="290" t="s">
        <v>251</v>
      </c>
      <c r="AM480" s="290">
        <v>15741</v>
      </c>
      <c r="AN480" s="290" t="s">
        <v>289</v>
      </c>
      <c r="AO480" s="290">
        <v>12100</v>
      </c>
      <c r="AP480" s="290"/>
      <c r="AQ480" s="290">
        <v>3351</v>
      </c>
      <c r="AR480" s="290">
        <v>46175</v>
      </c>
      <c r="AS480" s="207" t="s">
        <v>132</v>
      </c>
      <c r="AT480" s="116" t="s">
        <v>1961</v>
      </c>
      <c r="AU480" s="67" t="s">
        <v>3209</v>
      </c>
      <c r="AV480" s="251"/>
      <c r="AW480" s="67" t="s">
        <v>228</v>
      </c>
      <c r="AX480" s="113" t="s">
        <v>106</v>
      </c>
      <c r="AY480" s="222">
        <v>94901</v>
      </c>
      <c r="AZ480" s="199" t="s">
        <v>3208</v>
      </c>
      <c r="BA480" s="317"/>
    </row>
    <row r="481" spans="1:53" s="210" customFormat="1" ht="14.15" customHeight="1" x14ac:dyDescent="0.4">
      <c r="A481" s="256" t="s">
        <v>3214</v>
      </c>
      <c r="B481" s="67" t="s">
        <v>269</v>
      </c>
      <c r="C481" s="224" t="s">
        <v>119</v>
      </c>
      <c r="D481" s="113" t="s">
        <v>2812</v>
      </c>
      <c r="E481" s="120" t="s">
        <v>100</v>
      </c>
      <c r="F481" s="82"/>
      <c r="G481" s="84"/>
      <c r="H481" s="90" t="s">
        <v>100</v>
      </c>
      <c r="I481" s="91"/>
      <c r="J481" s="97"/>
      <c r="K481" s="102"/>
      <c r="L481" s="327"/>
      <c r="M481" s="106">
        <v>45105</v>
      </c>
      <c r="N481" s="113" t="s">
        <v>1351</v>
      </c>
      <c r="O481" s="113" t="s">
        <v>3215</v>
      </c>
      <c r="P481" s="57"/>
      <c r="Q481" s="132">
        <v>8.6249999999999993E-2</v>
      </c>
      <c r="R481" s="132">
        <v>8.7499999999999994E-2</v>
      </c>
      <c r="S481" s="63" t="s">
        <v>103</v>
      </c>
      <c r="T481" s="67" t="s">
        <v>3216</v>
      </c>
      <c r="U481" s="67" t="s">
        <v>105</v>
      </c>
      <c r="V481" s="113" t="s">
        <v>106</v>
      </c>
      <c r="W481" s="222">
        <v>94114</v>
      </c>
      <c r="X481" s="141"/>
      <c r="Y481" s="236"/>
      <c r="Z481" s="236"/>
      <c r="AA481" s="200"/>
      <c r="AB481" s="130"/>
      <c r="AC481" s="202"/>
      <c r="AD481" s="200"/>
      <c r="AE481" s="113"/>
      <c r="AF481" s="113"/>
      <c r="AG481" s="113"/>
      <c r="AH481" s="113"/>
      <c r="AI481" s="130"/>
      <c r="AJ481" s="135"/>
      <c r="AK481" s="57"/>
      <c r="AL481" s="290"/>
      <c r="AM481" s="290"/>
      <c r="AN481" s="290"/>
      <c r="AO481" s="290"/>
      <c r="AP481" s="290"/>
      <c r="AQ481" s="290"/>
      <c r="AR481" s="290"/>
      <c r="AS481" s="207" t="s">
        <v>132</v>
      </c>
      <c r="AT481" s="116" t="s">
        <v>1961</v>
      </c>
      <c r="AU481" s="67" t="s">
        <v>3216</v>
      </c>
      <c r="AV481" s="251"/>
      <c r="AW481" s="67" t="s">
        <v>105</v>
      </c>
      <c r="AX481" s="113" t="s">
        <v>106</v>
      </c>
      <c r="AY481" s="222">
        <v>94114</v>
      </c>
      <c r="AZ481" s="57" t="s">
        <v>3215</v>
      </c>
      <c r="BA481" s="317"/>
    </row>
    <row r="482" spans="1:53" s="210" customFormat="1" ht="14.15" customHeight="1" x14ac:dyDescent="0.4">
      <c r="A482" s="256" t="s">
        <v>3217</v>
      </c>
      <c r="B482" s="67" t="s">
        <v>269</v>
      </c>
      <c r="C482" s="224" t="s">
        <v>221</v>
      </c>
      <c r="D482" s="113"/>
      <c r="E482" s="120" t="s">
        <v>100</v>
      </c>
      <c r="F482" s="82"/>
      <c r="G482" s="84"/>
      <c r="H482" s="90" t="s">
        <v>100</v>
      </c>
      <c r="I482" s="91"/>
      <c r="J482" s="97"/>
      <c r="K482" s="102">
        <v>44438</v>
      </c>
      <c r="L482" s="327"/>
      <c r="M482" s="106">
        <v>43195</v>
      </c>
      <c r="N482" s="113" t="s">
        <v>3218</v>
      </c>
      <c r="O482" s="113" t="s">
        <v>3219</v>
      </c>
      <c r="P482" s="57"/>
      <c r="Q482" s="132">
        <v>0.10249999999999999</v>
      </c>
      <c r="R482" s="132">
        <v>9.2499999999999999E-2</v>
      </c>
      <c r="S482" s="63" t="s">
        <v>3220</v>
      </c>
      <c r="T482" s="67" t="s">
        <v>3221</v>
      </c>
      <c r="U482" s="67" t="s">
        <v>3220</v>
      </c>
      <c r="V482" s="113" t="s">
        <v>106</v>
      </c>
      <c r="W482" s="222">
        <v>94931</v>
      </c>
      <c r="X482" s="141"/>
      <c r="Y482" s="236"/>
      <c r="Z482" s="236"/>
      <c r="AA482" s="200" t="s">
        <v>3222</v>
      </c>
      <c r="AB482" s="130"/>
      <c r="AC482" s="202"/>
      <c r="AD482" s="200"/>
      <c r="AE482" s="113"/>
      <c r="AF482" s="113"/>
      <c r="AG482" s="113"/>
      <c r="AH482" s="113"/>
      <c r="AI482" s="130"/>
      <c r="AJ482" s="135" t="s">
        <v>3223</v>
      </c>
      <c r="AK482" s="57"/>
      <c r="AL482" s="290" t="s">
        <v>149</v>
      </c>
      <c r="AM482" s="290"/>
      <c r="AN482" s="290"/>
      <c r="AO482" s="290"/>
      <c r="AP482" s="290"/>
      <c r="AQ482" s="290"/>
      <c r="AR482" s="290"/>
      <c r="AS482" s="207" t="s">
        <v>132</v>
      </c>
      <c r="AT482" s="116" t="s">
        <v>1961</v>
      </c>
      <c r="AU482" s="67" t="s">
        <v>3221</v>
      </c>
      <c r="AV482" s="251"/>
      <c r="AW482" s="67" t="s">
        <v>3220</v>
      </c>
      <c r="AX482" s="113" t="s">
        <v>106</v>
      </c>
      <c r="AY482" s="222">
        <v>94931</v>
      </c>
      <c r="AZ482" s="199" t="s">
        <v>3219</v>
      </c>
      <c r="BA482" s="317"/>
    </row>
    <row r="483" spans="1:53" s="210" customFormat="1" ht="14.15" customHeight="1" x14ac:dyDescent="0.4">
      <c r="A483" s="256" t="s">
        <v>3224</v>
      </c>
      <c r="B483" s="67" t="s">
        <v>269</v>
      </c>
      <c r="C483" s="224" t="s">
        <v>99</v>
      </c>
      <c r="D483" s="115"/>
      <c r="E483" s="120" t="s">
        <v>100</v>
      </c>
      <c r="F483" s="82"/>
      <c r="G483" s="84"/>
      <c r="H483" s="90" t="s">
        <v>100</v>
      </c>
      <c r="I483" s="91"/>
      <c r="J483" s="97"/>
      <c r="K483" s="102"/>
      <c r="L483" s="327"/>
      <c r="M483" s="106">
        <v>45314</v>
      </c>
      <c r="N483" s="113" t="s">
        <v>111</v>
      </c>
      <c r="O483" s="113" t="s">
        <v>3225</v>
      </c>
      <c r="P483" s="57" t="s">
        <v>3226</v>
      </c>
      <c r="Q483" s="132">
        <v>9.7500000000000003E-2</v>
      </c>
      <c r="R483" s="132"/>
      <c r="S483" s="63" t="s">
        <v>205</v>
      </c>
      <c r="T483" s="67" t="s">
        <v>3227</v>
      </c>
      <c r="U483" s="67" t="s">
        <v>553</v>
      </c>
      <c r="V483" s="113" t="s">
        <v>106</v>
      </c>
      <c r="W483" s="222">
        <v>94801</v>
      </c>
      <c r="X483" s="141"/>
      <c r="Y483" s="236"/>
      <c r="Z483" s="236"/>
      <c r="AA483" s="200"/>
      <c r="AB483" s="130"/>
      <c r="AC483" s="202"/>
      <c r="AD483" s="200"/>
      <c r="AE483" s="113"/>
      <c r="AF483" s="113"/>
      <c r="AG483" s="113"/>
      <c r="AH483" s="113"/>
      <c r="AI483" s="130"/>
      <c r="AJ483" s="135"/>
      <c r="AK483" s="57"/>
      <c r="AL483" s="287"/>
      <c r="AM483" s="288"/>
      <c r="AN483" s="288"/>
      <c r="AO483" s="288"/>
      <c r="AP483" s="288"/>
      <c r="AQ483" s="288"/>
      <c r="AR483" s="288"/>
      <c r="AS483" s="207"/>
      <c r="AT483" s="116" t="s">
        <v>258</v>
      </c>
      <c r="AU483" s="67" t="s">
        <v>3227</v>
      </c>
      <c r="AV483" s="251"/>
      <c r="AW483" s="67" t="s">
        <v>553</v>
      </c>
      <c r="AX483" s="113" t="s">
        <v>106</v>
      </c>
      <c r="AY483" s="222">
        <v>94801</v>
      </c>
      <c r="AZ483" s="199" t="s">
        <v>3225</v>
      </c>
      <c r="BA483" s="317"/>
    </row>
    <row r="484" spans="1:53" s="210" customFormat="1" ht="14.15" customHeight="1" x14ac:dyDescent="0.25">
      <c r="A484" s="256" t="s">
        <v>3228</v>
      </c>
      <c r="B484" s="67" t="s">
        <v>125</v>
      </c>
      <c r="C484" s="68" t="s">
        <v>99</v>
      </c>
      <c r="D484" s="79" t="s">
        <v>3229</v>
      </c>
      <c r="E484" s="118" t="s">
        <v>100</v>
      </c>
      <c r="F484" s="80"/>
      <c r="G484" s="81"/>
      <c r="H484" s="87" t="s">
        <v>100</v>
      </c>
      <c r="I484" s="86"/>
      <c r="J484" s="96"/>
      <c r="K484" s="100">
        <v>44867</v>
      </c>
      <c r="L484" s="328"/>
      <c r="M484" s="104">
        <v>44509</v>
      </c>
      <c r="N484" s="128" t="s">
        <v>3230</v>
      </c>
      <c r="O484" s="128" t="s">
        <v>3231</v>
      </c>
      <c r="P484" s="59"/>
      <c r="Q484" s="132">
        <v>9.2499999999999999E-2</v>
      </c>
      <c r="R484" s="132">
        <v>8.5000000000000006E-2</v>
      </c>
      <c r="S484" s="63" t="s">
        <v>759</v>
      </c>
      <c r="T484" s="67" t="s">
        <v>3232</v>
      </c>
      <c r="U484" s="67" t="s">
        <v>823</v>
      </c>
      <c r="V484" s="79" t="s">
        <v>106</v>
      </c>
      <c r="W484" s="76">
        <v>94941</v>
      </c>
      <c r="X484" s="147"/>
      <c r="Y484" s="236"/>
      <c r="Z484" s="234"/>
      <c r="AA484" s="79"/>
      <c r="AB484" s="135"/>
      <c r="AC484" s="136"/>
      <c r="AD484" s="79"/>
      <c r="AE484" s="128"/>
      <c r="AF484" s="128"/>
      <c r="AG484" s="128"/>
      <c r="AH484" s="128"/>
      <c r="AI484" s="135" t="s">
        <v>0</v>
      </c>
      <c r="AJ484" s="135" t="s">
        <v>116</v>
      </c>
      <c r="AK484" s="58"/>
      <c r="AL484" s="290">
        <v>15157</v>
      </c>
      <c r="AM484" s="290">
        <v>15741</v>
      </c>
      <c r="AN484" s="290"/>
      <c r="AO484" s="290"/>
      <c r="AP484" s="290"/>
      <c r="AQ484" s="290"/>
      <c r="AR484" s="290"/>
      <c r="AS484" s="207" t="s">
        <v>132</v>
      </c>
      <c r="AT484" s="116" t="s">
        <v>1961</v>
      </c>
      <c r="AU484" s="67" t="s">
        <v>3232</v>
      </c>
      <c r="AV484" s="66"/>
      <c r="AW484" s="67" t="s">
        <v>823</v>
      </c>
      <c r="AX484" s="79" t="s">
        <v>106</v>
      </c>
      <c r="AY484" s="76">
        <v>94941</v>
      </c>
      <c r="AZ484" s="77" t="s">
        <v>3231</v>
      </c>
      <c r="BA484" s="317"/>
    </row>
    <row r="485" spans="1:53" s="210" customFormat="1" ht="14.15" customHeight="1" x14ac:dyDescent="0.4">
      <c r="A485" s="256" t="s">
        <v>3233</v>
      </c>
      <c r="B485" s="67" t="s">
        <v>98</v>
      </c>
      <c r="C485" s="68" t="s">
        <v>99</v>
      </c>
      <c r="D485" s="79"/>
      <c r="E485" s="120" t="s">
        <v>100</v>
      </c>
      <c r="F485" s="82"/>
      <c r="G485" s="84"/>
      <c r="H485" s="90" t="s">
        <v>100</v>
      </c>
      <c r="I485" s="91"/>
      <c r="J485" s="97"/>
      <c r="K485" s="102">
        <v>45246</v>
      </c>
      <c r="L485" s="327"/>
      <c r="M485" s="106"/>
      <c r="N485" s="128" t="s">
        <v>3234</v>
      </c>
      <c r="O485" s="128" t="s">
        <v>3235</v>
      </c>
      <c r="P485" s="59"/>
      <c r="Q485" s="131">
        <v>8.6249999999999993E-2</v>
      </c>
      <c r="R485" s="131"/>
      <c r="S485" s="63" t="s">
        <v>103</v>
      </c>
      <c r="T485" s="67" t="s">
        <v>3236</v>
      </c>
      <c r="U485" s="67" t="s">
        <v>105</v>
      </c>
      <c r="V485" s="79" t="s">
        <v>106</v>
      </c>
      <c r="W485" s="76">
        <v>94110</v>
      </c>
      <c r="X485" s="147"/>
      <c r="Y485" s="236"/>
      <c r="Z485" s="234"/>
      <c r="AA485" s="79"/>
      <c r="AB485" s="135"/>
      <c r="AC485" s="136"/>
      <c r="AD485" s="79"/>
      <c r="AE485" s="128"/>
      <c r="AF485" s="128"/>
      <c r="AG485" s="128"/>
      <c r="AH485" s="128"/>
      <c r="AI485" s="135"/>
      <c r="AJ485" s="135"/>
      <c r="AK485" s="58"/>
      <c r="AL485" s="287"/>
      <c r="AM485" s="288"/>
      <c r="AN485" s="288"/>
      <c r="AO485" s="288"/>
      <c r="AP485" s="288"/>
      <c r="AQ485" s="288"/>
      <c r="AR485" s="288"/>
      <c r="AS485" s="207"/>
      <c r="AT485" s="116"/>
      <c r="AU485" s="67"/>
      <c r="AV485" s="66"/>
      <c r="AW485" s="67"/>
      <c r="AX485" s="79"/>
      <c r="AY485" s="76"/>
      <c r="AZ485" s="77"/>
      <c r="BA485" s="75"/>
    </row>
    <row r="486" spans="1:53" s="210" customFormat="1" ht="14.15" customHeight="1" x14ac:dyDescent="0.4">
      <c r="A486" s="256" t="s">
        <v>3237</v>
      </c>
      <c r="B486" s="67" t="s">
        <v>269</v>
      </c>
      <c r="C486" s="224" t="s">
        <v>472</v>
      </c>
      <c r="D486" s="79"/>
      <c r="E486" s="120" t="s">
        <v>100</v>
      </c>
      <c r="F486" s="82"/>
      <c r="G486" s="84"/>
      <c r="H486" s="90" t="s">
        <v>100</v>
      </c>
      <c r="I486" s="91"/>
      <c r="J486" s="97"/>
      <c r="K486" s="102">
        <v>43269</v>
      </c>
      <c r="L486" s="327"/>
      <c r="M486" s="106">
        <v>43880</v>
      </c>
      <c r="N486" s="113" t="s">
        <v>3238</v>
      </c>
      <c r="O486" s="113" t="s">
        <v>3239</v>
      </c>
      <c r="P486" s="57" t="s">
        <v>3240</v>
      </c>
      <c r="Q486" s="132">
        <v>0.10249999999999999</v>
      </c>
      <c r="R486" s="132"/>
      <c r="S486" s="63" t="s">
        <v>113</v>
      </c>
      <c r="T486" s="67" t="s">
        <v>3241</v>
      </c>
      <c r="U486" s="67" t="s">
        <v>641</v>
      </c>
      <c r="V486" s="113" t="s">
        <v>106</v>
      </c>
      <c r="W486" s="222">
        <v>94702</v>
      </c>
      <c r="X486" s="141" t="s">
        <v>3242</v>
      </c>
      <c r="Y486" s="236"/>
      <c r="Z486" s="141" t="s">
        <v>3243</v>
      </c>
      <c r="AA486" s="200"/>
      <c r="AB486" s="130"/>
      <c r="AC486" s="202"/>
      <c r="AD486" s="200"/>
      <c r="AE486" s="113"/>
      <c r="AF486" s="113"/>
      <c r="AG486" s="113"/>
      <c r="AH486" s="113"/>
      <c r="AI486" s="130"/>
      <c r="AJ486" s="135"/>
      <c r="AK486" s="57"/>
      <c r="AL486" s="290" t="s">
        <v>149</v>
      </c>
      <c r="AM486" s="290"/>
      <c r="AN486" s="290"/>
      <c r="AO486" s="290"/>
      <c r="AP486" s="290"/>
      <c r="AQ486" s="290"/>
      <c r="AR486" s="290"/>
      <c r="AS486" s="207" t="s">
        <v>132</v>
      </c>
      <c r="AT486" s="116" t="s">
        <v>1961</v>
      </c>
      <c r="AU486" s="67" t="s">
        <v>3241</v>
      </c>
      <c r="AV486" s="251"/>
      <c r="AW486" s="67" t="s">
        <v>641</v>
      </c>
      <c r="AX486" s="113" t="s">
        <v>106</v>
      </c>
      <c r="AY486" s="222">
        <v>94702</v>
      </c>
      <c r="AZ486" s="199" t="s">
        <v>3239</v>
      </c>
      <c r="BA486" s="317"/>
    </row>
    <row r="487" spans="1:53" s="210" customFormat="1" ht="14.15" customHeight="1" x14ac:dyDescent="0.4">
      <c r="A487" s="256" t="s">
        <v>3244</v>
      </c>
      <c r="B487" s="67" t="s">
        <v>3245</v>
      </c>
      <c r="C487" s="224" t="s">
        <v>119</v>
      </c>
      <c r="D487" s="113"/>
      <c r="E487" s="120" t="s">
        <v>100</v>
      </c>
      <c r="F487" s="82"/>
      <c r="G487" s="84"/>
      <c r="H487" s="90" t="s">
        <v>100</v>
      </c>
      <c r="I487" s="91" t="s">
        <v>0</v>
      </c>
      <c r="J487" s="97" t="s">
        <v>0</v>
      </c>
      <c r="K487" s="102"/>
      <c r="L487" s="327"/>
      <c r="M487" s="106">
        <v>43686</v>
      </c>
      <c r="N487" s="113" t="s">
        <v>3246</v>
      </c>
      <c r="O487" s="113" t="s">
        <v>3247</v>
      </c>
      <c r="P487" s="57" t="s">
        <v>3248</v>
      </c>
      <c r="Q487" s="132">
        <v>8.6249999999999993E-2</v>
      </c>
      <c r="R487" s="132">
        <v>8.7499999999999994E-2</v>
      </c>
      <c r="S487" s="63" t="s">
        <v>103</v>
      </c>
      <c r="T487" s="67" t="s">
        <v>3249</v>
      </c>
      <c r="U487" s="67" t="s">
        <v>105</v>
      </c>
      <c r="V487" s="113" t="s">
        <v>106</v>
      </c>
      <c r="W487" s="222">
        <v>94114</v>
      </c>
      <c r="X487" s="147"/>
      <c r="Y487" s="236"/>
      <c r="Z487" s="236"/>
      <c r="AA487" s="200" t="s">
        <v>3250</v>
      </c>
      <c r="AB487" s="130" t="s">
        <v>3251</v>
      </c>
      <c r="AC487" s="202" t="s">
        <v>3252</v>
      </c>
      <c r="AD487" s="200" t="s">
        <v>3253</v>
      </c>
      <c r="AE487" s="113" t="s">
        <v>3254</v>
      </c>
      <c r="AF487" s="113" t="s">
        <v>3255</v>
      </c>
      <c r="AG487" s="113"/>
      <c r="AH487" s="113"/>
      <c r="AI487" s="130"/>
      <c r="AJ487" s="130"/>
      <c r="AK487" s="57"/>
      <c r="AL487" s="290"/>
      <c r="AM487" s="290"/>
      <c r="AN487" s="290"/>
      <c r="AO487" s="290"/>
      <c r="AP487" s="290"/>
      <c r="AQ487" s="290"/>
      <c r="AR487" s="290"/>
      <c r="AS487" s="207" t="s">
        <v>132</v>
      </c>
      <c r="AT487" s="116" t="s">
        <v>1961</v>
      </c>
      <c r="AU487" s="67" t="s">
        <v>3249</v>
      </c>
      <c r="AV487" s="251"/>
      <c r="AW487" s="67" t="s">
        <v>105</v>
      </c>
      <c r="AX487" s="113" t="s">
        <v>106</v>
      </c>
      <c r="AY487" s="222">
        <v>94114</v>
      </c>
      <c r="AZ487" s="199" t="s">
        <v>3247</v>
      </c>
      <c r="BA487" s="317"/>
    </row>
    <row r="488" spans="1:53" ht="14.15" customHeight="1" x14ac:dyDescent="0.4">
      <c r="A488" s="256" t="s">
        <v>3256</v>
      </c>
      <c r="B488" s="67" t="s">
        <v>244</v>
      </c>
      <c r="C488" s="224" t="s">
        <v>205</v>
      </c>
      <c r="D488" s="115"/>
      <c r="E488" s="120" t="s">
        <v>173</v>
      </c>
      <c r="F488" s="82" t="s">
        <v>174</v>
      </c>
      <c r="G488" s="84"/>
      <c r="H488" s="90"/>
      <c r="I488" s="91"/>
      <c r="J488" s="97"/>
      <c r="K488" s="102">
        <v>44538</v>
      </c>
      <c r="L488" s="327"/>
      <c r="M488" s="106"/>
      <c r="N488" s="113" t="s">
        <v>3257</v>
      </c>
      <c r="O488" s="130" t="s">
        <v>3258</v>
      </c>
      <c r="P488" s="57"/>
      <c r="Q488" s="132">
        <v>8.6249999999999993E-2</v>
      </c>
      <c r="R488" s="132"/>
      <c r="S488" s="63" t="s">
        <v>103</v>
      </c>
      <c r="T488" s="67" t="s">
        <v>3259</v>
      </c>
      <c r="U488" s="67" t="s">
        <v>105</v>
      </c>
      <c r="V488" s="113" t="s">
        <v>106</v>
      </c>
      <c r="W488" s="222">
        <v>94105</v>
      </c>
      <c r="X488" s="141" t="s">
        <v>3260</v>
      </c>
      <c r="Y488" s="141" t="s">
        <v>3260</v>
      </c>
      <c r="Z488" s="141" t="s">
        <v>3260</v>
      </c>
      <c r="AA488" s="200"/>
      <c r="AB488" s="130"/>
      <c r="AC488" s="202"/>
      <c r="AD488" s="200"/>
      <c r="AE488" s="113"/>
      <c r="AF488" s="113"/>
      <c r="AG488" s="113"/>
      <c r="AH488" s="113"/>
      <c r="AI488" s="130"/>
      <c r="AK488" s="57"/>
      <c r="AS488" s="207"/>
      <c r="AU488" s="67" t="s">
        <v>3261</v>
      </c>
      <c r="AV488" s="251"/>
      <c r="AW488" s="67" t="s">
        <v>105</v>
      </c>
      <c r="AX488" s="113" t="s">
        <v>106</v>
      </c>
      <c r="AY488" s="222">
        <v>94105</v>
      </c>
      <c r="AZ488" s="57" t="s">
        <v>3258</v>
      </c>
      <c r="BA488" s="317"/>
    </row>
    <row r="489" spans="1:53" ht="14.15" customHeight="1" x14ac:dyDescent="0.4">
      <c r="A489" s="256" t="s">
        <v>3262</v>
      </c>
      <c r="B489" s="67" t="s">
        <v>125</v>
      </c>
      <c r="C489" s="224" t="s">
        <v>99</v>
      </c>
      <c r="D489" s="113" t="s">
        <v>517</v>
      </c>
      <c r="E489" s="120" t="s">
        <v>100</v>
      </c>
      <c r="F489" s="82"/>
      <c r="G489" s="84"/>
      <c r="H489" s="90" t="s">
        <v>100</v>
      </c>
      <c r="I489" s="91"/>
      <c r="J489" s="97"/>
      <c r="K489" s="102">
        <v>43487</v>
      </c>
      <c r="L489" s="327"/>
      <c r="M489" s="106"/>
      <c r="N489" s="113" t="s">
        <v>3263</v>
      </c>
      <c r="O489" s="113" t="s">
        <v>3264</v>
      </c>
      <c r="P489" s="57"/>
      <c r="Q489" s="132">
        <v>8.6249999999999993E-2</v>
      </c>
      <c r="R489" s="132">
        <v>8.7499999999999994E-2</v>
      </c>
      <c r="S489" s="63" t="s">
        <v>103</v>
      </c>
      <c r="T489" s="67" t="s">
        <v>3265</v>
      </c>
      <c r="U489" s="67" t="s">
        <v>105</v>
      </c>
      <c r="V489" s="113" t="s">
        <v>106</v>
      </c>
      <c r="W489" s="222">
        <v>94111</v>
      </c>
      <c r="Z489" s="236"/>
      <c r="AA489" s="200"/>
      <c r="AB489" s="130"/>
      <c r="AC489" s="202"/>
      <c r="AD489" s="200"/>
      <c r="AE489" s="113"/>
      <c r="AF489" s="113"/>
      <c r="AG489" s="113"/>
      <c r="AH489" s="113"/>
      <c r="AI489" s="130" t="s">
        <v>0</v>
      </c>
      <c r="AJ489" s="135" t="s">
        <v>116</v>
      </c>
      <c r="AK489" s="57"/>
      <c r="AL489" s="290">
        <v>15157</v>
      </c>
      <c r="AM489" s="290"/>
      <c r="AN489" s="290"/>
      <c r="AO489" s="290"/>
      <c r="AP489" s="290"/>
      <c r="AQ489" s="290"/>
      <c r="AR489" s="290"/>
      <c r="AS489" s="207" t="s">
        <v>132</v>
      </c>
      <c r="AT489" s="116" t="s">
        <v>1961</v>
      </c>
      <c r="AU489" s="67" t="s">
        <v>3265</v>
      </c>
      <c r="AV489" s="251"/>
      <c r="AW489" s="67" t="s">
        <v>105</v>
      </c>
      <c r="AX489" s="113" t="s">
        <v>106</v>
      </c>
      <c r="AY489" s="222">
        <v>94111</v>
      </c>
      <c r="AZ489" s="199" t="s">
        <v>3264</v>
      </c>
      <c r="BA489" s="317"/>
    </row>
    <row r="490" spans="1:53" ht="14.15" customHeight="1" x14ac:dyDescent="0.4">
      <c r="A490" s="256" t="s">
        <v>3266</v>
      </c>
      <c r="B490" s="67" t="s">
        <v>174</v>
      </c>
      <c r="C490" s="68" t="s">
        <v>99</v>
      </c>
      <c r="E490" s="120" t="s">
        <v>1235</v>
      </c>
      <c r="F490" s="82"/>
      <c r="G490" s="84"/>
      <c r="H490" s="90" t="s">
        <v>1235</v>
      </c>
      <c r="I490" s="91"/>
      <c r="J490" s="97"/>
      <c r="K490" s="102">
        <v>45104</v>
      </c>
      <c r="L490" s="327"/>
      <c r="M490" s="106"/>
      <c r="N490" s="128" t="s">
        <v>3267</v>
      </c>
      <c r="O490" s="128" t="s">
        <v>3268</v>
      </c>
      <c r="P490" s="59" t="s">
        <v>3269</v>
      </c>
      <c r="Q490" s="131">
        <v>9.7500000000000003E-2</v>
      </c>
      <c r="S490" s="63" t="s">
        <v>3270</v>
      </c>
      <c r="T490" s="67" t="s">
        <v>3271</v>
      </c>
      <c r="U490" s="67" t="s">
        <v>264</v>
      </c>
      <c r="V490" s="79" t="s">
        <v>106</v>
      </c>
      <c r="W490" s="76">
        <v>95448</v>
      </c>
      <c r="X490" s="141" t="s">
        <v>3272</v>
      </c>
      <c r="Z490" s="371"/>
      <c r="AL490" s="287" t="s">
        <v>251</v>
      </c>
      <c r="AM490" s="288">
        <v>13305</v>
      </c>
      <c r="AN490" s="288" t="s">
        <v>257</v>
      </c>
      <c r="AO490" s="288">
        <v>62245</v>
      </c>
      <c r="AS490" s="207"/>
      <c r="AT490" s="116" t="s">
        <v>116</v>
      </c>
      <c r="AU490" s="67" t="s">
        <v>3271</v>
      </c>
      <c r="AW490" s="67" t="s">
        <v>264</v>
      </c>
      <c r="AX490" s="79" t="s">
        <v>106</v>
      </c>
      <c r="AY490" s="76">
        <v>95448</v>
      </c>
      <c r="AZ490" s="77" t="s">
        <v>3269</v>
      </c>
    </row>
    <row r="491" spans="1:53" ht="14.15" customHeight="1" x14ac:dyDescent="0.4">
      <c r="A491" s="256" t="s">
        <v>3273</v>
      </c>
      <c r="B491" s="67" t="s">
        <v>98</v>
      </c>
      <c r="C491" s="224" t="s">
        <v>99</v>
      </c>
      <c r="D491" s="113" t="s">
        <v>2399</v>
      </c>
      <c r="E491" s="120" t="s">
        <v>100</v>
      </c>
      <c r="F491" s="82"/>
      <c r="G491" s="84"/>
      <c r="H491" s="90" t="s">
        <v>100</v>
      </c>
      <c r="I491" s="91"/>
      <c r="J491" s="97"/>
      <c r="K491" s="102">
        <v>44837</v>
      </c>
      <c r="L491" s="327"/>
      <c r="M491" s="106"/>
      <c r="N491" s="113" t="s">
        <v>3274</v>
      </c>
      <c r="O491" s="128" t="s">
        <v>3275</v>
      </c>
      <c r="P491" s="199"/>
      <c r="Q491" s="132">
        <v>0.10249999999999999</v>
      </c>
      <c r="R491" s="132"/>
      <c r="S491" s="63" t="s">
        <v>113</v>
      </c>
      <c r="T491" s="67" t="s">
        <v>3276</v>
      </c>
      <c r="U491" s="67" t="s">
        <v>1464</v>
      </c>
      <c r="V491" s="113" t="s">
        <v>106</v>
      </c>
      <c r="W491" s="222">
        <v>94550</v>
      </c>
      <c r="X491" s="141" t="s">
        <v>3277</v>
      </c>
      <c r="Y491" s="236" t="s">
        <v>3278</v>
      </c>
      <c r="Z491" s="236"/>
      <c r="AA491" s="200"/>
      <c r="AB491" s="130"/>
      <c r="AC491" s="202"/>
      <c r="AD491" s="200"/>
      <c r="AE491" s="113"/>
      <c r="AF491" s="113"/>
      <c r="AG491" s="113"/>
      <c r="AH491" s="113"/>
      <c r="AI491" s="130"/>
      <c r="AK491" s="57"/>
      <c r="AL491" s="290" t="s">
        <v>149</v>
      </c>
      <c r="AM491" s="290">
        <v>13305</v>
      </c>
      <c r="AN491" s="290"/>
      <c r="AO491" s="290">
        <v>62245</v>
      </c>
      <c r="AP491" s="290"/>
      <c r="AQ491" s="290"/>
      <c r="AR491" s="290"/>
      <c r="AS491" s="207" t="s">
        <v>132</v>
      </c>
      <c r="AT491" s="116" t="s">
        <v>1961</v>
      </c>
      <c r="AU491" s="67" t="s">
        <v>3276</v>
      </c>
      <c r="AV491" s="251"/>
      <c r="AW491" s="67" t="s">
        <v>1464</v>
      </c>
      <c r="AX491" s="113" t="s">
        <v>106</v>
      </c>
      <c r="AY491" s="222">
        <v>94550</v>
      </c>
      <c r="AZ491" s="199" t="s">
        <v>3279</v>
      </c>
      <c r="BA491" s="317"/>
    </row>
    <row r="492" spans="1:53" ht="14.15" customHeight="1" x14ac:dyDescent="0.4">
      <c r="A492" s="256" t="s">
        <v>3280</v>
      </c>
      <c r="B492" s="67" t="s">
        <v>98</v>
      </c>
      <c r="C492" s="224" t="s">
        <v>781</v>
      </c>
      <c r="D492" s="115"/>
      <c r="E492" s="120" t="s">
        <v>100</v>
      </c>
      <c r="F492" s="82"/>
      <c r="G492" s="84"/>
      <c r="H492" s="90" t="s">
        <v>100</v>
      </c>
      <c r="I492" s="91"/>
      <c r="J492" s="97"/>
      <c r="K492" s="102">
        <v>45932</v>
      </c>
      <c r="L492" s="327"/>
      <c r="M492" s="106"/>
      <c r="N492" s="113" t="s">
        <v>3281</v>
      </c>
      <c r="O492" s="113" t="s">
        <v>3282</v>
      </c>
      <c r="P492" s="57" t="s">
        <v>3283</v>
      </c>
      <c r="Q492" s="132">
        <v>9.7500000000000003E-2</v>
      </c>
      <c r="R492" s="132"/>
      <c r="S492" s="63" t="s">
        <v>2934</v>
      </c>
      <c r="T492" s="67" t="s">
        <v>3284</v>
      </c>
      <c r="U492" s="67" t="s">
        <v>2934</v>
      </c>
      <c r="V492" s="113" t="s">
        <v>106</v>
      </c>
      <c r="W492" s="222">
        <v>94509</v>
      </c>
      <c r="X492" s="141" t="s">
        <v>3277</v>
      </c>
      <c r="Y492" s="236" t="s">
        <v>3278</v>
      </c>
      <c r="Z492" s="141" t="s">
        <v>3277</v>
      </c>
      <c r="AA492" s="200"/>
      <c r="AB492" s="130"/>
      <c r="AC492" s="202"/>
      <c r="AD492" s="200"/>
      <c r="AE492" s="113"/>
      <c r="AF492" s="113"/>
      <c r="AG492" s="113"/>
      <c r="AH492" s="113"/>
      <c r="AI492" s="130"/>
      <c r="AK492" s="57"/>
      <c r="AL492" s="287">
        <v>54230</v>
      </c>
      <c r="AM492" s="288">
        <v>13305</v>
      </c>
      <c r="AS492" s="207"/>
      <c r="AU492" s="67" t="s">
        <v>3284</v>
      </c>
      <c r="AV492" s="251"/>
      <c r="AW492" s="67" t="s">
        <v>2934</v>
      </c>
      <c r="AX492" s="113" t="s">
        <v>106</v>
      </c>
      <c r="AY492" s="222">
        <v>94509</v>
      </c>
      <c r="AZ492" s="199" t="s">
        <v>3282</v>
      </c>
      <c r="BA492" s="317"/>
    </row>
    <row r="493" spans="1:53" ht="14.15" customHeight="1" x14ac:dyDescent="0.25">
      <c r="A493" s="256" t="s">
        <v>3285</v>
      </c>
      <c r="B493" s="67" t="s">
        <v>98</v>
      </c>
      <c r="C493" s="68" t="s">
        <v>563</v>
      </c>
      <c r="E493" s="118" t="s">
        <v>100</v>
      </c>
      <c r="F493" s="80"/>
      <c r="G493" s="81"/>
      <c r="H493" s="92" t="s">
        <v>100</v>
      </c>
      <c r="I493" s="86"/>
      <c r="J493" s="96"/>
      <c r="K493" s="100">
        <v>45978</v>
      </c>
      <c r="L493" s="328"/>
      <c r="M493" s="104"/>
      <c r="N493" s="128" t="s">
        <v>1602</v>
      </c>
      <c r="O493" s="128" t="s">
        <v>3286</v>
      </c>
      <c r="Q493" s="132">
        <v>0.1</v>
      </c>
      <c r="R493" s="132">
        <v>8.2500000000000004E-2</v>
      </c>
      <c r="S493" s="63" t="s">
        <v>186</v>
      </c>
      <c r="T493" s="67" t="s">
        <v>3287</v>
      </c>
      <c r="U493" s="67" t="s">
        <v>188</v>
      </c>
      <c r="V493" s="79" t="s">
        <v>106</v>
      </c>
      <c r="W493" s="76">
        <v>95405</v>
      </c>
      <c r="X493" s="141" t="s">
        <v>3288</v>
      </c>
      <c r="Y493" s="139" t="s">
        <v>3288</v>
      </c>
      <c r="Z493" s="226" t="s">
        <v>3288</v>
      </c>
      <c r="AA493" s="79" t="s">
        <v>3289</v>
      </c>
      <c r="AL493" s="290" t="s">
        <v>289</v>
      </c>
      <c r="AM493" s="290">
        <v>13305</v>
      </c>
      <c r="AN493" s="290" t="s">
        <v>290</v>
      </c>
      <c r="AO493" s="290">
        <v>62245</v>
      </c>
      <c r="AP493" s="290"/>
      <c r="AQ493" s="290"/>
      <c r="AR493" s="290"/>
      <c r="AS493" s="207" t="s">
        <v>132</v>
      </c>
      <c r="AT493" s="116" t="s">
        <v>1961</v>
      </c>
      <c r="AU493" s="67" t="s">
        <v>3287</v>
      </c>
      <c r="AW493" s="67" t="s">
        <v>188</v>
      </c>
      <c r="AX493" s="79" t="s">
        <v>106</v>
      </c>
      <c r="AY493" s="76">
        <v>95405</v>
      </c>
      <c r="AZ493" s="77" t="s">
        <v>3286</v>
      </c>
      <c r="BA493" s="317"/>
    </row>
    <row r="494" spans="1:53" ht="14.15" customHeight="1" x14ac:dyDescent="0.4">
      <c r="A494" s="256" t="s">
        <v>3290</v>
      </c>
      <c r="B494" s="67" t="s">
        <v>269</v>
      </c>
      <c r="C494" s="224" t="s">
        <v>109</v>
      </c>
      <c r="D494" s="115"/>
      <c r="E494" s="120" t="s">
        <v>100</v>
      </c>
      <c r="F494" s="82"/>
      <c r="G494" s="84"/>
      <c r="H494" s="90" t="s">
        <v>100</v>
      </c>
      <c r="I494" s="91"/>
      <c r="J494" s="97"/>
      <c r="K494" s="102">
        <v>44782</v>
      </c>
      <c r="L494" s="327"/>
      <c r="M494" s="106">
        <v>44782</v>
      </c>
      <c r="N494" s="113" t="s">
        <v>2207</v>
      </c>
      <c r="O494" s="113" t="s">
        <v>3291</v>
      </c>
      <c r="P494" s="57"/>
      <c r="Q494" s="132">
        <v>7.7499999999999999E-2</v>
      </c>
      <c r="R494" s="132"/>
      <c r="S494" s="63" t="s">
        <v>439</v>
      </c>
      <c r="T494" s="67" t="s">
        <v>3292</v>
      </c>
      <c r="U494" s="67" t="s">
        <v>3293</v>
      </c>
      <c r="V494" s="113" t="s">
        <v>106</v>
      </c>
      <c r="W494" s="222">
        <v>92509</v>
      </c>
      <c r="X494" s="141"/>
      <c r="Z494" s="236"/>
      <c r="AA494" s="200"/>
      <c r="AB494" s="130"/>
      <c r="AC494" s="202"/>
      <c r="AD494" s="200"/>
      <c r="AE494" s="113"/>
      <c r="AF494" s="113"/>
      <c r="AG494" s="113"/>
      <c r="AH494" s="113"/>
      <c r="AI494" s="130"/>
      <c r="AK494" s="57"/>
      <c r="AL494" s="287">
        <v>54230</v>
      </c>
      <c r="AS494" s="207"/>
      <c r="AT494" s="116" t="s">
        <v>116</v>
      </c>
      <c r="AU494" s="67" t="s">
        <v>3292</v>
      </c>
      <c r="AV494" s="251"/>
      <c r="AW494" s="67" t="s">
        <v>3293</v>
      </c>
      <c r="AX494" s="113" t="s">
        <v>106</v>
      </c>
      <c r="AY494" s="222">
        <v>92509</v>
      </c>
      <c r="AZ494" s="199" t="s">
        <v>3291</v>
      </c>
      <c r="BA494" s="317"/>
    </row>
    <row r="495" spans="1:53" ht="14.15" customHeight="1" x14ac:dyDescent="0.4">
      <c r="A495" s="256" t="s">
        <v>3294</v>
      </c>
      <c r="B495" s="67" t="s">
        <v>98</v>
      </c>
      <c r="C495" s="224" t="s">
        <v>99</v>
      </c>
      <c r="D495" s="115"/>
      <c r="E495" s="120" t="s">
        <v>100</v>
      </c>
      <c r="F495" s="82"/>
      <c r="G495" s="84"/>
      <c r="H495" s="90" t="s">
        <v>100</v>
      </c>
      <c r="I495" s="91"/>
      <c r="J495" s="97"/>
      <c r="K495" s="102">
        <v>44603</v>
      </c>
      <c r="L495" s="327"/>
      <c r="M495" s="106"/>
      <c r="N495" s="113"/>
      <c r="O495" s="113"/>
      <c r="P495" s="57"/>
      <c r="Q495" s="132">
        <v>9.2499999999999999E-2</v>
      </c>
      <c r="R495" s="132"/>
      <c r="S495" s="63" t="s">
        <v>3295</v>
      </c>
      <c r="T495" s="67" t="s">
        <v>3296</v>
      </c>
      <c r="U495" s="67" t="s">
        <v>3297</v>
      </c>
      <c r="V495" s="113" t="s">
        <v>106</v>
      </c>
      <c r="W495" s="222">
        <v>93933</v>
      </c>
      <c r="X495" s="139" t="s">
        <v>3298</v>
      </c>
      <c r="Y495" s="139" t="s">
        <v>3298</v>
      </c>
      <c r="Z495" s="139" t="s">
        <v>3298</v>
      </c>
      <c r="AA495" s="200"/>
      <c r="AB495" s="130"/>
      <c r="AC495" s="202"/>
      <c r="AD495" s="200"/>
      <c r="AE495" s="113"/>
      <c r="AF495" s="113"/>
      <c r="AG495" s="113"/>
      <c r="AH495" s="113"/>
      <c r="AI495" s="130"/>
      <c r="AK495" s="57"/>
      <c r="AS495" s="207"/>
      <c r="AU495" s="67" t="s">
        <v>3296</v>
      </c>
      <c r="AV495" s="251"/>
      <c r="AW495" s="67" t="s">
        <v>3297</v>
      </c>
      <c r="AX495" s="113" t="s">
        <v>106</v>
      </c>
      <c r="AY495" s="222">
        <v>93933</v>
      </c>
      <c r="AZ495" s="199"/>
      <c r="BA495" s="317"/>
    </row>
    <row r="496" spans="1:53" ht="14.15" customHeight="1" x14ac:dyDescent="0.4">
      <c r="A496" s="256" t="s">
        <v>3299</v>
      </c>
      <c r="B496" s="67" t="s">
        <v>1295</v>
      </c>
      <c r="C496" s="224" t="s">
        <v>435</v>
      </c>
      <c r="D496" s="115"/>
      <c r="E496" s="120" t="s">
        <v>100</v>
      </c>
      <c r="F496" s="82"/>
      <c r="G496" s="84"/>
      <c r="H496" s="90" t="s">
        <v>100</v>
      </c>
      <c r="I496" s="91"/>
      <c r="J496" s="97"/>
      <c r="K496" s="102">
        <v>44552</v>
      </c>
      <c r="L496" s="327"/>
      <c r="M496" s="106">
        <v>44915</v>
      </c>
      <c r="N496" s="113" t="s">
        <v>3300</v>
      </c>
      <c r="O496" s="113" t="s">
        <v>3301</v>
      </c>
      <c r="P496" s="57"/>
      <c r="Q496" s="132">
        <v>9.375E-2</v>
      </c>
      <c r="R496" s="132">
        <v>0.09</v>
      </c>
      <c r="S496" s="63" t="s">
        <v>146</v>
      </c>
      <c r="T496" s="67" t="s">
        <v>3302</v>
      </c>
      <c r="U496" s="67" t="s">
        <v>148</v>
      </c>
      <c r="V496" s="113" t="s">
        <v>106</v>
      </c>
      <c r="W496" s="222">
        <v>95113</v>
      </c>
      <c r="X496" s="141" t="s">
        <v>3303</v>
      </c>
      <c r="Y496" s="139" t="s">
        <v>3304</v>
      </c>
      <c r="Z496" s="143"/>
      <c r="AA496" s="200" t="s">
        <v>3305</v>
      </c>
      <c r="AB496" s="130" t="s">
        <v>3306</v>
      </c>
      <c r="AC496" s="202" t="s">
        <v>3307</v>
      </c>
      <c r="AD496" s="200" t="s">
        <v>3308</v>
      </c>
      <c r="AE496" s="113" t="s">
        <v>3309</v>
      </c>
      <c r="AF496" s="113"/>
      <c r="AG496" s="113" t="s">
        <v>3310</v>
      </c>
      <c r="AH496" s="130" t="s">
        <v>3311</v>
      </c>
      <c r="AI496" s="130" t="s">
        <v>3312</v>
      </c>
      <c r="AK496" s="57"/>
      <c r="AL496" s="290" t="s">
        <v>289</v>
      </c>
      <c r="AM496" s="290">
        <v>13305</v>
      </c>
      <c r="AN496" s="290"/>
      <c r="AO496" s="290">
        <v>62245</v>
      </c>
      <c r="AP496" s="290"/>
      <c r="AQ496" s="290"/>
      <c r="AR496" s="290"/>
      <c r="AS496" s="207" t="s">
        <v>132</v>
      </c>
      <c r="AT496" s="116" t="s">
        <v>1961</v>
      </c>
      <c r="AU496" s="67" t="str">
        <f>PROPER(AV496)</f>
        <v xml:space="preserve">211 South First St </v>
      </c>
      <c r="AV496" s="251" t="s">
        <v>3313</v>
      </c>
      <c r="AW496" s="67" t="s">
        <v>148</v>
      </c>
      <c r="AX496" s="113" t="s">
        <v>106</v>
      </c>
      <c r="AY496" s="222">
        <v>95113</v>
      </c>
      <c r="AZ496" s="199" t="s">
        <v>3301</v>
      </c>
      <c r="BA496" s="317"/>
    </row>
    <row r="497" spans="1:53" ht="14.15" customHeight="1" x14ac:dyDescent="0.25">
      <c r="A497" s="256" t="s">
        <v>3314</v>
      </c>
      <c r="B497" s="67" t="s">
        <v>98</v>
      </c>
      <c r="C497" s="68" t="s">
        <v>99</v>
      </c>
      <c r="E497" s="118" t="s">
        <v>100</v>
      </c>
      <c r="F497" s="80"/>
      <c r="G497" s="81"/>
      <c r="H497" s="87" t="s">
        <v>100</v>
      </c>
      <c r="I497" s="86"/>
      <c r="J497" s="96"/>
      <c r="K497" s="100">
        <v>45985</v>
      </c>
      <c r="L497" s="328"/>
      <c r="M497" s="104"/>
      <c r="N497" s="128" t="s">
        <v>3315</v>
      </c>
      <c r="O497" s="128" t="s">
        <v>3316</v>
      </c>
      <c r="P497" s="59" t="s">
        <v>3317</v>
      </c>
      <c r="Q497" s="132">
        <v>0.1075</v>
      </c>
      <c r="R497" s="132">
        <v>9.5000000000000001E-2</v>
      </c>
      <c r="S497" s="63" t="s">
        <v>463</v>
      </c>
      <c r="T497" s="67" t="s">
        <v>3318</v>
      </c>
      <c r="U497" s="67" t="s">
        <v>463</v>
      </c>
      <c r="V497" s="79" t="s">
        <v>106</v>
      </c>
      <c r="W497" s="76">
        <v>94560</v>
      </c>
      <c r="X497" s="141" t="s">
        <v>3319</v>
      </c>
      <c r="Y497" s="141" t="s">
        <v>3319</v>
      </c>
      <c r="AI497" s="135" t="s">
        <v>0</v>
      </c>
      <c r="AJ497" s="135" t="s">
        <v>116</v>
      </c>
      <c r="AL497" s="290" t="s">
        <v>149</v>
      </c>
      <c r="AM497" s="290">
        <v>13305</v>
      </c>
      <c r="AN497" s="290"/>
      <c r="AO497" s="290">
        <v>62245</v>
      </c>
      <c r="AP497" s="290"/>
      <c r="AQ497" s="290"/>
      <c r="AR497" s="290"/>
      <c r="AS497" s="207" t="s">
        <v>132</v>
      </c>
      <c r="AT497" s="116" t="s">
        <v>1961</v>
      </c>
      <c r="AU497" s="67" t="s">
        <v>3318</v>
      </c>
      <c r="AW497" s="67" t="s">
        <v>463</v>
      </c>
      <c r="AX497" s="79" t="s">
        <v>106</v>
      </c>
      <c r="AY497" s="76">
        <v>94560</v>
      </c>
      <c r="AZ497" s="77" t="s">
        <v>3316</v>
      </c>
      <c r="BA497" s="317"/>
    </row>
    <row r="498" spans="1:53" ht="12.75" customHeight="1" x14ac:dyDescent="0.4">
      <c r="A498" s="256" t="s">
        <v>3320</v>
      </c>
      <c r="B498" s="67" t="s">
        <v>98</v>
      </c>
      <c r="C498" s="224" t="s">
        <v>99</v>
      </c>
      <c r="D498" s="115"/>
      <c r="E498" s="120" t="s">
        <v>100</v>
      </c>
      <c r="F498" s="82"/>
      <c r="G498" s="84"/>
      <c r="H498" s="90" t="s">
        <v>100</v>
      </c>
      <c r="I498" s="91"/>
      <c r="J498" s="97"/>
      <c r="K498" s="102">
        <v>45887</v>
      </c>
      <c r="L498" s="327"/>
      <c r="M498" s="106"/>
      <c r="N498" s="113" t="s">
        <v>3315</v>
      </c>
      <c r="O498" s="113" t="s">
        <v>3321</v>
      </c>
      <c r="P498" s="59" t="s">
        <v>3317</v>
      </c>
      <c r="Q498" s="132">
        <v>9.1249999999999998E-2</v>
      </c>
      <c r="R498" s="132"/>
      <c r="S498" s="63" t="s">
        <v>177</v>
      </c>
      <c r="T498" s="67" t="s">
        <v>3322</v>
      </c>
      <c r="U498" s="67" t="s">
        <v>2595</v>
      </c>
      <c r="V498" s="113" t="s">
        <v>106</v>
      </c>
      <c r="W498" s="222">
        <v>95050</v>
      </c>
      <c r="X498" s="141" t="s">
        <v>3319</v>
      </c>
      <c r="Y498" s="141" t="s">
        <v>3319</v>
      </c>
      <c r="Z498" s="236"/>
      <c r="AA498" s="200"/>
      <c r="AB498" s="130"/>
      <c r="AC498" s="202"/>
      <c r="AD498" s="200"/>
      <c r="AE498" s="113"/>
      <c r="AF498" s="113"/>
      <c r="AG498" s="113"/>
      <c r="AH498" s="113"/>
      <c r="AI498" s="130"/>
      <c r="AK498" s="57"/>
      <c r="AL498" s="287" t="s">
        <v>149</v>
      </c>
      <c r="AM498" s="288">
        <v>13305</v>
      </c>
      <c r="AO498" s="288">
        <v>62245</v>
      </c>
      <c r="AS498" s="207" t="s">
        <v>132</v>
      </c>
      <c r="AT498" s="116" t="s">
        <v>1961</v>
      </c>
      <c r="AU498" s="67" t="s">
        <v>3322</v>
      </c>
      <c r="AV498" s="251"/>
      <c r="AW498" s="67" t="s">
        <v>2595</v>
      </c>
      <c r="AX498" s="113" t="s">
        <v>106</v>
      </c>
      <c r="AY498" s="222">
        <v>95050</v>
      </c>
      <c r="AZ498" s="199" t="s">
        <v>3321</v>
      </c>
      <c r="BA498" s="317"/>
    </row>
    <row r="499" spans="1:53" ht="14.15" customHeight="1" x14ac:dyDescent="0.4">
      <c r="A499" s="256" t="s">
        <v>3323</v>
      </c>
      <c r="B499" s="67" t="s">
        <v>98</v>
      </c>
      <c r="C499" s="224" t="s">
        <v>99</v>
      </c>
      <c r="D499" s="115"/>
      <c r="E499" s="120" t="s">
        <v>100</v>
      </c>
      <c r="F499" s="82"/>
      <c r="G499" s="84"/>
      <c r="H499" s="90" t="s">
        <v>100</v>
      </c>
      <c r="I499" s="91"/>
      <c r="J499" s="97"/>
      <c r="K499" s="102">
        <v>45992</v>
      </c>
      <c r="L499" s="327"/>
      <c r="M499" s="106"/>
      <c r="N499" s="113" t="s">
        <v>3324</v>
      </c>
      <c r="O499" s="113" t="s">
        <v>3325</v>
      </c>
      <c r="P499" s="57"/>
      <c r="Q499" s="132">
        <v>9.2499999999999999E-2</v>
      </c>
      <c r="R499" s="132"/>
      <c r="S499" s="63" t="s">
        <v>303</v>
      </c>
      <c r="T499" s="67" t="s">
        <v>3071</v>
      </c>
      <c r="U499" s="67" t="s">
        <v>1533</v>
      </c>
      <c r="V499" s="113" t="s">
        <v>106</v>
      </c>
      <c r="W499" s="222">
        <v>94589</v>
      </c>
      <c r="X499" s="141"/>
      <c r="Z499" s="236"/>
      <c r="AA499" s="200"/>
      <c r="AB499" s="130"/>
      <c r="AC499" s="202"/>
      <c r="AD499" s="200"/>
      <c r="AE499" s="113"/>
      <c r="AF499" s="113"/>
      <c r="AG499" s="113"/>
      <c r="AH499" s="113"/>
      <c r="AI499" s="130"/>
      <c r="AK499" s="57"/>
      <c r="AL499" s="287" t="s">
        <v>149</v>
      </c>
      <c r="AM499" s="288" t="s">
        <v>545</v>
      </c>
      <c r="AO499" s="288">
        <v>62245</v>
      </c>
      <c r="AS499" s="207" t="s">
        <v>132</v>
      </c>
      <c r="AT499" s="116" t="s">
        <v>1961</v>
      </c>
      <c r="AU499" s="67" t="s">
        <v>3071</v>
      </c>
      <c r="AV499" s="251"/>
      <c r="AW499" s="67" t="s">
        <v>1533</v>
      </c>
      <c r="AX499" s="113" t="s">
        <v>106</v>
      </c>
      <c r="AY499" s="222">
        <v>94589</v>
      </c>
      <c r="AZ499" s="199" t="s">
        <v>3325</v>
      </c>
      <c r="BA499" s="317"/>
    </row>
    <row r="500" spans="1:53" ht="14.15" customHeight="1" x14ac:dyDescent="0.4">
      <c r="A500" s="256" t="s">
        <v>3326</v>
      </c>
      <c r="B500" s="67" t="s">
        <v>98</v>
      </c>
      <c r="C500" s="224" t="s">
        <v>99</v>
      </c>
      <c r="D500" s="115"/>
      <c r="E500" s="120" t="s">
        <v>100</v>
      </c>
      <c r="F500" s="82"/>
      <c r="G500" s="84"/>
      <c r="H500" s="90" t="s">
        <v>100</v>
      </c>
      <c r="I500" s="91"/>
      <c r="J500" s="97"/>
      <c r="K500" s="102">
        <v>44984</v>
      </c>
      <c r="L500" s="327"/>
      <c r="M500" s="106"/>
      <c r="N500" s="113" t="s">
        <v>3327</v>
      </c>
      <c r="O500" s="113" t="s">
        <v>3328</v>
      </c>
      <c r="P500" s="57"/>
      <c r="Q500" s="132">
        <v>7.7499999999999999E-2</v>
      </c>
      <c r="R500" s="132"/>
      <c r="S500" s="63" t="s">
        <v>3329</v>
      </c>
      <c r="T500" s="67" t="s">
        <v>3330</v>
      </c>
      <c r="U500" s="67" t="s">
        <v>3331</v>
      </c>
      <c r="V500" s="113" t="s">
        <v>106</v>
      </c>
      <c r="W500" s="222">
        <v>94503</v>
      </c>
      <c r="X500" s="141"/>
      <c r="Z500" s="236"/>
      <c r="AA500" s="200"/>
      <c r="AB500" s="130"/>
      <c r="AC500" s="202"/>
      <c r="AD500" s="200"/>
      <c r="AE500" s="113"/>
      <c r="AF500" s="113"/>
      <c r="AG500" s="113"/>
      <c r="AH500" s="113"/>
      <c r="AI500" s="130"/>
      <c r="AK500" s="57"/>
      <c r="AL500" s="287" t="s">
        <v>251</v>
      </c>
      <c r="AM500" s="288">
        <v>13305</v>
      </c>
      <c r="AS500" s="207"/>
      <c r="AT500" s="116" t="s">
        <v>539</v>
      </c>
      <c r="AU500" s="67" t="s">
        <v>3330</v>
      </c>
      <c r="AV500" s="251"/>
      <c r="AW500" s="67" t="s">
        <v>3331</v>
      </c>
      <c r="AX500" s="113" t="s">
        <v>106</v>
      </c>
      <c r="AY500" s="222">
        <v>94503</v>
      </c>
      <c r="AZ500" s="199" t="s">
        <v>3328</v>
      </c>
      <c r="BA500" s="317"/>
    </row>
    <row r="501" spans="1:53" ht="14.15" customHeight="1" x14ac:dyDescent="0.4">
      <c r="A501" s="256" t="s">
        <v>3332</v>
      </c>
      <c r="B501" s="67" t="s">
        <v>98</v>
      </c>
      <c r="C501" s="224" t="s">
        <v>99</v>
      </c>
      <c r="D501" s="115"/>
      <c r="E501" s="120" t="s">
        <v>100</v>
      </c>
      <c r="F501" s="82"/>
      <c r="G501" s="84"/>
      <c r="H501" s="90" t="s">
        <v>100</v>
      </c>
      <c r="I501" s="91"/>
      <c r="J501" s="97"/>
      <c r="K501" s="102">
        <v>45583</v>
      </c>
      <c r="L501" s="327"/>
      <c r="M501" s="106"/>
      <c r="N501" s="113" t="s">
        <v>3315</v>
      </c>
      <c r="O501" s="113" t="s">
        <v>3333</v>
      </c>
      <c r="P501" s="57"/>
      <c r="Q501" s="132">
        <v>9.375E-2</v>
      </c>
      <c r="R501" s="132"/>
      <c r="S501" s="63" t="s">
        <v>1685</v>
      </c>
      <c r="T501" s="67" t="s">
        <v>3334</v>
      </c>
      <c r="U501" s="67" t="s">
        <v>3335</v>
      </c>
      <c r="V501" s="113" t="s">
        <v>106</v>
      </c>
      <c r="W501" s="222">
        <v>94070</v>
      </c>
      <c r="X501" s="141"/>
      <c r="Z501" s="236"/>
      <c r="AA501" s="200"/>
      <c r="AB501" s="130"/>
      <c r="AC501" s="202"/>
      <c r="AD501" s="200"/>
      <c r="AE501" s="113"/>
      <c r="AF501" s="113"/>
      <c r="AG501" s="113"/>
      <c r="AH501" s="113"/>
      <c r="AI501" s="130"/>
      <c r="AK501" s="57"/>
      <c r="AL501" s="287" t="s">
        <v>251</v>
      </c>
      <c r="AM501" s="288">
        <v>13305</v>
      </c>
      <c r="AS501" s="207"/>
      <c r="AT501" s="116" t="s">
        <v>539</v>
      </c>
      <c r="AU501" s="67" t="s">
        <v>3334</v>
      </c>
      <c r="AV501" s="251"/>
      <c r="AW501" s="67" t="s">
        <v>3335</v>
      </c>
      <c r="AX501" s="113" t="s">
        <v>106</v>
      </c>
      <c r="AY501" s="222">
        <v>94070</v>
      </c>
      <c r="AZ501" s="199" t="s">
        <v>3333</v>
      </c>
      <c r="BA501" s="317"/>
    </row>
    <row r="502" spans="1:53" ht="14.15" customHeight="1" x14ac:dyDescent="0.4">
      <c r="A502" s="256" t="s">
        <v>3336</v>
      </c>
      <c r="B502" s="67" t="s">
        <v>98</v>
      </c>
      <c r="C502" s="224" t="s">
        <v>99</v>
      </c>
      <c r="D502" s="115"/>
      <c r="E502" s="120" t="s">
        <v>100</v>
      </c>
      <c r="F502" s="82"/>
      <c r="G502" s="362"/>
      <c r="H502" s="90" t="s">
        <v>100</v>
      </c>
      <c r="I502" s="91"/>
      <c r="J502" s="97"/>
      <c r="K502" s="102">
        <v>45958</v>
      </c>
      <c r="L502" s="327"/>
      <c r="M502" s="106"/>
      <c r="N502" s="113" t="s">
        <v>3327</v>
      </c>
      <c r="O502" s="113" t="s">
        <v>3337</v>
      </c>
      <c r="P502" s="57"/>
      <c r="Q502" s="132">
        <v>9.2499999999999999E-2</v>
      </c>
      <c r="R502" s="132"/>
      <c r="S502" s="63" t="s">
        <v>303</v>
      </c>
      <c r="T502" s="67" t="s">
        <v>3338</v>
      </c>
      <c r="U502" s="67" t="s">
        <v>1533</v>
      </c>
      <c r="V502" s="113" t="s">
        <v>106</v>
      </c>
      <c r="W502" s="222">
        <v>94591</v>
      </c>
      <c r="X502" s="141"/>
      <c r="Y502" s="236" t="s">
        <v>6347</v>
      </c>
      <c r="Z502" s="236"/>
      <c r="AA502" s="200"/>
      <c r="AB502" s="130"/>
      <c r="AC502" s="202"/>
      <c r="AD502" s="200"/>
      <c r="AE502" s="113"/>
      <c r="AF502" s="113"/>
      <c r="AG502" s="113"/>
      <c r="AH502" s="113"/>
      <c r="AI502" s="130"/>
      <c r="AK502" s="57"/>
      <c r="AL502" s="287" t="s">
        <v>251</v>
      </c>
      <c r="AM502" s="288" t="s">
        <v>545</v>
      </c>
      <c r="AO502" s="288">
        <v>62245</v>
      </c>
      <c r="AS502" s="207"/>
      <c r="AT502" s="116" t="s">
        <v>399</v>
      </c>
      <c r="AU502" s="67" t="s">
        <v>3339</v>
      </c>
      <c r="AV502" s="251"/>
      <c r="AW502" s="67" t="s">
        <v>1533</v>
      </c>
      <c r="AX502" s="113" t="s">
        <v>106</v>
      </c>
      <c r="AY502" s="222">
        <v>94591</v>
      </c>
      <c r="AZ502" s="199" t="s">
        <v>3337</v>
      </c>
      <c r="BA502" s="317"/>
    </row>
    <row r="503" spans="1:53" s="251" customFormat="1" ht="14.15" customHeight="1" x14ac:dyDescent="0.25">
      <c r="A503" s="256" t="s">
        <v>3340</v>
      </c>
      <c r="B503" s="67" t="s">
        <v>269</v>
      </c>
      <c r="C503" s="68" t="s">
        <v>254</v>
      </c>
      <c r="D503" s="79" t="s">
        <v>2812</v>
      </c>
      <c r="E503" s="118" t="s">
        <v>100</v>
      </c>
      <c r="F503" s="80"/>
      <c r="G503" s="81"/>
      <c r="H503" s="87" t="s">
        <v>100</v>
      </c>
      <c r="I503" s="86"/>
      <c r="J503" s="96"/>
      <c r="K503" s="100">
        <v>45719</v>
      </c>
      <c r="L503" s="328"/>
      <c r="M503" s="104">
        <v>45530</v>
      </c>
      <c r="N503" s="128" t="s">
        <v>3341</v>
      </c>
      <c r="O503" s="128" t="s">
        <v>3342</v>
      </c>
      <c r="P503" s="59"/>
      <c r="Q503" s="132">
        <v>9.2499999999999999E-2</v>
      </c>
      <c r="R503" s="132">
        <v>0.09</v>
      </c>
      <c r="S503" s="63" t="s">
        <v>420</v>
      </c>
      <c r="T503" s="67" t="s">
        <v>3343</v>
      </c>
      <c r="U503" s="67" t="s">
        <v>420</v>
      </c>
      <c r="V503" s="79" t="s">
        <v>106</v>
      </c>
      <c r="W503" s="76">
        <v>94945</v>
      </c>
      <c r="X503" s="141" t="s">
        <v>3344</v>
      </c>
      <c r="Y503" s="236"/>
      <c r="Z503" s="234"/>
      <c r="AA503" s="79" t="s">
        <v>1980</v>
      </c>
      <c r="AB503" s="135" t="s">
        <v>3345</v>
      </c>
      <c r="AC503" s="136"/>
      <c r="AD503" s="79"/>
      <c r="AE503" s="128"/>
      <c r="AF503" s="128"/>
      <c r="AG503" s="128"/>
      <c r="AH503" s="128"/>
      <c r="AI503" s="135" t="s">
        <v>3346</v>
      </c>
      <c r="AJ503" s="135" t="s">
        <v>116</v>
      </c>
      <c r="AK503" s="58"/>
      <c r="AL503" s="290" t="s">
        <v>251</v>
      </c>
      <c r="AM503" s="290"/>
      <c r="AN503" s="290" t="s">
        <v>290</v>
      </c>
      <c r="AO503" s="290">
        <v>62245</v>
      </c>
      <c r="AP503" s="290"/>
      <c r="AQ503" s="290"/>
      <c r="AR503" s="290"/>
      <c r="AS503" s="207" t="s">
        <v>132</v>
      </c>
      <c r="AT503" s="116" t="s">
        <v>670</v>
      </c>
      <c r="AU503" s="67" t="str">
        <f>PROPER(AV503)</f>
        <v>15 Rowland Way</v>
      </c>
      <c r="AV503" s="66" t="s">
        <v>3347</v>
      </c>
      <c r="AW503" s="67" t="s">
        <v>420</v>
      </c>
      <c r="AX503" s="79" t="s">
        <v>106</v>
      </c>
      <c r="AY503" s="76">
        <v>94945</v>
      </c>
      <c r="AZ503" s="77" t="s">
        <v>3342</v>
      </c>
      <c r="BA503" s="317"/>
    </row>
    <row r="504" spans="1:53" s="251" customFormat="1" ht="14.15" customHeight="1" x14ac:dyDescent="0.4">
      <c r="A504" s="256" t="s">
        <v>3348</v>
      </c>
      <c r="B504" s="67" t="s">
        <v>98</v>
      </c>
      <c r="C504" s="224" t="s">
        <v>99</v>
      </c>
      <c r="D504" s="115"/>
      <c r="E504" s="120" t="s">
        <v>100</v>
      </c>
      <c r="F504" s="82"/>
      <c r="G504" s="84"/>
      <c r="H504" s="90" t="s">
        <v>100</v>
      </c>
      <c r="I504" s="91"/>
      <c r="J504" s="97"/>
      <c r="K504" s="102">
        <v>44672</v>
      </c>
      <c r="L504" s="327"/>
      <c r="M504" s="106"/>
      <c r="N504" s="113" t="s">
        <v>3349</v>
      </c>
      <c r="O504" s="113" t="s">
        <v>3350</v>
      </c>
      <c r="P504" s="57"/>
      <c r="Q504" s="132">
        <v>9.375E-2</v>
      </c>
      <c r="R504" s="132"/>
      <c r="S504" s="63" t="s">
        <v>146</v>
      </c>
      <c r="T504" s="67" t="s">
        <v>3351</v>
      </c>
      <c r="U504" s="67" t="s">
        <v>148</v>
      </c>
      <c r="V504" s="113" t="s">
        <v>106</v>
      </c>
      <c r="W504" s="222">
        <v>95126</v>
      </c>
      <c r="X504" s="229"/>
      <c r="Y504" s="319"/>
      <c r="Z504" s="319"/>
      <c r="AA504" s="200"/>
      <c r="AB504" s="130"/>
      <c r="AC504" s="202"/>
      <c r="AD504" s="200"/>
      <c r="AE504" s="113"/>
      <c r="AF504" s="113"/>
      <c r="AG504" s="113"/>
      <c r="AH504" s="113"/>
      <c r="AI504" s="130"/>
      <c r="AJ504" s="135"/>
      <c r="AK504" s="57"/>
      <c r="AL504" s="287" t="s">
        <v>251</v>
      </c>
      <c r="AM504" s="288"/>
      <c r="AN504" s="288"/>
      <c r="AO504" s="288"/>
      <c r="AP504" s="288"/>
      <c r="AQ504" s="288"/>
      <c r="AR504" s="288"/>
      <c r="AS504" s="207"/>
      <c r="AT504" s="116"/>
      <c r="AU504" s="67" t="s">
        <v>3351</v>
      </c>
      <c r="AW504" s="67" t="s">
        <v>148</v>
      </c>
      <c r="AX504" s="113" t="s">
        <v>106</v>
      </c>
      <c r="AY504" s="222">
        <v>95126</v>
      </c>
      <c r="AZ504" s="199" t="s">
        <v>3350</v>
      </c>
      <c r="BA504" s="317"/>
    </row>
    <row r="505" spans="1:53" s="251" customFormat="1" ht="14.15" customHeight="1" x14ac:dyDescent="0.4">
      <c r="A505" s="256" t="s">
        <v>3352</v>
      </c>
      <c r="B505" s="67" t="s">
        <v>98</v>
      </c>
      <c r="C505" s="224" t="s">
        <v>99</v>
      </c>
      <c r="D505" s="113"/>
      <c r="E505" s="120" t="s">
        <v>100</v>
      </c>
      <c r="F505" s="82"/>
      <c r="G505" s="84"/>
      <c r="H505" s="90" t="s">
        <v>100</v>
      </c>
      <c r="I505" s="91"/>
      <c r="J505" s="97"/>
      <c r="K505" s="102">
        <v>45982</v>
      </c>
      <c r="L505" s="327"/>
      <c r="M505" s="106"/>
      <c r="N505" s="113" t="s">
        <v>2867</v>
      </c>
      <c r="O505" s="113" t="s">
        <v>3353</v>
      </c>
      <c r="P505" s="57"/>
      <c r="Q505" s="132">
        <v>9.2499999999999999E-2</v>
      </c>
      <c r="R505" s="132"/>
      <c r="S505" s="63" t="s">
        <v>226</v>
      </c>
      <c r="T505" s="67" t="s">
        <v>3354</v>
      </c>
      <c r="U505" s="67" t="s">
        <v>228</v>
      </c>
      <c r="V505" s="113" t="s">
        <v>106</v>
      </c>
      <c r="W505" s="222">
        <v>94903</v>
      </c>
      <c r="X505" s="141"/>
      <c r="Y505" s="141"/>
      <c r="Z505" s="141"/>
      <c r="AA505" s="200"/>
      <c r="AB505" s="130"/>
      <c r="AC505" s="202"/>
      <c r="AD505" s="200"/>
      <c r="AE505" s="113"/>
      <c r="AF505" s="113"/>
      <c r="AG505" s="113"/>
      <c r="AH505" s="113"/>
      <c r="AI505" s="130"/>
      <c r="AJ505" s="135"/>
      <c r="AK505" s="57"/>
      <c r="AL505" s="290"/>
      <c r="AM505" s="290"/>
      <c r="AN505" s="290" t="s">
        <v>325</v>
      </c>
      <c r="AO505" s="290"/>
      <c r="AP505" s="290"/>
      <c r="AQ505" s="290"/>
      <c r="AR505" s="290"/>
      <c r="AS505" s="207"/>
      <c r="AT505" s="116" t="s">
        <v>1498</v>
      </c>
      <c r="AU505" s="67" t="s">
        <v>3354</v>
      </c>
      <c r="AW505" s="67" t="s">
        <v>228</v>
      </c>
      <c r="AX505" s="113" t="s">
        <v>106</v>
      </c>
      <c r="AY505" s="222">
        <v>94903</v>
      </c>
      <c r="AZ505" s="199" t="s">
        <v>3353</v>
      </c>
      <c r="BA505" s="317"/>
    </row>
    <row r="506" spans="1:53" ht="14.15" customHeight="1" x14ac:dyDescent="0.4">
      <c r="A506" s="256" t="s">
        <v>3355</v>
      </c>
      <c r="B506" s="67" t="s">
        <v>1295</v>
      </c>
      <c r="C506" s="225" t="s">
        <v>435</v>
      </c>
      <c r="D506" s="112"/>
      <c r="E506" s="120" t="s">
        <v>100</v>
      </c>
      <c r="F506" s="82"/>
      <c r="G506" s="84"/>
      <c r="H506" s="88" t="s">
        <v>100</v>
      </c>
      <c r="I506" s="89" t="s">
        <v>0</v>
      </c>
      <c r="J506" s="98"/>
      <c r="K506" s="101"/>
      <c r="L506" s="329"/>
      <c r="M506" s="105">
        <v>44461</v>
      </c>
      <c r="N506" s="112" t="s">
        <v>3356</v>
      </c>
      <c r="O506" s="112" t="s">
        <v>3357</v>
      </c>
      <c r="P506" s="198" t="s">
        <v>3358</v>
      </c>
      <c r="Q506" s="132">
        <v>9.7500000000000003E-2</v>
      </c>
      <c r="R506" s="132">
        <v>0.09</v>
      </c>
      <c r="S506" s="63" t="s">
        <v>1397</v>
      </c>
      <c r="T506" s="198" t="s">
        <v>3359</v>
      </c>
      <c r="U506" s="198" t="s">
        <v>3360</v>
      </c>
      <c r="V506" s="112" t="s">
        <v>106</v>
      </c>
      <c r="W506" s="205">
        <v>91326</v>
      </c>
      <c r="X506" s="141" t="s">
        <v>3361</v>
      </c>
      <c r="Y506" s="205"/>
      <c r="Z506" s="205"/>
      <c r="AA506" s="203"/>
      <c r="AB506" s="205"/>
      <c r="AC506" s="206"/>
      <c r="AD506" s="203"/>
      <c r="AE506" s="205"/>
      <c r="AF506" s="205"/>
      <c r="AG506" s="205"/>
      <c r="AH506" s="205"/>
      <c r="AI506" s="205" t="s">
        <v>3362</v>
      </c>
      <c r="AJ506" s="135" t="s">
        <v>116</v>
      </c>
      <c r="AK506" s="318"/>
      <c r="AL506" s="290"/>
      <c r="AM506" s="290"/>
      <c r="AN506" s="290"/>
      <c r="AO506" s="290"/>
      <c r="AP506" s="290"/>
      <c r="AQ506" s="290"/>
      <c r="AR506" s="290"/>
      <c r="AS506" s="207" t="s">
        <v>132</v>
      </c>
      <c r="AT506" s="116" t="s">
        <v>1195</v>
      </c>
      <c r="AU506" s="198" t="s">
        <v>3359</v>
      </c>
      <c r="AV506" s="39"/>
      <c r="AW506" s="198" t="s">
        <v>3360</v>
      </c>
      <c r="AX506" s="112" t="s">
        <v>106</v>
      </c>
      <c r="AY506" s="205">
        <v>91326</v>
      </c>
      <c r="AZ506" s="198" t="s">
        <v>3357</v>
      </c>
      <c r="BA506" s="317"/>
    </row>
    <row r="507" spans="1:53" s="210" customFormat="1" ht="14.15" customHeight="1" x14ac:dyDescent="0.4">
      <c r="A507" s="256" t="s">
        <v>3363</v>
      </c>
      <c r="B507" s="67" t="s">
        <v>3364</v>
      </c>
      <c r="C507" s="224" t="s">
        <v>563</v>
      </c>
      <c r="D507" s="115"/>
      <c r="E507" s="120" t="s">
        <v>100</v>
      </c>
      <c r="F507" s="82"/>
      <c r="G507" s="84"/>
      <c r="H507" s="90" t="s">
        <v>100</v>
      </c>
      <c r="I507" s="91"/>
      <c r="J507" s="97"/>
      <c r="K507" s="102"/>
      <c r="L507" s="327"/>
      <c r="M507" s="106">
        <v>46003</v>
      </c>
      <c r="N507" s="113" t="s">
        <v>3365</v>
      </c>
      <c r="O507" s="113" t="s">
        <v>3366</v>
      </c>
      <c r="P507" s="57"/>
      <c r="Q507" s="132">
        <v>0</v>
      </c>
      <c r="R507" s="132"/>
      <c r="S507" s="63" t="s">
        <v>943</v>
      </c>
      <c r="T507" s="67" t="s">
        <v>3367</v>
      </c>
      <c r="U507" s="67" t="s">
        <v>945</v>
      </c>
      <c r="V507" s="113" t="s">
        <v>3368</v>
      </c>
      <c r="W507" s="222">
        <v>29607</v>
      </c>
      <c r="X507" s="141"/>
      <c r="Y507" s="236"/>
      <c r="Z507" s="236"/>
      <c r="AA507" s="200"/>
      <c r="AB507" s="130"/>
      <c r="AC507" s="202"/>
      <c r="AD507" s="200"/>
      <c r="AE507" s="113"/>
      <c r="AF507" s="113"/>
      <c r="AG507" s="113"/>
      <c r="AH507" s="113"/>
      <c r="AI507" s="130"/>
      <c r="AJ507" s="135"/>
      <c r="AK507" s="57"/>
      <c r="AL507" s="287"/>
      <c r="AM507" s="288"/>
      <c r="AN507" s="288"/>
      <c r="AO507" s="288"/>
      <c r="AP507" s="288"/>
      <c r="AQ507" s="288"/>
      <c r="AR507" s="288"/>
      <c r="AS507" s="207"/>
      <c r="AT507" s="116" t="s">
        <v>3369</v>
      </c>
      <c r="AU507" s="67" t="s">
        <v>3367</v>
      </c>
      <c r="AV507" s="251"/>
      <c r="AW507" s="67" t="s">
        <v>945</v>
      </c>
      <c r="AX507" s="113" t="s">
        <v>3368</v>
      </c>
      <c r="AY507" s="222">
        <v>29607</v>
      </c>
      <c r="AZ507" s="199" t="s">
        <v>3366</v>
      </c>
      <c r="BA507" s="317"/>
    </row>
    <row r="508" spans="1:53" s="210" customFormat="1" ht="14.15" customHeight="1" x14ac:dyDescent="0.4">
      <c r="A508" s="256" t="s">
        <v>3370</v>
      </c>
      <c r="B508" s="67" t="s">
        <v>98</v>
      </c>
      <c r="C508" s="224" t="s">
        <v>99</v>
      </c>
      <c r="D508" s="115"/>
      <c r="E508" s="120" t="s">
        <v>100</v>
      </c>
      <c r="F508" s="82"/>
      <c r="G508" s="84"/>
      <c r="H508" s="90" t="s">
        <v>100</v>
      </c>
      <c r="I508" s="91"/>
      <c r="J508" s="97"/>
      <c r="K508" s="102">
        <v>44603</v>
      </c>
      <c r="L508" s="327"/>
      <c r="M508" s="106"/>
      <c r="N508" s="113" t="s">
        <v>1351</v>
      </c>
      <c r="O508" s="113"/>
      <c r="P508" s="57"/>
      <c r="Q508" s="132">
        <v>8.2500000000000004E-2</v>
      </c>
      <c r="R508" s="132"/>
      <c r="S508" s="63" t="s">
        <v>2250</v>
      </c>
      <c r="T508" s="67" t="s">
        <v>3371</v>
      </c>
      <c r="U508" s="67" t="s">
        <v>452</v>
      </c>
      <c r="V508" s="113" t="s">
        <v>106</v>
      </c>
      <c r="W508" s="222">
        <v>95240</v>
      </c>
      <c r="X508" s="141" t="s">
        <v>3372</v>
      </c>
      <c r="Y508" s="141" t="s">
        <v>3372</v>
      </c>
      <c r="Z508" s="141" t="s">
        <v>3372</v>
      </c>
      <c r="AA508" s="200"/>
      <c r="AB508" s="130"/>
      <c r="AC508" s="202"/>
      <c r="AD508" s="200"/>
      <c r="AE508" s="113"/>
      <c r="AF508" s="113"/>
      <c r="AG508" s="113"/>
      <c r="AH508" s="113"/>
      <c r="AI508" s="130"/>
      <c r="AJ508" s="135"/>
      <c r="AK508" s="57"/>
      <c r="AL508" s="287"/>
      <c r="AM508" s="288"/>
      <c r="AN508" s="288"/>
      <c r="AO508" s="288"/>
      <c r="AP508" s="288"/>
      <c r="AQ508" s="288"/>
      <c r="AR508" s="288"/>
      <c r="AS508" s="207"/>
      <c r="AT508" s="116"/>
      <c r="AU508" s="67" t="s">
        <v>3371</v>
      </c>
      <c r="AV508" s="251"/>
      <c r="AW508" s="67" t="s">
        <v>452</v>
      </c>
      <c r="AX508" s="113" t="s">
        <v>106</v>
      </c>
      <c r="AY508" s="222">
        <v>95240</v>
      </c>
      <c r="AZ508" s="311" t="s">
        <v>3373</v>
      </c>
      <c r="BA508" s="317"/>
    </row>
    <row r="509" spans="1:53" s="210" customFormat="1" ht="14.15" customHeight="1" x14ac:dyDescent="0.4">
      <c r="A509" s="256" t="s">
        <v>3374</v>
      </c>
      <c r="B509" s="67" t="s">
        <v>125</v>
      </c>
      <c r="C509" s="224" t="s">
        <v>99</v>
      </c>
      <c r="D509" s="113" t="s">
        <v>3375</v>
      </c>
      <c r="E509" s="120" t="s">
        <v>100</v>
      </c>
      <c r="F509" s="82"/>
      <c r="G509" s="84"/>
      <c r="H509" s="90" t="s">
        <v>100</v>
      </c>
      <c r="I509" s="91"/>
      <c r="J509" s="97"/>
      <c r="K509" s="102"/>
      <c r="L509" s="327"/>
      <c r="M509" s="106">
        <v>44102</v>
      </c>
      <c r="N509" s="113" t="s">
        <v>3376</v>
      </c>
      <c r="O509" s="113" t="s">
        <v>3377</v>
      </c>
      <c r="P509" s="57"/>
      <c r="Q509" s="132">
        <v>9.2499999999999999E-2</v>
      </c>
      <c r="R509" s="132">
        <v>0.09</v>
      </c>
      <c r="S509" s="63" t="s">
        <v>1456</v>
      </c>
      <c r="T509" s="67" t="s">
        <v>3378</v>
      </c>
      <c r="U509" s="67" t="s">
        <v>1458</v>
      </c>
      <c r="V509" s="113" t="s">
        <v>106</v>
      </c>
      <c r="W509" s="222">
        <v>94523</v>
      </c>
      <c r="X509" s="141"/>
      <c r="Y509" s="236"/>
      <c r="Z509" s="236"/>
      <c r="AA509" s="200"/>
      <c r="AB509" s="130"/>
      <c r="AC509" s="202"/>
      <c r="AD509" s="200"/>
      <c r="AE509" s="113"/>
      <c r="AF509" s="113"/>
      <c r="AG509" s="113"/>
      <c r="AH509" s="113"/>
      <c r="AI509" s="130"/>
      <c r="AJ509" s="135"/>
      <c r="AK509" s="57"/>
      <c r="AL509" s="287"/>
      <c r="AM509" s="288"/>
      <c r="AN509" s="288"/>
      <c r="AO509" s="288"/>
      <c r="AP509" s="288"/>
      <c r="AQ509" s="288"/>
      <c r="AR509" s="288"/>
      <c r="AS509" s="207" t="s">
        <v>132</v>
      </c>
      <c r="AT509" s="116" t="s">
        <v>1195</v>
      </c>
      <c r="AU509" s="67" t="s">
        <v>3378</v>
      </c>
      <c r="AV509" s="251"/>
      <c r="AW509" s="67" t="s">
        <v>1458</v>
      </c>
      <c r="AX509" s="113" t="s">
        <v>106</v>
      </c>
      <c r="AY509" s="222">
        <v>94523</v>
      </c>
      <c r="AZ509" s="199" t="s">
        <v>3377</v>
      </c>
      <c r="BA509" s="75"/>
    </row>
    <row r="510" spans="1:53" ht="14.15" customHeight="1" x14ac:dyDescent="0.4">
      <c r="A510" s="256" t="s">
        <v>3379</v>
      </c>
      <c r="B510" s="67" t="s">
        <v>269</v>
      </c>
      <c r="C510" s="224" t="s">
        <v>1076</v>
      </c>
      <c r="D510" s="115"/>
      <c r="E510" s="120" t="s">
        <v>100</v>
      </c>
      <c r="F510" s="82"/>
      <c r="G510" s="84"/>
      <c r="H510" s="90" t="s">
        <v>100</v>
      </c>
      <c r="I510" s="91"/>
      <c r="J510" s="97"/>
      <c r="K510" s="102">
        <v>43737</v>
      </c>
      <c r="L510" s="327"/>
      <c r="M510" s="106">
        <v>44790</v>
      </c>
      <c r="N510" s="113" t="s">
        <v>851</v>
      </c>
      <c r="O510" s="113" t="s">
        <v>852</v>
      </c>
      <c r="P510" s="57" t="s">
        <v>3380</v>
      </c>
      <c r="Q510" s="132">
        <v>8.6249999999999993E-2</v>
      </c>
      <c r="R510" s="132"/>
      <c r="S510" s="63" t="s">
        <v>103</v>
      </c>
      <c r="T510" s="67" t="s">
        <v>3381</v>
      </c>
      <c r="U510" s="67" t="s">
        <v>105</v>
      </c>
      <c r="V510" s="113" t="s">
        <v>106</v>
      </c>
      <c r="W510" s="222">
        <v>94132</v>
      </c>
      <c r="X510" s="141" t="s">
        <v>3382</v>
      </c>
      <c r="Y510" s="139" t="s">
        <v>3382</v>
      </c>
      <c r="Z510" s="141" t="s">
        <v>3382</v>
      </c>
      <c r="AA510" s="200"/>
      <c r="AB510" s="130"/>
      <c r="AC510" s="202"/>
      <c r="AD510" s="200"/>
      <c r="AE510" s="113"/>
      <c r="AF510" s="113"/>
      <c r="AG510" s="113"/>
      <c r="AH510" s="113"/>
      <c r="AI510" s="130"/>
      <c r="AK510" s="57"/>
      <c r="AM510" s="288">
        <v>13305</v>
      </c>
      <c r="AO510" s="288">
        <v>62245</v>
      </c>
      <c r="AS510" s="207" t="s">
        <v>132</v>
      </c>
      <c r="AT510" s="116" t="s">
        <v>670</v>
      </c>
      <c r="AU510" s="67" t="s">
        <v>3383</v>
      </c>
      <c r="AV510" s="251"/>
      <c r="AW510" s="67" t="s">
        <v>105</v>
      </c>
      <c r="AX510" s="113" t="s">
        <v>106</v>
      </c>
      <c r="AY510" s="222">
        <v>94132</v>
      </c>
      <c r="AZ510" s="199" t="s">
        <v>852</v>
      </c>
      <c r="BA510" s="317"/>
    </row>
    <row r="511" spans="1:53" ht="14.15" customHeight="1" x14ac:dyDescent="0.4">
      <c r="A511" s="256" t="s">
        <v>3384</v>
      </c>
      <c r="B511" s="67" t="s">
        <v>108</v>
      </c>
      <c r="C511" s="68" t="s">
        <v>109</v>
      </c>
      <c r="D511" s="113" t="s">
        <v>3385</v>
      </c>
      <c r="E511" s="120" t="s">
        <v>100</v>
      </c>
      <c r="F511" s="82"/>
      <c r="G511" s="84"/>
      <c r="H511" s="90" t="s">
        <v>100</v>
      </c>
      <c r="I511" s="91"/>
      <c r="J511" s="97"/>
      <c r="K511" s="102"/>
      <c r="L511" s="327"/>
      <c r="M511" s="106">
        <v>43844</v>
      </c>
      <c r="N511" s="113" t="s">
        <v>3386</v>
      </c>
      <c r="O511" s="113" t="s">
        <v>3387</v>
      </c>
      <c r="P511" s="57"/>
      <c r="Q511" s="132">
        <v>8.6249999999999993E-2</v>
      </c>
      <c r="R511" s="132">
        <v>8.7499999999999994E-2</v>
      </c>
      <c r="S511" s="63" t="s">
        <v>103</v>
      </c>
      <c r="T511" s="67" t="s">
        <v>3388</v>
      </c>
      <c r="U511" s="67" t="s">
        <v>105</v>
      </c>
      <c r="V511" s="113" t="s">
        <v>106</v>
      </c>
      <c r="W511" s="222">
        <v>94133</v>
      </c>
      <c r="X511" s="141"/>
      <c r="Z511" s="236"/>
      <c r="AA511" s="200"/>
      <c r="AB511" s="130"/>
      <c r="AC511" s="202"/>
      <c r="AD511" s="200"/>
      <c r="AE511" s="113"/>
      <c r="AF511" s="113"/>
      <c r="AG511" s="113"/>
      <c r="AH511" s="113"/>
      <c r="AI511" s="130"/>
      <c r="AK511" s="57"/>
      <c r="AS511" s="207" t="s">
        <v>132</v>
      </c>
      <c r="AT511" s="116" t="s">
        <v>1195</v>
      </c>
      <c r="AU511" s="67" t="s">
        <v>3389</v>
      </c>
      <c r="AV511" s="251"/>
      <c r="AW511" s="67" t="s">
        <v>105</v>
      </c>
      <c r="AX511" s="113" t="s">
        <v>106</v>
      </c>
      <c r="AY511" s="222">
        <v>94133</v>
      </c>
      <c r="AZ511" s="199" t="s">
        <v>3387</v>
      </c>
    </row>
    <row r="512" spans="1:53" ht="14.15" customHeight="1" x14ac:dyDescent="0.4">
      <c r="A512" s="256" t="s">
        <v>3390</v>
      </c>
      <c r="B512" s="67" t="s">
        <v>125</v>
      </c>
      <c r="C512" s="224" t="s">
        <v>99</v>
      </c>
      <c r="D512" s="79" t="s">
        <v>3391</v>
      </c>
      <c r="E512" s="120" t="s">
        <v>100</v>
      </c>
      <c r="F512" s="82"/>
      <c r="G512" s="84"/>
      <c r="H512" s="90" t="s">
        <v>100</v>
      </c>
      <c r="I512" s="91"/>
      <c r="J512" s="97"/>
      <c r="K512" s="102">
        <v>44329</v>
      </c>
      <c r="L512" s="327"/>
      <c r="M512" s="106">
        <v>43369</v>
      </c>
      <c r="N512" s="113" t="s">
        <v>3392</v>
      </c>
      <c r="O512" s="113" t="s">
        <v>3393</v>
      </c>
      <c r="P512" s="57"/>
      <c r="Q512" s="132">
        <v>8.7499999999999994E-2</v>
      </c>
      <c r="R512" s="132">
        <v>0.08</v>
      </c>
      <c r="S512" s="63" t="s">
        <v>3394</v>
      </c>
      <c r="T512" s="67" t="s">
        <v>3395</v>
      </c>
      <c r="U512" s="67" t="s">
        <v>3396</v>
      </c>
      <c r="V512" s="113" t="s">
        <v>106</v>
      </c>
      <c r="W512" s="222">
        <v>95422</v>
      </c>
      <c r="Z512" s="236"/>
      <c r="AA512" s="200"/>
      <c r="AB512" s="130"/>
      <c r="AC512" s="202"/>
      <c r="AD512" s="200"/>
      <c r="AE512" s="113"/>
      <c r="AF512" s="113"/>
      <c r="AG512" s="113"/>
      <c r="AH512" s="113"/>
      <c r="AI512" s="130"/>
      <c r="AK512" s="57"/>
      <c r="AO512" s="288">
        <v>61085</v>
      </c>
      <c r="AS512" s="207" t="s">
        <v>132</v>
      </c>
      <c r="AT512" s="116" t="s">
        <v>1195</v>
      </c>
      <c r="AU512" s="67" t="s">
        <v>3395</v>
      </c>
      <c r="AV512" s="251"/>
      <c r="AW512" s="67" t="s">
        <v>3397</v>
      </c>
      <c r="AX512" s="113" t="s">
        <v>106</v>
      </c>
      <c r="AY512" s="222">
        <v>95422</v>
      </c>
      <c r="AZ512" s="199" t="s">
        <v>3393</v>
      </c>
    </row>
    <row r="513" spans="1:53" ht="14.15" customHeight="1" x14ac:dyDescent="0.4">
      <c r="A513" s="256" t="s">
        <v>3398</v>
      </c>
      <c r="B513" s="67" t="s">
        <v>269</v>
      </c>
      <c r="C513" s="224" t="s">
        <v>119</v>
      </c>
      <c r="D513" s="115"/>
      <c r="E513" s="120" t="s">
        <v>100</v>
      </c>
      <c r="F513" s="82"/>
      <c r="G513" s="84"/>
      <c r="H513" s="90" t="s">
        <v>100</v>
      </c>
      <c r="I513" s="91"/>
      <c r="J513" s="97"/>
      <c r="K513" s="102"/>
      <c r="L513" s="327"/>
      <c r="M513" s="106">
        <v>44532</v>
      </c>
      <c r="N513" s="113" t="s">
        <v>3120</v>
      </c>
      <c r="O513" s="113" t="s">
        <v>3399</v>
      </c>
      <c r="P513" s="57" t="s">
        <v>3400</v>
      </c>
      <c r="Q513" s="132">
        <v>0</v>
      </c>
      <c r="R513" s="132"/>
      <c r="S513" s="63" t="s">
        <v>943</v>
      </c>
      <c r="T513" s="67" t="s">
        <v>3401</v>
      </c>
      <c r="U513" s="67" t="s">
        <v>3402</v>
      </c>
      <c r="V513" s="113" t="s">
        <v>3403</v>
      </c>
      <c r="W513" s="222">
        <v>96817</v>
      </c>
      <c r="X513" s="141"/>
      <c r="Z513" s="236"/>
      <c r="AA513" s="200"/>
      <c r="AB513" s="130"/>
      <c r="AC513" s="202"/>
      <c r="AD513" s="200"/>
      <c r="AE513" s="113"/>
      <c r="AF513" s="113"/>
      <c r="AG513" s="113"/>
      <c r="AH513" s="113"/>
      <c r="AI513" s="130"/>
      <c r="AK513" s="57"/>
      <c r="AS513" s="207"/>
      <c r="AU513" s="67" t="s">
        <v>3401</v>
      </c>
      <c r="AV513" s="251"/>
      <c r="AW513" s="67" t="s">
        <v>3404</v>
      </c>
      <c r="AX513" s="113" t="s">
        <v>3403</v>
      </c>
      <c r="AY513" s="222">
        <v>96817</v>
      </c>
      <c r="AZ513" s="199" t="s">
        <v>3399</v>
      </c>
      <c r="BA513" s="317"/>
    </row>
    <row r="514" spans="1:53" ht="14.15" customHeight="1" x14ac:dyDescent="0.4">
      <c r="A514" s="256" t="s">
        <v>3405</v>
      </c>
      <c r="B514" s="67" t="s">
        <v>125</v>
      </c>
      <c r="C514" s="224" t="s">
        <v>99</v>
      </c>
      <c r="D514" s="115" t="s">
        <v>3406</v>
      </c>
      <c r="E514" s="120" t="s">
        <v>100</v>
      </c>
      <c r="F514" s="82"/>
      <c r="G514" s="84"/>
      <c r="H514" s="90" t="s">
        <v>100</v>
      </c>
      <c r="I514" s="91"/>
      <c r="J514" s="97"/>
      <c r="K514" s="102">
        <v>44362</v>
      </c>
      <c r="L514" s="327"/>
      <c r="M514" s="106">
        <v>44370</v>
      </c>
      <c r="N514" s="113" t="s">
        <v>3407</v>
      </c>
      <c r="O514" s="113" t="s">
        <v>3408</v>
      </c>
      <c r="P514" s="57" t="s">
        <v>3409</v>
      </c>
      <c r="Q514" s="132">
        <v>9.2499999999999999E-2</v>
      </c>
      <c r="R514" s="132"/>
      <c r="S514" s="63" t="s">
        <v>226</v>
      </c>
      <c r="T514" s="67" t="s">
        <v>3410</v>
      </c>
      <c r="U514" s="67" t="s">
        <v>228</v>
      </c>
      <c r="V514" s="113" t="s">
        <v>106</v>
      </c>
      <c r="W514" s="222">
        <v>94901</v>
      </c>
      <c r="X514" s="141"/>
      <c r="Z514" s="236"/>
      <c r="AA514" s="200"/>
      <c r="AB514" s="130"/>
      <c r="AC514" s="202"/>
      <c r="AD514" s="200"/>
      <c r="AE514" s="113"/>
      <c r="AF514" s="113"/>
      <c r="AG514" s="113"/>
      <c r="AH514" s="113"/>
      <c r="AI514" s="130"/>
      <c r="AK514" s="57"/>
      <c r="AL514" s="287">
        <v>15157</v>
      </c>
      <c r="AS514" s="207"/>
      <c r="AU514" s="67" t="s">
        <v>3410</v>
      </c>
      <c r="AV514" s="251"/>
      <c r="AW514" s="67" t="s">
        <v>228</v>
      </c>
      <c r="AX514" s="113" t="s">
        <v>106</v>
      </c>
      <c r="AY514" s="222">
        <v>94901</v>
      </c>
      <c r="AZ514" s="199" t="s">
        <v>3408</v>
      </c>
      <c r="BA514" s="317"/>
    </row>
    <row r="515" spans="1:53" ht="14.15" customHeight="1" x14ac:dyDescent="0.4">
      <c r="A515" s="256" t="s">
        <v>3411</v>
      </c>
      <c r="B515" s="67" t="s">
        <v>125</v>
      </c>
      <c r="C515" s="224" t="s">
        <v>99</v>
      </c>
      <c r="D515" s="113" t="s">
        <v>3412</v>
      </c>
      <c r="E515" s="120" t="s">
        <v>100</v>
      </c>
      <c r="F515" s="82" t="s">
        <v>0</v>
      </c>
      <c r="G515" s="84" t="s">
        <v>0</v>
      </c>
      <c r="H515" s="90" t="s">
        <v>100</v>
      </c>
      <c r="I515" s="91" t="s">
        <v>0</v>
      </c>
      <c r="J515" s="97" t="s">
        <v>0</v>
      </c>
      <c r="K515" s="102">
        <v>44243</v>
      </c>
      <c r="L515" s="327"/>
      <c r="M515" s="106"/>
      <c r="N515" s="113" t="s">
        <v>3413</v>
      </c>
      <c r="O515" s="113" t="s">
        <v>3414</v>
      </c>
      <c r="P515" s="57"/>
      <c r="Q515" s="132">
        <v>8.6249999999999993E-2</v>
      </c>
      <c r="R515" s="132">
        <v>8.7499999999999994E-2</v>
      </c>
      <c r="S515" s="63" t="s">
        <v>103</v>
      </c>
      <c r="T515" s="67" t="s">
        <v>3415</v>
      </c>
      <c r="U515" s="67" t="s">
        <v>105</v>
      </c>
      <c r="V515" s="113" t="s">
        <v>106</v>
      </c>
      <c r="W515" s="222">
        <v>94133</v>
      </c>
      <c r="Z515" s="236"/>
      <c r="AA515" s="200"/>
      <c r="AB515" s="130"/>
      <c r="AC515" s="202"/>
      <c r="AD515" s="200"/>
      <c r="AE515" s="113"/>
      <c r="AF515" s="113"/>
      <c r="AG515" s="113"/>
      <c r="AH515" s="113"/>
      <c r="AI515" s="130"/>
      <c r="AK515" s="57"/>
      <c r="AS515" s="207" t="s">
        <v>132</v>
      </c>
      <c r="AT515" s="116" t="s">
        <v>1195</v>
      </c>
      <c r="AU515" s="67" t="s">
        <v>3415</v>
      </c>
      <c r="AV515" s="251"/>
      <c r="AW515" s="67" t="s">
        <v>105</v>
      </c>
      <c r="AX515" s="113" t="s">
        <v>106</v>
      </c>
      <c r="AY515" s="222">
        <v>94133</v>
      </c>
      <c r="AZ515" s="199" t="s">
        <v>3414</v>
      </c>
    </row>
    <row r="516" spans="1:53" s="251" customFormat="1" ht="14.15" customHeight="1" x14ac:dyDescent="0.4">
      <c r="A516" s="256" t="s">
        <v>3416</v>
      </c>
      <c r="B516" s="67" t="s">
        <v>125</v>
      </c>
      <c r="C516" s="224" t="s">
        <v>99</v>
      </c>
      <c r="D516" s="115" t="s">
        <v>3417</v>
      </c>
      <c r="E516" s="120" t="s">
        <v>100</v>
      </c>
      <c r="F516" s="82"/>
      <c r="G516" s="84"/>
      <c r="H516" s="90" t="s">
        <v>100</v>
      </c>
      <c r="I516" s="91"/>
      <c r="J516" s="97"/>
      <c r="K516" s="102"/>
      <c r="L516" s="327"/>
      <c r="M516" s="106">
        <v>44958</v>
      </c>
      <c r="N516" s="113" t="s">
        <v>3418</v>
      </c>
      <c r="O516" s="113" t="s">
        <v>3419</v>
      </c>
      <c r="P516" s="57"/>
      <c r="Q516" s="132">
        <v>9.1249999999999998E-2</v>
      </c>
      <c r="R516" s="132"/>
      <c r="S516" s="63" t="s">
        <v>1061</v>
      </c>
      <c r="T516" s="67" t="s">
        <v>3420</v>
      </c>
      <c r="U516" s="67" t="s">
        <v>3421</v>
      </c>
      <c r="V516" s="113" t="s">
        <v>106</v>
      </c>
      <c r="W516" s="222">
        <v>94534</v>
      </c>
      <c r="X516" s="141"/>
      <c r="Y516" s="236"/>
      <c r="Z516" s="236"/>
      <c r="AA516" s="200"/>
      <c r="AB516" s="130"/>
      <c r="AC516" s="202"/>
      <c r="AD516" s="200"/>
      <c r="AE516" s="113"/>
      <c r="AF516" s="113"/>
      <c r="AG516" s="113"/>
      <c r="AH516" s="113"/>
      <c r="AI516" s="130"/>
      <c r="AJ516" s="135"/>
      <c r="AK516" s="57"/>
      <c r="AL516" s="287"/>
      <c r="AM516" s="288"/>
      <c r="AN516" s="288"/>
      <c r="AO516" s="288"/>
      <c r="AP516" s="288"/>
      <c r="AQ516" s="288"/>
      <c r="AR516" s="288"/>
      <c r="AS516" s="207"/>
      <c r="AT516" s="116"/>
      <c r="AU516" s="67" t="s">
        <v>3420</v>
      </c>
      <c r="AW516" s="67" t="s">
        <v>1061</v>
      </c>
      <c r="AX516" s="113" t="s">
        <v>106</v>
      </c>
      <c r="AY516" s="222">
        <v>94534</v>
      </c>
      <c r="AZ516" s="199" t="s">
        <v>3422</v>
      </c>
      <c r="BA516" s="317"/>
    </row>
    <row r="517" spans="1:53" ht="14.15" customHeight="1" x14ac:dyDescent="0.4">
      <c r="A517" s="256" t="s">
        <v>3423</v>
      </c>
      <c r="B517" s="67" t="s">
        <v>125</v>
      </c>
      <c r="C517" s="224" t="s">
        <v>99</v>
      </c>
      <c r="D517" s="115"/>
      <c r="E517" s="120" t="s">
        <v>100</v>
      </c>
      <c r="F517" s="82"/>
      <c r="G517" s="84"/>
      <c r="H517" s="90" t="s">
        <v>100</v>
      </c>
      <c r="I517" s="91"/>
      <c r="J517" s="97"/>
      <c r="K517" s="102"/>
      <c r="L517" s="327"/>
      <c r="M517" s="106">
        <v>45238</v>
      </c>
      <c r="N517" s="113" t="s">
        <v>3424</v>
      </c>
      <c r="O517" s="113" t="s">
        <v>1370</v>
      </c>
      <c r="P517" s="57"/>
      <c r="Q517" s="132">
        <v>9.7500000000000003E-2</v>
      </c>
      <c r="R517" s="132"/>
      <c r="S517" s="63" t="s">
        <v>2934</v>
      </c>
      <c r="T517" s="67" t="s">
        <v>3425</v>
      </c>
      <c r="U517" s="67" t="s">
        <v>2934</v>
      </c>
      <c r="V517" s="113" t="s">
        <v>106</v>
      </c>
      <c r="W517" s="222">
        <v>94509</v>
      </c>
      <c r="X517" s="141"/>
      <c r="Z517" s="236"/>
      <c r="AA517" s="200"/>
      <c r="AB517" s="130"/>
      <c r="AC517" s="202"/>
      <c r="AD517" s="200"/>
      <c r="AE517" s="113"/>
      <c r="AF517" s="113"/>
      <c r="AG517" s="113"/>
      <c r="AH517" s="113"/>
      <c r="AI517" s="130"/>
      <c r="AK517" s="57"/>
      <c r="AL517" s="287">
        <v>15157</v>
      </c>
      <c r="AS517" s="207"/>
      <c r="AU517" s="67" t="s">
        <v>3426</v>
      </c>
      <c r="AV517" s="251"/>
      <c r="AW517" s="67" t="s">
        <v>2934</v>
      </c>
      <c r="AX517" s="113" t="s">
        <v>106</v>
      </c>
      <c r="AY517" s="222">
        <v>94509</v>
      </c>
      <c r="AZ517" s="199" t="s">
        <v>1370</v>
      </c>
      <c r="BA517" s="317"/>
    </row>
    <row r="518" spans="1:53" ht="14.15" customHeight="1" x14ac:dyDescent="0.4">
      <c r="A518" s="256" t="s">
        <v>3427</v>
      </c>
      <c r="B518" s="67" t="s">
        <v>98</v>
      </c>
      <c r="C518" s="224" t="s">
        <v>99</v>
      </c>
      <c r="D518" s="113"/>
      <c r="E518" s="120" t="s">
        <v>100</v>
      </c>
      <c r="F518" s="82"/>
      <c r="G518" s="84"/>
      <c r="H518" s="90" t="s">
        <v>100</v>
      </c>
      <c r="I518" s="91"/>
      <c r="J518" s="97"/>
      <c r="K518" s="102">
        <v>44413</v>
      </c>
      <c r="L518" s="327"/>
      <c r="M518" s="106"/>
      <c r="N518" s="113" t="s">
        <v>3428</v>
      </c>
      <c r="O518" s="113" t="s">
        <v>3429</v>
      </c>
      <c r="P518" s="57"/>
      <c r="Q518" s="132">
        <v>0.10249999999999999</v>
      </c>
      <c r="R518" s="132">
        <v>9.5000000000000001E-2</v>
      </c>
      <c r="S518" s="63" t="s">
        <v>113</v>
      </c>
      <c r="T518" s="67" t="s">
        <v>3430</v>
      </c>
      <c r="U518" s="67" t="s">
        <v>641</v>
      </c>
      <c r="V518" s="113" t="s">
        <v>106</v>
      </c>
      <c r="W518" s="222">
        <v>94702</v>
      </c>
      <c r="Z518" s="236"/>
      <c r="AA518" s="200"/>
      <c r="AB518" s="130"/>
      <c r="AC518" s="202"/>
      <c r="AD518" s="200"/>
      <c r="AE518" s="113"/>
      <c r="AF518" s="113"/>
      <c r="AG518" s="113"/>
      <c r="AH518" s="113"/>
      <c r="AI518" s="130" t="s">
        <v>0</v>
      </c>
      <c r="AJ518" s="135" t="s">
        <v>116</v>
      </c>
      <c r="AK518" s="57"/>
      <c r="AL518" s="287" t="s">
        <v>289</v>
      </c>
      <c r="AQ518" s="288">
        <v>1681</v>
      </c>
      <c r="AS518" s="207" t="s">
        <v>132</v>
      </c>
      <c r="AT518" s="116" t="s">
        <v>1195</v>
      </c>
      <c r="AU518" s="67" t="s">
        <v>3430</v>
      </c>
      <c r="AV518" s="251"/>
      <c r="AW518" s="67" t="s">
        <v>641</v>
      </c>
      <c r="AX518" s="113" t="s">
        <v>106</v>
      </c>
      <c r="AY518" s="222">
        <v>94702</v>
      </c>
      <c r="AZ518" s="199" t="s">
        <v>3429</v>
      </c>
    </row>
    <row r="519" spans="1:53" ht="14.15" customHeight="1" x14ac:dyDescent="0.4">
      <c r="A519" s="256" t="s">
        <v>3431</v>
      </c>
      <c r="B519" s="67" t="s">
        <v>269</v>
      </c>
      <c r="C519" s="224" t="s">
        <v>1076</v>
      </c>
      <c r="D519" s="115"/>
      <c r="E519" s="120" t="s">
        <v>100</v>
      </c>
      <c r="F519" s="82"/>
      <c r="G519" s="84"/>
      <c r="H519" s="90" t="s">
        <v>100</v>
      </c>
      <c r="I519" s="91"/>
      <c r="J519" s="97"/>
      <c r="K519" s="102">
        <v>43846</v>
      </c>
      <c r="L519" s="327"/>
      <c r="M519" s="106">
        <v>45252</v>
      </c>
      <c r="N519" s="113" t="s">
        <v>3432</v>
      </c>
      <c r="O519" s="79" t="s">
        <v>3433</v>
      </c>
      <c r="P519" s="199" t="s">
        <v>3434</v>
      </c>
      <c r="Q519" s="132">
        <v>0.10249999999999999</v>
      </c>
      <c r="R519" s="132"/>
      <c r="S519" s="63" t="s">
        <v>113</v>
      </c>
      <c r="T519" s="67" t="s">
        <v>3435</v>
      </c>
      <c r="U519" s="67" t="s">
        <v>1527</v>
      </c>
      <c r="V519" s="113" t="s">
        <v>106</v>
      </c>
      <c r="W519" s="222">
        <v>94546</v>
      </c>
      <c r="X519" s="141"/>
      <c r="Z519" s="236"/>
      <c r="AA519" s="200"/>
      <c r="AB519" s="130"/>
      <c r="AC519" s="202"/>
      <c r="AD519" s="200"/>
      <c r="AE519" s="113"/>
      <c r="AF519" s="113"/>
      <c r="AG519" s="113"/>
      <c r="AH519" s="113"/>
      <c r="AI519" s="130"/>
      <c r="AK519" s="57"/>
      <c r="AL519" s="287" t="s">
        <v>149</v>
      </c>
      <c r="AM519" s="288">
        <v>13305</v>
      </c>
      <c r="AS519" s="207" t="s">
        <v>132</v>
      </c>
      <c r="AT519" s="116" t="s">
        <v>1195</v>
      </c>
      <c r="AU519" s="67" t="s">
        <v>3435</v>
      </c>
      <c r="AV519" s="251"/>
      <c r="AW519" s="67" t="s">
        <v>1527</v>
      </c>
      <c r="AX519" s="113" t="s">
        <v>106</v>
      </c>
      <c r="AY519" s="222">
        <v>94546</v>
      </c>
      <c r="AZ519" s="199" t="s">
        <v>3433</v>
      </c>
      <c r="BA519" s="317"/>
    </row>
    <row r="520" spans="1:53" s="210" customFormat="1" ht="14.15" customHeight="1" x14ac:dyDescent="0.4">
      <c r="A520" s="256" t="s">
        <v>3436</v>
      </c>
      <c r="B520" s="67" t="s">
        <v>174</v>
      </c>
      <c r="C520" s="224" t="s">
        <v>99</v>
      </c>
      <c r="D520" s="115"/>
      <c r="E520" s="120" t="s">
        <v>173</v>
      </c>
      <c r="F520" s="82" t="s">
        <v>174</v>
      </c>
      <c r="G520" s="84"/>
      <c r="H520" s="90"/>
      <c r="I520" s="91"/>
      <c r="J520" s="97"/>
      <c r="K520" s="102">
        <v>45489</v>
      </c>
      <c r="L520" s="327"/>
      <c r="M520" s="106"/>
      <c r="N520" s="113" t="s">
        <v>3437</v>
      </c>
      <c r="O520" s="113" t="s">
        <v>3438</v>
      </c>
      <c r="P520" s="57"/>
      <c r="Q520" s="132">
        <v>0.10249999999999999</v>
      </c>
      <c r="R520" s="132"/>
      <c r="S520" s="63" t="s">
        <v>113</v>
      </c>
      <c r="T520" s="67" t="s">
        <v>3439</v>
      </c>
      <c r="U520" s="67" t="s">
        <v>641</v>
      </c>
      <c r="V520" s="113" t="s">
        <v>106</v>
      </c>
      <c r="W520" s="222">
        <v>94707</v>
      </c>
      <c r="X520" s="141"/>
      <c r="Y520" s="236"/>
      <c r="Z520" s="236"/>
      <c r="AA520" s="200"/>
      <c r="AB520" s="130"/>
      <c r="AC520" s="202"/>
      <c r="AD520" s="200"/>
      <c r="AE520" s="113"/>
      <c r="AF520" s="113"/>
      <c r="AG520" s="113"/>
      <c r="AH520" s="113"/>
      <c r="AI520" s="130"/>
      <c r="AJ520" s="135"/>
      <c r="AK520" s="57"/>
      <c r="AL520" s="287"/>
      <c r="AM520" s="288"/>
      <c r="AN520" s="288"/>
      <c r="AO520" s="288"/>
      <c r="AP520" s="288"/>
      <c r="AQ520" s="288" t="s">
        <v>3440</v>
      </c>
      <c r="AR520" s="288"/>
      <c r="AS520" s="207"/>
      <c r="AT520" s="116" t="s">
        <v>131</v>
      </c>
      <c r="AU520" s="67" t="s">
        <v>3441</v>
      </c>
      <c r="AV520" s="251"/>
      <c r="AW520" s="67" t="s">
        <v>641</v>
      </c>
      <c r="AX520" s="113" t="s">
        <v>106</v>
      </c>
      <c r="AY520" s="222">
        <v>94707</v>
      </c>
      <c r="AZ520" s="199" t="s">
        <v>3438</v>
      </c>
      <c r="BA520" s="317"/>
    </row>
    <row r="521" spans="1:53" ht="14.15" customHeight="1" x14ac:dyDescent="0.4">
      <c r="A521" s="256" t="s">
        <v>3442</v>
      </c>
      <c r="B521" s="67" t="s">
        <v>125</v>
      </c>
      <c r="C521" s="224" t="s">
        <v>99</v>
      </c>
      <c r="D521" s="115" t="s">
        <v>3412</v>
      </c>
      <c r="E521" s="120" t="s">
        <v>100</v>
      </c>
      <c r="F521" s="82"/>
      <c r="G521" s="84"/>
      <c r="H521" s="90" t="s">
        <v>100</v>
      </c>
      <c r="I521" s="91"/>
      <c r="J521" s="97"/>
      <c r="K521" s="102"/>
      <c r="L521" s="327"/>
      <c r="M521" s="106">
        <v>44594</v>
      </c>
      <c r="N521" s="113" t="s">
        <v>3443</v>
      </c>
      <c r="O521" s="113" t="s">
        <v>3444</v>
      </c>
      <c r="P521" s="57"/>
      <c r="Q521" s="132">
        <v>9.2499999999999999E-2</v>
      </c>
      <c r="R521" s="132"/>
      <c r="S521" s="63" t="s">
        <v>1456</v>
      </c>
      <c r="T521" s="67" t="s">
        <v>3445</v>
      </c>
      <c r="U521" s="67" t="s">
        <v>1458</v>
      </c>
      <c r="V521" s="113" t="s">
        <v>106</v>
      </c>
      <c r="W521" s="222">
        <v>94523</v>
      </c>
      <c r="X521" s="141"/>
      <c r="Z521" s="236"/>
      <c r="AA521" s="200"/>
      <c r="AB521" s="130"/>
      <c r="AC521" s="202"/>
      <c r="AD521" s="200"/>
      <c r="AE521" s="113"/>
      <c r="AF521" s="113"/>
      <c r="AG521" s="113"/>
      <c r="AH521" s="113"/>
      <c r="AI521" s="130"/>
      <c r="AK521" s="57"/>
      <c r="AS521" s="207"/>
      <c r="AU521" s="67" t="s">
        <v>3445</v>
      </c>
      <c r="AV521" s="251"/>
      <c r="AW521" s="67" t="s">
        <v>1458</v>
      </c>
      <c r="AX521" s="113" t="s">
        <v>106</v>
      </c>
      <c r="AY521" s="222">
        <v>94523</v>
      </c>
      <c r="AZ521" s="199" t="s">
        <v>3444</v>
      </c>
      <c r="BA521" s="317"/>
    </row>
    <row r="522" spans="1:53" ht="14.15" customHeight="1" x14ac:dyDescent="0.4">
      <c r="A522" s="257" t="s">
        <v>3446</v>
      </c>
      <c r="B522" s="67" t="s">
        <v>98</v>
      </c>
      <c r="C522" s="224" t="s">
        <v>99</v>
      </c>
      <c r="D522" s="115"/>
      <c r="E522" s="120" t="s">
        <v>100</v>
      </c>
      <c r="F522" s="82"/>
      <c r="G522" s="84"/>
      <c r="H522" s="90" t="s">
        <v>100</v>
      </c>
      <c r="I522" s="91"/>
      <c r="J522" s="97"/>
      <c r="K522" s="102">
        <v>44210</v>
      </c>
      <c r="L522" s="327"/>
      <c r="M522" s="106">
        <v>44011</v>
      </c>
      <c r="N522" s="113" t="s">
        <v>3447</v>
      </c>
      <c r="O522" s="113" t="s">
        <v>3448</v>
      </c>
      <c r="P522" s="57" t="s">
        <v>3449</v>
      </c>
      <c r="Q522" s="132">
        <v>0.10249999999999999</v>
      </c>
      <c r="R522" s="132"/>
      <c r="S522" s="63" t="s">
        <v>113</v>
      </c>
      <c r="T522" s="67" t="s">
        <v>3450</v>
      </c>
      <c r="U522" s="67" t="s">
        <v>115</v>
      </c>
      <c r="V522" s="113" t="s">
        <v>106</v>
      </c>
      <c r="W522" s="222">
        <v>94610</v>
      </c>
      <c r="X522" s="141"/>
      <c r="Z522" s="236"/>
      <c r="AA522" s="200"/>
      <c r="AB522" s="130"/>
      <c r="AC522" s="202"/>
      <c r="AD522" s="200"/>
      <c r="AE522" s="113"/>
      <c r="AF522" s="113"/>
      <c r="AG522" s="113"/>
      <c r="AH522" s="113"/>
      <c r="AI522" s="130"/>
      <c r="AK522" s="57"/>
      <c r="AL522" s="287" t="s">
        <v>149</v>
      </c>
      <c r="AS522" s="207"/>
      <c r="AU522" s="67" t="s">
        <v>3450</v>
      </c>
      <c r="AV522" s="251"/>
      <c r="AW522" s="67" t="s">
        <v>115</v>
      </c>
      <c r="AX522" s="113" t="s">
        <v>106</v>
      </c>
      <c r="AY522" s="222">
        <v>94610</v>
      </c>
      <c r="AZ522" s="199" t="s">
        <v>3448</v>
      </c>
      <c r="BA522" s="317"/>
    </row>
    <row r="523" spans="1:53" ht="14.15" customHeight="1" x14ac:dyDescent="0.4">
      <c r="A523" s="257" t="s">
        <v>3451</v>
      </c>
      <c r="B523" s="67" t="s">
        <v>244</v>
      </c>
      <c r="C523" s="224" t="s">
        <v>3452</v>
      </c>
      <c r="D523" s="115"/>
      <c r="E523" s="120" t="s">
        <v>173</v>
      </c>
      <c r="F523" s="82" t="s">
        <v>174</v>
      </c>
      <c r="G523" s="84"/>
      <c r="H523" s="90"/>
      <c r="I523" s="91"/>
      <c r="J523" s="97"/>
      <c r="K523" s="102">
        <v>45987</v>
      </c>
      <c r="L523" s="327"/>
      <c r="M523" s="106"/>
      <c r="N523" s="113" t="s">
        <v>3453</v>
      </c>
      <c r="O523" s="130" t="s">
        <v>3454</v>
      </c>
      <c r="P523" s="57" t="s">
        <v>3455</v>
      </c>
      <c r="Q523" s="132">
        <v>0.10249999999999999</v>
      </c>
      <c r="R523" s="132"/>
      <c r="S523" s="63" t="s">
        <v>113</v>
      </c>
      <c r="T523" s="67" t="s">
        <v>3456</v>
      </c>
      <c r="U523" s="67" t="s">
        <v>641</v>
      </c>
      <c r="V523" s="113" t="s">
        <v>106</v>
      </c>
      <c r="W523" s="222">
        <v>94710</v>
      </c>
      <c r="X523" s="141" t="s">
        <v>6327</v>
      </c>
      <c r="Y523" s="141" t="s">
        <v>6327</v>
      </c>
      <c r="Z523" s="141" t="s">
        <v>6327</v>
      </c>
      <c r="AA523" s="200"/>
      <c r="AB523" s="130"/>
      <c r="AC523" s="202"/>
      <c r="AD523" s="200"/>
      <c r="AE523" s="113"/>
      <c r="AF523" s="113"/>
      <c r="AG523" s="113"/>
      <c r="AH523" s="113"/>
      <c r="AI523" s="130"/>
      <c r="AK523" s="57"/>
      <c r="AL523" s="287">
        <v>54230</v>
      </c>
      <c r="AM523" s="288" t="s">
        <v>198</v>
      </c>
      <c r="AN523" s="288">
        <v>13305</v>
      </c>
      <c r="AO523" s="288">
        <v>62245</v>
      </c>
      <c r="AS523" s="207"/>
      <c r="AU523" s="67" t="s">
        <v>3456</v>
      </c>
      <c r="AV523" s="251"/>
      <c r="AW523" s="67" t="s">
        <v>641</v>
      </c>
      <c r="AX523" s="113" t="s">
        <v>106</v>
      </c>
      <c r="AY523" s="222">
        <v>94710</v>
      </c>
      <c r="AZ523" s="199" t="s">
        <v>3454</v>
      </c>
      <c r="BA523" s="317"/>
    </row>
    <row r="524" spans="1:53" ht="14.15" customHeight="1" x14ac:dyDescent="0.4">
      <c r="A524" s="257" t="s">
        <v>3457</v>
      </c>
      <c r="B524" s="67" t="s">
        <v>244</v>
      </c>
      <c r="C524" s="224"/>
      <c r="D524" s="115"/>
      <c r="E524" s="120" t="s">
        <v>173</v>
      </c>
      <c r="F524" s="82" t="s">
        <v>174</v>
      </c>
      <c r="G524" s="84"/>
      <c r="H524" s="90"/>
      <c r="I524" s="91"/>
      <c r="J524" s="97"/>
      <c r="K524" s="102">
        <v>44875</v>
      </c>
      <c r="L524" s="327"/>
      <c r="M524" s="106"/>
      <c r="N524" s="113" t="s">
        <v>3458</v>
      </c>
      <c r="O524" s="113" t="s">
        <v>3459</v>
      </c>
      <c r="P524" s="57"/>
      <c r="Q524" s="132">
        <v>0</v>
      </c>
      <c r="R524" s="132"/>
      <c r="S524" s="63" t="s">
        <v>943</v>
      </c>
      <c r="T524" s="67" t="s">
        <v>3460</v>
      </c>
      <c r="U524" s="67" t="s">
        <v>3461</v>
      </c>
      <c r="V524" s="113" t="s">
        <v>1504</v>
      </c>
      <c r="W524" s="222">
        <v>77375</v>
      </c>
      <c r="X524" s="141" t="s">
        <v>3462</v>
      </c>
      <c r="Y524" s="139" t="s">
        <v>3462</v>
      </c>
      <c r="Z524" s="139" t="s">
        <v>3462</v>
      </c>
      <c r="AA524" s="200"/>
      <c r="AB524" s="130"/>
      <c r="AC524" s="202"/>
      <c r="AD524" s="200"/>
      <c r="AE524" s="113"/>
      <c r="AF524" s="113"/>
      <c r="AG524" s="113"/>
      <c r="AH524" s="113"/>
      <c r="AI524" s="130"/>
      <c r="AK524" s="57"/>
      <c r="AL524" s="287" t="s">
        <v>2253</v>
      </c>
      <c r="AS524" s="207"/>
      <c r="AU524" s="67" t="s">
        <v>3460</v>
      </c>
      <c r="AV524" s="251"/>
      <c r="AW524" s="67" t="s">
        <v>3461</v>
      </c>
      <c r="AX524" s="113" t="s">
        <v>1504</v>
      </c>
      <c r="AY524" s="222">
        <v>77375</v>
      </c>
      <c r="AZ524" s="199" t="s">
        <v>3459</v>
      </c>
      <c r="BA524" s="317"/>
    </row>
    <row r="525" spans="1:53" ht="14.15" customHeight="1" x14ac:dyDescent="0.4">
      <c r="A525" s="257" t="s">
        <v>3463</v>
      </c>
      <c r="B525" s="67" t="s">
        <v>98</v>
      </c>
      <c r="C525" s="225" t="s">
        <v>99</v>
      </c>
      <c r="D525" s="112"/>
      <c r="E525" s="119" t="s">
        <v>100</v>
      </c>
      <c r="F525" s="83"/>
      <c r="G525" s="209"/>
      <c r="H525" s="88" t="s">
        <v>100</v>
      </c>
      <c r="I525" s="89"/>
      <c r="J525" s="98"/>
      <c r="K525" s="101">
        <v>46022</v>
      </c>
      <c r="L525" s="329"/>
      <c r="M525" s="105"/>
      <c r="N525" s="112" t="s">
        <v>2581</v>
      </c>
      <c r="O525" s="112" t="s">
        <v>3464</v>
      </c>
      <c r="P525" s="198"/>
      <c r="Q525" s="132">
        <v>0.10249999999999999</v>
      </c>
      <c r="R525" s="132">
        <v>8.2500000000000004E-2</v>
      </c>
      <c r="S525" s="63" t="s">
        <v>653</v>
      </c>
      <c r="T525" s="198" t="s">
        <v>3465</v>
      </c>
      <c r="U525" s="198" t="s">
        <v>653</v>
      </c>
      <c r="V525" s="112" t="s">
        <v>106</v>
      </c>
      <c r="W525" s="205">
        <v>94952</v>
      </c>
      <c r="X525" s="141" t="s">
        <v>3466</v>
      </c>
      <c r="Y525" s="139" t="s">
        <v>3467</v>
      </c>
      <c r="Z525" s="205"/>
      <c r="AA525" s="203"/>
      <c r="AB525" s="205"/>
      <c r="AC525" s="206"/>
      <c r="AD525" s="203"/>
      <c r="AE525" s="205"/>
      <c r="AF525" s="205"/>
      <c r="AG525" s="205"/>
      <c r="AH525" s="205"/>
      <c r="AI525" s="205" t="s">
        <v>3468</v>
      </c>
      <c r="AJ525" s="135" t="s">
        <v>116</v>
      </c>
      <c r="AK525" s="318"/>
      <c r="AL525" s="290">
        <v>46175</v>
      </c>
      <c r="AM525" s="290">
        <v>15741</v>
      </c>
      <c r="AN525" s="290">
        <v>13305</v>
      </c>
      <c r="AO525" s="290">
        <v>62245</v>
      </c>
      <c r="AP525" s="290">
        <v>67240</v>
      </c>
      <c r="AQ525" s="290">
        <v>12100</v>
      </c>
      <c r="AR525" s="290"/>
      <c r="AS525" s="207" t="s">
        <v>132</v>
      </c>
      <c r="AT525" s="116" t="s">
        <v>3463</v>
      </c>
      <c r="AU525" s="198" t="s">
        <v>3465</v>
      </c>
      <c r="AV525" s="39"/>
      <c r="AW525" s="198" t="s">
        <v>653</v>
      </c>
      <c r="AX525" s="112" t="s">
        <v>106</v>
      </c>
      <c r="AY525" s="205">
        <v>94952</v>
      </c>
      <c r="AZ525" s="198" t="s">
        <v>3464</v>
      </c>
      <c r="BA525" s="317"/>
    </row>
    <row r="526" spans="1:53" ht="14.15" customHeight="1" x14ac:dyDescent="0.4">
      <c r="A526" s="257" t="s">
        <v>3469</v>
      </c>
      <c r="B526" s="67" t="s">
        <v>98</v>
      </c>
      <c r="C526" s="225" t="s">
        <v>99</v>
      </c>
      <c r="D526" s="112"/>
      <c r="E526" s="119" t="s">
        <v>100</v>
      </c>
      <c r="F526" s="83"/>
      <c r="G526" s="209"/>
      <c r="H526" s="88" t="s">
        <v>100</v>
      </c>
      <c r="I526" s="89"/>
      <c r="J526" s="98"/>
      <c r="K526" s="101">
        <v>46022</v>
      </c>
      <c r="L526" s="329"/>
      <c r="M526" s="105"/>
      <c r="N526" s="112" t="s">
        <v>3470</v>
      </c>
      <c r="O526" s="112" t="s">
        <v>3464</v>
      </c>
      <c r="P526" s="198"/>
      <c r="Q526" s="132">
        <v>0.10249999999999999</v>
      </c>
      <c r="R526" s="132">
        <v>8.2500000000000004E-2</v>
      </c>
      <c r="S526" s="63" t="s">
        <v>653</v>
      </c>
      <c r="T526" s="198" t="s">
        <v>3471</v>
      </c>
      <c r="U526" s="198" t="s">
        <v>653</v>
      </c>
      <c r="V526" s="112" t="s">
        <v>106</v>
      </c>
      <c r="W526" s="205">
        <v>94954</v>
      </c>
      <c r="X526" s="293"/>
      <c r="Y526" s="205"/>
      <c r="Z526" s="205"/>
      <c r="AA526" s="203"/>
      <c r="AB526" s="205"/>
      <c r="AC526" s="206"/>
      <c r="AD526" s="203"/>
      <c r="AE526" s="205"/>
      <c r="AF526" s="205"/>
      <c r="AG526" s="205"/>
      <c r="AH526" s="205"/>
      <c r="AI526" s="205" t="s">
        <v>3468</v>
      </c>
      <c r="AJ526" s="135" t="s">
        <v>116</v>
      </c>
      <c r="AK526" s="318"/>
      <c r="AL526" s="290" t="s">
        <v>289</v>
      </c>
      <c r="AM526" s="290">
        <v>13305</v>
      </c>
      <c r="AN526" s="290">
        <v>15741</v>
      </c>
      <c r="AO526" s="290">
        <v>62245</v>
      </c>
      <c r="AP526" s="290"/>
      <c r="AQ526" s="290"/>
      <c r="AR526" s="290"/>
      <c r="AS526" s="207" t="s">
        <v>132</v>
      </c>
      <c r="AT526" s="116" t="s">
        <v>3463</v>
      </c>
      <c r="AU526" s="198" t="s">
        <v>3472</v>
      </c>
      <c r="AV526" s="39"/>
      <c r="AW526" s="198" t="s">
        <v>653</v>
      </c>
      <c r="AX526" s="112" t="s">
        <v>106</v>
      </c>
      <c r="AY526" s="205">
        <v>94954</v>
      </c>
      <c r="AZ526" s="198" t="s">
        <v>3464</v>
      </c>
      <c r="BA526" s="207"/>
    </row>
    <row r="527" spans="1:53" ht="14.15" customHeight="1" x14ac:dyDescent="0.4">
      <c r="A527" s="257" t="s">
        <v>3473</v>
      </c>
      <c r="B527" s="67" t="s">
        <v>98</v>
      </c>
      <c r="C527" s="68" t="s">
        <v>99</v>
      </c>
      <c r="E527" s="120" t="s">
        <v>100</v>
      </c>
      <c r="F527" s="82"/>
      <c r="G527" s="84"/>
      <c r="H527" s="90" t="s">
        <v>100</v>
      </c>
      <c r="I527" s="91"/>
      <c r="J527" s="97"/>
      <c r="K527" s="102">
        <v>45084</v>
      </c>
      <c r="L527" s="327"/>
      <c r="M527" s="106"/>
      <c r="N527" s="128" t="s">
        <v>3474</v>
      </c>
      <c r="O527" s="128" t="s">
        <v>3475</v>
      </c>
      <c r="Q527" s="132">
        <v>8.6249999999999993E-2</v>
      </c>
      <c r="S527" s="63" t="s">
        <v>103</v>
      </c>
      <c r="T527" s="67" t="s">
        <v>3476</v>
      </c>
      <c r="U527" s="67" t="s">
        <v>3477</v>
      </c>
      <c r="V527" s="79" t="s">
        <v>3478</v>
      </c>
      <c r="W527" s="76">
        <v>94107</v>
      </c>
      <c r="X527" s="141" t="s">
        <v>3479</v>
      </c>
      <c r="Y527" s="319"/>
      <c r="AN527" s="288" t="s">
        <v>325</v>
      </c>
      <c r="AO527" s="288">
        <v>62245</v>
      </c>
      <c r="AS527" s="207" t="s">
        <v>132</v>
      </c>
      <c r="AT527" s="116" t="s">
        <v>532</v>
      </c>
      <c r="AU527" s="67" t="s">
        <v>3476</v>
      </c>
      <c r="AW527" s="67" t="s">
        <v>105</v>
      </c>
      <c r="AX527" s="79" t="s">
        <v>106</v>
      </c>
      <c r="AY527" s="76">
        <v>94107</v>
      </c>
      <c r="AZ527" s="128" t="s">
        <v>3475</v>
      </c>
      <c r="BA527" s="167"/>
    </row>
    <row r="528" spans="1:53" ht="14.15" customHeight="1" x14ac:dyDescent="0.4">
      <c r="A528" s="257" t="s">
        <v>3480</v>
      </c>
      <c r="B528" s="67" t="s">
        <v>98</v>
      </c>
      <c r="C528" s="68" t="s">
        <v>99</v>
      </c>
      <c r="E528" s="120" t="s">
        <v>100</v>
      </c>
      <c r="F528" s="82"/>
      <c r="G528" s="84"/>
      <c r="H528" s="90" t="s">
        <v>100</v>
      </c>
      <c r="I528" s="91"/>
      <c r="J528" s="97"/>
      <c r="K528" s="102">
        <v>45994</v>
      </c>
      <c r="L528" s="327"/>
      <c r="M528" s="106"/>
      <c r="N528" s="128" t="s">
        <v>3474</v>
      </c>
      <c r="O528" s="128" t="s">
        <v>3475</v>
      </c>
      <c r="Q528" s="131">
        <v>8.6249999999999993E-2</v>
      </c>
      <c r="S528" s="63" t="s">
        <v>103</v>
      </c>
      <c r="T528" s="67" t="s">
        <v>3481</v>
      </c>
      <c r="U528" s="67" t="s">
        <v>105</v>
      </c>
      <c r="V528" s="79" t="s">
        <v>106</v>
      </c>
      <c r="W528" s="76">
        <v>94108</v>
      </c>
      <c r="X528" s="339"/>
      <c r="Y528" s="319"/>
      <c r="AL528" s="287" t="s">
        <v>251</v>
      </c>
      <c r="AM528" s="288">
        <v>13305</v>
      </c>
      <c r="AO528" s="288">
        <v>62245</v>
      </c>
      <c r="AS528" s="207"/>
      <c r="AT528" s="116" t="s">
        <v>399</v>
      </c>
      <c r="AU528" s="67" t="s">
        <v>3481</v>
      </c>
      <c r="AW528" s="67" t="s">
        <v>105</v>
      </c>
      <c r="AX528" s="79" t="s">
        <v>106</v>
      </c>
      <c r="AY528" s="76">
        <v>94108</v>
      </c>
      <c r="AZ528" s="128" t="s">
        <v>3475</v>
      </c>
      <c r="BA528" s="167"/>
    </row>
    <row r="529" spans="1:53" ht="14.15" customHeight="1" x14ac:dyDescent="0.4">
      <c r="A529" s="257" t="s">
        <v>3482</v>
      </c>
      <c r="B529" s="67" t="s">
        <v>98</v>
      </c>
      <c r="C529" s="224" t="s">
        <v>99</v>
      </c>
      <c r="D529" s="113"/>
      <c r="E529" s="120" t="s">
        <v>100</v>
      </c>
      <c r="F529" s="82"/>
      <c r="G529" s="84"/>
      <c r="H529" s="90" t="s">
        <v>100</v>
      </c>
      <c r="I529" s="91"/>
      <c r="J529" s="97"/>
      <c r="K529" s="102">
        <v>45866</v>
      </c>
      <c r="L529" s="327"/>
      <c r="M529" s="106">
        <v>44357</v>
      </c>
      <c r="N529" s="113" t="s">
        <v>3483</v>
      </c>
      <c r="O529" s="113" t="s">
        <v>3484</v>
      </c>
      <c r="P529" s="57"/>
      <c r="Q529" s="132">
        <v>7.7499999999999999E-2</v>
      </c>
      <c r="R529" s="132">
        <v>0.08</v>
      </c>
      <c r="S529" s="63" t="s">
        <v>907</v>
      </c>
      <c r="T529" s="67" t="s">
        <v>3485</v>
      </c>
      <c r="U529" s="67" t="s">
        <v>909</v>
      </c>
      <c r="V529" s="113" t="s">
        <v>106</v>
      </c>
      <c r="W529" s="222">
        <v>94515</v>
      </c>
      <c r="X529" s="141" t="s">
        <v>3486</v>
      </c>
      <c r="Y529" s="236" t="s">
        <v>3487</v>
      </c>
      <c r="Z529" s="236"/>
      <c r="AA529" s="200"/>
      <c r="AB529" s="130"/>
      <c r="AC529" s="202"/>
      <c r="AD529" s="200"/>
      <c r="AE529" s="113"/>
      <c r="AF529" s="113"/>
      <c r="AG529" s="113"/>
      <c r="AH529" s="113"/>
      <c r="AI529" s="130"/>
      <c r="AK529" s="57"/>
      <c r="AL529" s="290" t="s">
        <v>289</v>
      </c>
      <c r="AM529" s="290">
        <v>13305</v>
      </c>
      <c r="AN529" s="290" t="s">
        <v>325</v>
      </c>
      <c r="AO529" s="290">
        <v>62245</v>
      </c>
      <c r="AP529" s="290"/>
      <c r="AQ529" s="290">
        <v>15741</v>
      </c>
      <c r="AR529" s="290"/>
      <c r="AS529" s="207" t="s">
        <v>132</v>
      </c>
      <c r="AT529" s="116" t="s">
        <v>447</v>
      </c>
      <c r="AU529" s="67" t="s">
        <v>3488</v>
      </c>
      <c r="AV529" s="251"/>
      <c r="AW529" s="67" t="s">
        <v>909</v>
      </c>
      <c r="AX529" s="113" t="s">
        <v>106</v>
      </c>
      <c r="AY529" s="222">
        <v>94515</v>
      </c>
      <c r="AZ529" s="113" t="str">
        <f>O529</f>
        <v>707-942-4400</v>
      </c>
      <c r="BA529" s="321"/>
    </row>
    <row r="530" spans="1:53" ht="14.15" customHeight="1" x14ac:dyDescent="0.25">
      <c r="A530" s="257" t="s">
        <v>3489</v>
      </c>
      <c r="B530" s="67" t="s">
        <v>98</v>
      </c>
      <c r="C530" s="68" t="s">
        <v>99</v>
      </c>
      <c r="E530" s="118" t="s">
        <v>100</v>
      </c>
      <c r="F530" s="80"/>
      <c r="G530" s="81"/>
      <c r="H530" s="87" t="s">
        <v>100</v>
      </c>
      <c r="I530" s="86"/>
      <c r="J530" s="96"/>
      <c r="K530" s="100">
        <v>45782</v>
      </c>
      <c r="L530" s="328"/>
      <c r="M530" s="104"/>
      <c r="N530" s="128" t="s">
        <v>794</v>
      </c>
      <c r="O530" s="128" t="s">
        <v>3490</v>
      </c>
      <c r="Q530" s="132">
        <v>8.6249999999999993E-2</v>
      </c>
      <c r="R530" s="132"/>
      <c r="S530" s="63" t="s">
        <v>103</v>
      </c>
      <c r="T530" s="67" t="s">
        <v>3491</v>
      </c>
      <c r="U530" s="67" t="s">
        <v>105</v>
      </c>
      <c r="V530" s="79" t="s">
        <v>106</v>
      </c>
      <c r="W530" s="76">
        <v>94103</v>
      </c>
      <c r="X530" s="141" t="s">
        <v>1658</v>
      </c>
      <c r="Y530" s="141" t="s">
        <v>1658</v>
      </c>
      <c r="AL530" s="290" t="s">
        <v>289</v>
      </c>
      <c r="AM530" s="290">
        <v>13305</v>
      </c>
      <c r="AN530" s="290"/>
      <c r="AO530" s="290">
        <v>62245</v>
      </c>
      <c r="AP530" s="290"/>
      <c r="AQ530" s="290"/>
      <c r="AR530" s="290" t="s">
        <v>3492</v>
      </c>
      <c r="AS530" s="207" t="s">
        <v>132</v>
      </c>
      <c r="AT530" s="116" t="s">
        <v>608</v>
      </c>
      <c r="AU530" s="67" t="s">
        <v>3491</v>
      </c>
      <c r="AW530" s="67" t="s">
        <v>105</v>
      </c>
      <c r="AX530" s="79" t="s">
        <v>106</v>
      </c>
      <c r="AY530" s="76">
        <v>94103</v>
      </c>
      <c r="AZ530" s="128" t="s">
        <v>3490</v>
      </c>
      <c r="BA530" s="321"/>
    </row>
    <row r="531" spans="1:53" ht="14.15" customHeight="1" x14ac:dyDescent="0.25">
      <c r="A531" s="257" t="s">
        <v>3493</v>
      </c>
      <c r="B531" s="67" t="s">
        <v>3494</v>
      </c>
      <c r="C531" s="68" t="s">
        <v>563</v>
      </c>
      <c r="D531" s="79" t="s">
        <v>3495</v>
      </c>
      <c r="E531" s="118" t="s">
        <v>100</v>
      </c>
      <c r="F531" s="80"/>
      <c r="G531" s="81"/>
      <c r="H531" s="87" t="s">
        <v>100</v>
      </c>
      <c r="I531" s="86"/>
      <c r="J531" s="96"/>
      <c r="K531" s="100">
        <v>45985</v>
      </c>
      <c r="L531" s="328"/>
      <c r="M531" s="104">
        <v>46010</v>
      </c>
      <c r="N531" s="128" t="s">
        <v>3496</v>
      </c>
      <c r="O531" s="128" t="s">
        <v>3497</v>
      </c>
      <c r="Q531" s="132">
        <v>9.7500000000000003E-2</v>
      </c>
      <c r="R531" s="132">
        <v>0.09</v>
      </c>
      <c r="S531" s="63" t="s">
        <v>1397</v>
      </c>
      <c r="T531" s="67" t="s">
        <v>3498</v>
      </c>
      <c r="U531" s="67" t="s">
        <v>3499</v>
      </c>
      <c r="V531" s="79" t="s">
        <v>106</v>
      </c>
      <c r="W531" s="76">
        <v>91770</v>
      </c>
      <c r="X531" s="141" t="s">
        <v>3500</v>
      </c>
      <c r="AA531" s="79" t="s">
        <v>3501</v>
      </c>
      <c r="AB531" s="135" t="s">
        <v>3502</v>
      </c>
      <c r="AC531" s="136" t="s">
        <v>3503</v>
      </c>
      <c r="AI531" s="135" t="s">
        <v>3504</v>
      </c>
      <c r="AJ531" s="135" t="s">
        <v>3505</v>
      </c>
      <c r="AL531" s="290"/>
      <c r="AM531" s="290"/>
      <c r="AN531" s="290"/>
      <c r="AO531" s="290"/>
      <c r="AP531" s="290"/>
      <c r="AQ531" s="290"/>
      <c r="AR531" s="346"/>
      <c r="AS531" s="207" t="s">
        <v>132</v>
      </c>
      <c r="AT531" s="116" t="s">
        <v>608</v>
      </c>
      <c r="AU531" s="67" t="s">
        <v>3498</v>
      </c>
      <c r="AW531" s="67" t="s">
        <v>3499</v>
      </c>
      <c r="AX531" s="79" t="s">
        <v>106</v>
      </c>
      <c r="AY531" s="76">
        <v>91770</v>
      </c>
      <c r="AZ531" s="128" t="s">
        <v>3506</v>
      </c>
      <c r="BA531" s="321"/>
    </row>
    <row r="532" spans="1:53" ht="14.15" customHeight="1" x14ac:dyDescent="0.4">
      <c r="A532" s="257" t="s">
        <v>3507</v>
      </c>
      <c r="B532" s="67" t="s">
        <v>125</v>
      </c>
      <c r="C532" s="224" t="s">
        <v>99</v>
      </c>
      <c r="D532" s="79" t="s">
        <v>3508</v>
      </c>
      <c r="E532" s="120" t="s">
        <v>100</v>
      </c>
      <c r="F532" s="82"/>
      <c r="G532" s="84"/>
      <c r="H532" s="90" t="s">
        <v>100</v>
      </c>
      <c r="I532" s="91"/>
      <c r="J532" s="97"/>
      <c r="K532" s="102">
        <v>43836</v>
      </c>
      <c r="L532" s="327"/>
      <c r="M532" s="106"/>
      <c r="N532" s="113" t="s">
        <v>3509</v>
      </c>
      <c r="O532" s="113" t="s">
        <v>3510</v>
      </c>
      <c r="P532" s="57"/>
      <c r="Q532" s="132">
        <v>8.6249999999999993E-2</v>
      </c>
      <c r="R532" s="132">
        <v>8.7499999999999994E-2</v>
      </c>
      <c r="S532" s="63" t="s">
        <v>103</v>
      </c>
      <c r="T532" s="67" t="s">
        <v>3511</v>
      </c>
      <c r="U532" s="67" t="s">
        <v>105</v>
      </c>
      <c r="V532" s="113" t="s">
        <v>106</v>
      </c>
      <c r="W532" s="222">
        <v>94105</v>
      </c>
      <c r="X532" s="141" t="s">
        <v>3512</v>
      </c>
      <c r="Y532" s="139" t="s">
        <v>3512</v>
      </c>
      <c r="Z532" s="236"/>
      <c r="AA532" s="200"/>
      <c r="AB532" s="130"/>
      <c r="AC532" s="202"/>
      <c r="AD532" s="200"/>
      <c r="AE532" s="113"/>
      <c r="AF532" s="113"/>
      <c r="AG532" s="113"/>
      <c r="AH532" s="113"/>
      <c r="AI532" s="130" t="s">
        <v>3513</v>
      </c>
      <c r="AJ532" s="135" t="s">
        <v>116</v>
      </c>
      <c r="AK532" s="57"/>
      <c r="AL532" s="287" t="s">
        <v>149</v>
      </c>
      <c r="AM532" s="288">
        <v>44150</v>
      </c>
      <c r="AS532" s="207" t="s">
        <v>132</v>
      </c>
      <c r="AT532" s="116" t="s">
        <v>608</v>
      </c>
      <c r="AU532" s="67" t="s">
        <v>3511</v>
      </c>
      <c r="AV532" s="251"/>
      <c r="AW532" s="67" t="s">
        <v>105</v>
      </c>
      <c r="AX532" s="113" t="s">
        <v>106</v>
      </c>
      <c r="AY532" s="222">
        <v>94105</v>
      </c>
      <c r="AZ532" s="113" t="s">
        <v>3510</v>
      </c>
      <c r="BA532" s="167"/>
    </row>
    <row r="533" spans="1:53" ht="14.15" customHeight="1" x14ac:dyDescent="0.25">
      <c r="A533" s="257" t="s">
        <v>3514</v>
      </c>
      <c r="B533" s="67" t="s">
        <v>125</v>
      </c>
      <c r="C533" s="68" t="s">
        <v>563</v>
      </c>
      <c r="D533" s="79" t="s">
        <v>3515</v>
      </c>
      <c r="E533" s="118" t="s">
        <v>100</v>
      </c>
      <c r="F533" s="80"/>
      <c r="G533" s="81"/>
      <c r="H533" s="87" t="s">
        <v>100</v>
      </c>
      <c r="I533" s="86"/>
      <c r="J533" s="96"/>
      <c r="K533" s="100">
        <v>45293</v>
      </c>
      <c r="L533" s="328"/>
      <c r="M533" s="104">
        <v>43763</v>
      </c>
      <c r="N533" s="128" t="s">
        <v>3516</v>
      </c>
      <c r="O533" s="128" t="s">
        <v>3517</v>
      </c>
      <c r="Q533" s="132">
        <v>8.2500000000000004E-2</v>
      </c>
      <c r="R533" s="132">
        <v>8.5000000000000006E-2</v>
      </c>
      <c r="S533" s="63" t="s">
        <v>759</v>
      </c>
      <c r="T533" s="67" t="s">
        <v>3518</v>
      </c>
      <c r="U533" s="67" t="s">
        <v>3519</v>
      </c>
      <c r="V533" s="79" t="s">
        <v>106</v>
      </c>
      <c r="W533" s="76">
        <v>94933</v>
      </c>
      <c r="X533" s="141"/>
      <c r="AA533" s="79" t="s">
        <v>3520</v>
      </c>
      <c r="AL533" s="290">
        <v>15157</v>
      </c>
      <c r="AM533" s="290"/>
      <c r="AN533" s="290"/>
      <c r="AO533" s="290"/>
      <c r="AP533" s="290"/>
      <c r="AQ533" s="290"/>
      <c r="AR533" s="290"/>
      <c r="AS533" s="207" t="s">
        <v>132</v>
      </c>
      <c r="AT533" s="116" t="s">
        <v>608</v>
      </c>
      <c r="AU533" s="67" t="str">
        <f>T533</f>
        <v>1 Castro Avenue</v>
      </c>
      <c r="AW533" s="67" t="s">
        <v>3519</v>
      </c>
      <c r="AX533" s="79" t="s">
        <v>106</v>
      </c>
      <c r="AY533" s="76">
        <v>94933</v>
      </c>
      <c r="AZ533" s="77" t="s">
        <v>3517</v>
      </c>
      <c r="BA533" s="317"/>
    </row>
    <row r="534" spans="1:53" ht="14.15" customHeight="1" x14ac:dyDescent="0.25">
      <c r="A534" s="257" t="s">
        <v>3521</v>
      </c>
      <c r="B534" s="67" t="s">
        <v>98</v>
      </c>
      <c r="C534" s="68" t="s">
        <v>563</v>
      </c>
      <c r="E534" s="118" t="s">
        <v>100</v>
      </c>
      <c r="F534" s="80"/>
      <c r="G534" s="81"/>
      <c r="H534" s="87" t="s">
        <v>100</v>
      </c>
      <c r="I534" s="86"/>
      <c r="J534" s="96"/>
      <c r="K534" s="100">
        <v>45917</v>
      </c>
      <c r="L534" s="328"/>
      <c r="M534" s="104"/>
      <c r="N534" s="128" t="s">
        <v>2135</v>
      </c>
      <c r="O534" s="128" t="s">
        <v>3522</v>
      </c>
      <c r="Q534" s="132">
        <v>0.10249999999999999</v>
      </c>
      <c r="R534" s="132"/>
      <c r="S534" s="63" t="s">
        <v>113</v>
      </c>
      <c r="T534" s="67" t="s">
        <v>3523</v>
      </c>
      <c r="U534" s="67" t="s">
        <v>115</v>
      </c>
      <c r="V534" s="79" t="s">
        <v>106</v>
      </c>
      <c r="W534" s="76">
        <v>94608</v>
      </c>
      <c r="X534" s="141" t="s">
        <v>1423</v>
      </c>
      <c r="Y534" s="139" t="s">
        <v>1423</v>
      </c>
      <c r="Z534" s="226" t="s">
        <v>1423</v>
      </c>
      <c r="AL534" s="287" t="s">
        <v>149</v>
      </c>
      <c r="AM534" s="288">
        <v>13305</v>
      </c>
      <c r="AO534" s="288">
        <v>62245</v>
      </c>
      <c r="AS534" s="207" t="s">
        <v>132</v>
      </c>
      <c r="AT534" s="116" t="s">
        <v>608</v>
      </c>
      <c r="AU534" s="67" t="s">
        <v>3523</v>
      </c>
      <c r="AW534" s="67" t="s">
        <v>115</v>
      </c>
      <c r="AX534" s="79" t="s">
        <v>106</v>
      </c>
      <c r="AY534" s="76">
        <v>94608</v>
      </c>
      <c r="AZ534" s="77" t="s">
        <v>3522</v>
      </c>
      <c r="BA534" s="317"/>
    </row>
    <row r="535" spans="1:53" ht="14.15" customHeight="1" x14ac:dyDescent="0.4">
      <c r="A535" s="257" t="s">
        <v>3524</v>
      </c>
      <c r="B535" s="67" t="s">
        <v>125</v>
      </c>
      <c r="C535" s="224" t="s">
        <v>563</v>
      </c>
      <c r="D535" s="113" t="s">
        <v>3525</v>
      </c>
      <c r="E535" s="120" t="s">
        <v>100</v>
      </c>
      <c r="F535" s="82"/>
      <c r="G535" s="84"/>
      <c r="H535" s="90" t="s">
        <v>100</v>
      </c>
      <c r="I535" s="91"/>
      <c r="J535" s="97"/>
      <c r="K535" s="102">
        <v>44200</v>
      </c>
      <c r="L535" s="327"/>
      <c r="M535" s="106">
        <v>44160</v>
      </c>
      <c r="N535" s="113" t="s">
        <v>3526</v>
      </c>
      <c r="O535" s="113" t="s">
        <v>3527</v>
      </c>
      <c r="P535" s="57"/>
      <c r="Q535" s="132">
        <v>0.09</v>
      </c>
      <c r="R535" s="132"/>
      <c r="S535" s="63" t="s">
        <v>734</v>
      </c>
      <c r="T535" s="67" t="s">
        <v>3528</v>
      </c>
      <c r="U535" s="67" t="s">
        <v>701</v>
      </c>
      <c r="V535" s="113" t="s">
        <v>106</v>
      </c>
      <c r="W535" s="222">
        <v>94925</v>
      </c>
      <c r="Z535" s="236"/>
      <c r="AA535" s="200"/>
      <c r="AB535" s="130"/>
      <c r="AC535" s="202"/>
      <c r="AD535" s="200"/>
      <c r="AE535" s="113"/>
      <c r="AF535" s="113"/>
      <c r="AG535" s="113"/>
      <c r="AH535" s="113"/>
      <c r="AI535" s="130"/>
      <c r="AK535" s="57"/>
      <c r="AL535" s="290" t="s">
        <v>289</v>
      </c>
      <c r="AM535" s="290">
        <v>15303</v>
      </c>
      <c r="AN535" s="290"/>
      <c r="AO535" s="290"/>
      <c r="AP535" s="290"/>
      <c r="AQ535" s="290"/>
      <c r="AR535" s="290"/>
      <c r="AS535" s="207" t="s">
        <v>132</v>
      </c>
      <c r="AT535" s="116" t="s">
        <v>608</v>
      </c>
      <c r="AU535" s="67" t="s">
        <v>3529</v>
      </c>
      <c r="AV535" s="251"/>
      <c r="AW535" s="67" t="s">
        <v>701</v>
      </c>
      <c r="AX535" s="113" t="s">
        <v>106</v>
      </c>
      <c r="AY535" s="222">
        <v>94925</v>
      </c>
      <c r="AZ535" s="199" t="s">
        <v>3527</v>
      </c>
      <c r="BA535" s="317"/>
    </row>
    <row r="536" spans="1:53" ht="14.15" customHeight="1" x14ac:dyDescent="0.25">
      <c r="A536" s="257" t="s">
        <v>3530</v>
      </c>
      <c r="B536" s="67" t="s">
        <v>125</v>
      </c>
      <c r="C536" s="68" t="s">
        <v>99</v>
      </c>
      <c r="D536" s="79" t="s">
        <v>884</v>
      </c>
      <c r="E536" s="118" t="s">
        <v>100</v>
      </c>
      <c r="F536" s="80"/>
      <c r="G536" s="81"/>
      <c r="H536" s="87" t="s">
        <v>100</v>
      </c>
      <c r="I536" s="86"/>
      <c r="J536" s="96"/>
      <c r="K536" s="100"/>
      <c r="L536" s="328"/>
      <c r="M536" s="104">
        <v>46007</v>
      </c>
      <c r="N536" s="128" t="s">
        <v>3531</v>
      </c>
      <c r="O536" s="128" t="s">
        <v>3532</v>
      </c>
      <c r="Q536" s="132">
        <v>9.2499999999999999E-2</v>
      </c>
      <c r="R536" s="132">
        <v>8.2500000000000004E-2</v>
      </c>
      <c r="S536" s="63" t="s">
        <v>262</v>
      </c>
      <c r="T536" s="67" t="s">
        <v>3533</v>
      </c>
      <c r="U536" s="67" t="s">
        <v>3534</v>
      </c>
      <c r="V536" s="79" t="s">
        <v>106</v>
      </c>
      <c r="W536" s="76">
        <v>95416</v>
      </c>
      <c r="X536" s="141" t="s">
        <v>3535</v>
      </c>
      <c r="AL536" s="287">
        <v>15157</v>
      </c>
      <c r="AS536" s="207" t="s">
        <v>132</v>
      </c>
      <c r="AT536" s="116" t="s">
        <v>608</v>
      </c>
      <c r="AU536" s="67" t="str">
        <f>T536</f>
        <v>17800 Sonoma Hwy</v>
      </c>
      <c r="AW536" s="67" t="s">
        <v>3534</v>
      </c>
      <c r="AX536" s="79" t="s">
        <v>106</v>
      </c>
      <c r="AY536" s="76">
        <v>95416</v>
      </c>
      <c r="AZ536" s="77" t="str">
        <f>O536</f>
        <v>707-996-1008</v>
      </c>
      <c r="BA536" s="317"/>
    </row>
    <row r="537" spans="1:53" ht="14.15" customHeight="1" x14ac:dyDescent="0.4">
      <c r="A537" s="257" t="s">
        <v>3536</v>
      </c>
      <c r="B537" s="67" t="s">
        <v>98</v>
      </c>
      <c r="C537" s="224" t="s">
        <v>563</v>
      </c>
      <c r="D537" s="113"/>
      <c r="E537" s="120" t="s">
        <v>100</v>
      </c>
      <c r="F537" s="82"/>
      <c r="G537" s="84"/>
      <c r="H537" s="90" t="s">
        <v>100</v>
      </c>
      <c r="I537" s="91"/>
      <c r="J537" s="97"/>
      <c r="K537" s="102">
        <v>45903</v>
      </c>
      <c r="L537" s="327"/>
      <c r="M537" s="106"/>
      <c r="N537" s="113" t="s">
        <v>3537</v>
      </c>
      <c r="O537" s="113" t="s">
        <v>3538</v>
      </c>
      <c r="P537" s="57"/>
      <c r="Q537" s="132">
        <v>9.2499999999999999E-2</v>
      </c>
      <c r="R537" s="132">
        <v>9.2499999999999999E-2</v>
      </c>
      <c r="S537" s="63" t="s">
        <v>226</v>
      </c>
      <c r="T537" s="67" t="s">
        <v>3539</v>
      </c>
      <c r="U537" s="67" t="s">
        <v>228</v>
      </c>
      <c r="V537" s="113" t="s">
        <v>106</v>
      </c>
      <c r="W537" s="222">
        <v>94901</v>
      </c>
      <c r="X537" s="139" t="s">
        <v>3540</v>
      </c>
      <c r="Y537" s="139" t="s">
        <v>3540</v>
      </c>
      <c r="Z537" s="139" t="s">
        <v>3540</v>
      </c>
      <c r="AA537" s="200"/>
      <c r="AB537" s="130"/>
      <c r="AC537" s="202"/>
      <c r="AD537" s="200"/>
      <c r="AE537" s="113"/>
      <c r="AF537" s="113"/>
      <c r="AG537" s="113"/>
      <c r="AH537" s="113"/>
      <c r="AI537" s="130"/>
      <c r="AK537" s="57"/>
      <c r="AL537" s="287" t="s">
        <v>149</v>
      </c>
      <c r="AM537" s="288">
        <v>15741</v>
      </c>
      <c r="AN537" s="288">
        <v>13305</v>
      </c>
      <c r="AO537" s="288">
        <v>62245</v>
      </c>
      <c r="AS537" s="207" t="s">
        <v>3541</v>
      </c>
      <c r="AT537" s="116" t="s">
        <v>3542</v>
      </c>
      <c r="AU537" s="67" t="s">
        <v>3543</v>
      </c>
      <c r="AV537" s="251"/>
      <c r="AW537" s="67" t="s">
        <v>3544</v>
      </c>
      <c r="AX537" s="113" t="s">
        <v>3545</v>
      </c>
      <c r="AY537" s="222">
        <v>46242</v>
      </c>
      <c r="AZ537" s="199" t="s">
        <v>3538</v>
      </c>
    </row>
    <row r="538" spans="1:53" ht="14.15" customHeight="1" x14ac:dyDescent="0.4">
      <c r="A538" s="257" t="s">
        <v>3546</v>
      </c>
      <c r="B538" s="67" t="s">
        <v>98</v>
      </c>
      <c r="C538" s="224" t="s">
        <v>119</v>
      </c>
      <c r="D538" s="113"/>
      <c r="E538" s="120" t="s">
        <v>100</v>
      </c>
      <c r="F538" s="82"/>
      <c r="G538" s="84"/>
      <c r="H538" s="90" t="s">
        <v>100</v>
      </c>
      <c r="I538" s="91" t="s">
        <v>0</v>
      </c>
      <c r="J538" s="97" t="s">
        <v>0</v>
      </c>
      <c r="K538" s="102"/>
      <c r="L538" s="327"/>
      <c r="M538" s="106">
        <v>44286</v>
      </c>
      <c r="N538" s="113" t="s">
        <v>3547</v>
      </c>
      <c r="O538" s="113" t="s">
        <v>3548</v>
      </c>
      <c r="P538" s="57" t="s">
        <v>3549</v>
      </c>
      <c r="Q538" s="132">
        <v>0.1075</v>
      </c>
      <c r="R538" s="132">
        <v>0.1</v>
      </c>
      <c r="S538" s="63" t="s">
        <v>2279</v>
      </c>
      <c r="T538" s="67" t="s">
        <v>3550</v>
      </c>
      <c r="U538" s="67" t="s">
        <v>1274</v>
      </c>
      <c r="V538" s="113" t="s">
        <v>106</v>
      </c>
      <c r="W538" s="222">
        <v>94577</v>
      </c>
      <c r="X538" s="141" t="s">
        <v>3551</v>
      </c>
      <c r="Y538" s="319"/>
      <c r="Z538" s="236"/>
      <c r="AA538" s="200" t="s">
        <v>3552</v>
      </c>
      <c r="AB538" s="130"/>
      <c r="AC538" s="202"/>
      <c r="AD538" s="200"/>
      <c r="AE538" s="113"/>
      <c r="AF538" s="113"/>
      <c r="AG538" s="113"/>
      <c r="AH538" s="113"/>
      <c r="AI538" s="130"/>
      <c r="AK538" s="57"/>
      <c r="AL538" s="290"/>
      <c r="AM538" s="290"/>
      <c r="AN538" s="290"/>
      <c r="AO538" s="290"/>
      <c r="AP538" s="290"/>
      <c r="AQ538" s="290"/>
      <c r="AR538" s="290"/>
      <c r="AS538" s="207" t="s">
        <v>132</v>
      </c>
      <c r="AT538" s="116" t="s">
        <v>132</v>
      </c>
      <c r="AU538" s="67" t="s">
        <v>3550</v>
      </c>
      <c r="AV538" s="251"/>
      <c r="AW538" s="67" t="s">
        <v>1274</v>
      </c>
      <c r="AX538" s="113" t="s">
        <v>106</v>
      </c>
      <c r="AY538" s="222">
        <v>94577</v>
      </c>
      <c r="AZ538" s="199" t="s">
        <v>3548</v>
      </c>
      <c r="BA538" s="317"/>
    </row>
    <row r="539" spans="1:53" ht="15" customHeight="1" x14ac:dyDescent="0.4">
      <c r="A539" s="257" t="s">
        <v>3553</v>
      </c>
      <c r="B539" s="67" t="s">
        <v>434</v>
      </c>
      <c r="C539" s="224" t="s">
        <v>435</v>
      </c>
      <c r="D539" s="113"/>
      <c r="E539" s="120" t="s">
        <v>173</v>
      </c>
      <c r="F539" s="82" t="s">
        <v>174</v>
      </c>
      <c r="G539" s="84"/>
      <c r="H539" s="90" t="s">
        <v>100</v>
      </c>
      <c r="I539" s="91"/>
      <c r="J539" s="97"/>
      <c r="K539" s="102">
        <v>45251</v>
      </c>
      <c r="L539" s="327"/>
      <c r="M539" s="106">
        <v>44508</v>
      </c>
      <c r="N539" s="113" t="s">
        <v>3554</v>
      </c>
      <c r="O539" s="113" t="s">
        <v>3555</v>
      </c>
      <c r="P539" s="57" t="s">
        <v>3556</v>
      </c>
      <c r="Q539" s="132">
        <v>8.7499999999999994E-2</v>
      </c>
      <c r="R539" s="132"/>
      <c r="S539" s="63" t="s">
        <v>439</v>
      </c>
      <c r="T539" s="67" t="s">
        <v>3557</v>
      </c>
      <c r="U539" s="67" t="s">
        <v>439</v>
      </c>
      <c r="V539" s="113" t="s">
        <v>106</v>
      </c>
      <c r="W539" s="222">
        <v>92507</v>
      </c>
      <c r="X539" s="139" t="s">
        <v>3558</v>
      </c>
      <c r="Y539" s="139" t="s">
        <v>3558</v>
      </c>
      <c r="Z539" s="139" t="s">
        <v>3558</v>
      </c>
      <c r="AA539" s="200"/>
      <c r="AB539" s="130"/>
      <c r="AC539" s="202"/>
      <c r="AD539" s="200"/>
      <c r="AE539" s="113"/>
      <c r="AF539" s="113"/>
      <c r="AG539" s="113"/>
      <c r="AH539" s="113"/>
      <c r="AI539" s="130"/>
      <c r="AK539" s="57"/>
      <c r="AL539" s="290" t="s">
        <v>289</v>
      </c>
      <c r="AM539" s="290">
        <v>13305</v>
      </c>
      <c r="AN539" s="290"/>
      <c r="AO539" s="290">
        <v>62245</v>
      </c>
      <c r="AP539" s="290"/>
      <c r="AQ539" s="290"/>
      <c r="AR539" s="290"/>
      <c r="AS539" s="207" t="s">
        <v>132</v>
      </c>
      <c r="AT539" s="116" t="s">
        <v>132</v>
      </c>
      <c r="AU539" s="67" t="s">
        <v>3559</v>
      </c>
      <c r="AV539" s="251"/>
      <c r="AW539" s="67" t="s">
        <v>439</v>
      </c>
      <c r="AX539" s="113" t="s">
        <v>106</v>
      </c>
      <c r="AY539" s="222">
        <v>92507</v>
      </c>
      <c r="AZ539" s="199" t="s">
        <v>3555</v>
      </c>
      <c r="BA539" s="317"/>
    </row>
    <row r="540" spans="1:53" ht="14.15" customHeight="1" x14ac:dyDescent="0.4">
      <c r="A540" s="257" t="s">
        <v>3560</v>
      </c>
      <c r="B540" s="67" t="s">
        <v>244</v>
      </c>
      <c r="C540" s="224" t="s">
        <v>435</v>
      </c>
      <c r="D540" s="145"/>
      <c r="E540" s="120" t="s">
        <v>173</v>
      </c>
      <c r="F540" s="82" t="s">
        <v>174</v>
      </c>
      <c r="G540" s="84"/>
      <c r="H540" s="90"/>
      <c r="I540" s="91"/>
      <c r="J540" s="97"/>
      <c r="K540" s="102">
        <v>44258</v>
      </c>
      <c r="L540" s="327"/>
      <c r="M540" s="106">
        <v>43871</v>
      </c>
      <c r="N540" s="113" t="s">
        <v>3561</v>
      </c>
      <c r="O540" s="113" t="s">
        <v>3555</v>
      </c>
      <c r="P540" s="57" t="s">
        <v>3562</v>
      </c>
      <c r="Q540" s="132">
        <v>8.7499999999999994E-2</v>
      </c>
      <c r="R540" s="132">
        <v>8.7499999999999994E-2</v>
      </c>
      <c r="S540" s="63" t="s">
        <v>439</v>
      </c>
      <c r="T540" s="67" t="s">
        <v>3563</v>
      </c>
      <c r="U540" s="67" t="s">
        <v>439</v>
      </c>
      <c r="V540" s="113" t="s">
        <v>106</v>
      </c>
      <c r="W540" s="222">
        <v>92506</v>
      </c>
      <c r="X540" s="141" t="s">
        <v>3564</v>
      </c>
      <c r="Z540" s="236"/>
      <c r="AA540" s="200" t="s">
        <v>307</v>
      </c>
      <c r="AB540" s="130"/>
      <c r="AC540" s="202" t="s">
        <v>1602</v>
      </c>
      <c r="AD540" s="200"/>
      <c r="AE540" s="113"/>
      <c r="AF540" s="113"/>
      <c r="AG540" s="113"/>
      <c r="AH540" s="113"/>
      <c r="AI540" s="130"/>
      <c r="AK540" s="57"/>
      <c r="AL540" s="289" t="s">
        <v>149</v>
      </c>
      <c r="AM540" s="289">
        <v>13305</v>
      </c>
      <c r="AN540" s="289" t="s">
        <v>3565</v>
      </c>
      <c r="AO540" s="289">
        <v>62245</v>
      </c>
      <c r="AP540" s="289"/>
      <c r="AQ540" s="289"/>
      <c r="AR540" s="289"/>
      <c r="AS540" s="207" t="s">
        <v>132</v>
      </c>
      <c r="AT540" s="116" t="s">
        <v>132</v>
      </c>
      <c r="AU540" s="67" t="s">
        <v>3563</v>
      </c>
      <c r="AV540" s="251"/>
      <c r="AW540" s="67" t="s">
        <v>439</v>
      </c>
      <c r="AX540" s="113" t="s">
        <v>106</v>
      </c>
      <c r="AY540" s="222">
        <v>92506</v>
      </c>
      <c r="AZ540" s="199" t="s">
        <v>3555</v>
      </c>
      <c r="BA540" s="207"/>
    </row>
    <row r="541" spans="1:53" ht="14.15" customHeight="1" x14ac:dyDescent="0.4">
      <c r="A541" s="257" t="s">
        <v>3566</v>
      </c>
      <c r="B541" s="67" t="s">
        <v>98</v>
      </c>
      <c r="C541" s="224" t="s">
        <v>3567</v>
      </c>
      <c r="E541" s="120" t="s">
        <v>100</v>
      </c>
      <c r="F541" s="82"/>
      <c r="G541" s="84"/>
      <c r="H541" s="90" t="s">
        <v>100</v>
      </c>
      <c r="I541" s="91"/>
      <c r="J541" s="97"/>
      <c r="K541" s="102">
        <v>45875</v>
      </c>
      <c r="L541" s="327"/>
      <c r="M541" s="106"/>
      <c r="N541" s="113" t="s">
        <v>3568</v>
      </c>
      <c r="O541" s="113" t="s">
        <v>3569</v>
      </c>
      <c r="P541" s="57"/>
      <c r="Q541" s="132">
        <v>0.10249999999999999</v>
      </c>
      <c r="R541" s="132"/>
      <c r="S541" s="63" t="s">
        <v>113</v>
      </c>
      <c r="T541" s="67" t="s">
        <v>3570</v>
      </c>
      <c r="U541" s="67" t="s">
        <v>115</v>
      </c>
      <c r="V541" s="113" t="s">
        <v>106</v>
      </c>
      <c r="W541" s="222">
        <v>94611</v>
      </c>
      <c r="X541" s="141" t="s">
        <v>3571</v>
      </c>
      <c r="Y541" s="139" t="s">
        <v>3572</v>
      </c>
      <c r="Z541" s="139" t="s">
        <v>3572</v>
      </c>
      <c r="AA541" s="200" t="s">
        <v>3573</v>
      </c>
      <c r="AB541" s="130"/>
      <c r="AC541" s="202"/>
      <c r="AD541" s="200"/>
      <c r="AE541" s="113"/>
      <c r="AF541" s="113"/>
      <c r="AG541" s="113"/>
      <c r="AH541" s="113"/>
      <c r="AI541" s="130"/>
      <c r="AK541" s="57"/>
      <c r="AL541" s="289">
        <v>54230</v>
      </c>
      <c r="AM541" s="289" t="s">
        <v>257</v>
      </c>
      <c r="AN541" s="289">
        <v>13305</v>
      </c>
      <c r="AO541" s="289">
        <v>62245</v>
      </c>
      <c r="AP541" s="289"/>
      <c r="AQ541" s="289"/>
      <c r="AR541" s="289"/>
      <c r="AS541" s="207" t="s">
        <v>132</v>
      </c>
      <c r="AT541" s="116" t="s">
        <v>132</v>
      </c>
      <c r="AU541" s="67" t="s">
        <v>3570</v>
      </c>
      <c r="AV541" s="251"/>
      <c r="AW541" s="67" t="s">
        <v>115</v>
      </c>
      <c r="AX541" s="113" t="s">
        <v>106</v>
      </c>
      <c r="AY541" s="222">
        <v>94611</v>
      </c>
      <c r="AZ541" s="199" t="s">
        <v>3574</v>
      </c>
      <c r="BA541" s="207"/>
    </row>
    <row r="542" spans="1:53" ht="14.15" customHeight="1" x14ac:dyDescent="0.4">
      <c r="A542" s="257" t="s">
        <v>3575</v>
      </c>
      <c r="B542" s="67" t="s">
        <v>125</v>
      </c>
      <c r="C542" s="224" t="s">
        <v>99</v>
      </c>
      <c r="D542" s="79" t="s">
        <v>3576</v>
      </c>
      <c r="E542" s="120" t="s">
        <v>100</v>
      </c>
      <c r="F542" s="82"/>
      <c r="G542" s="84"/>
      <c r="H542" s="90" t="s">
        <v>100</v>
      </c>
      <c r="I542" s="91"/>
      <c r="J542" s="97"/>
      <c r="K542" s="102">
        <v>44418</v>
      </c>
      <c r="L542" s="327"/>
      <c r="M542" s="106">
        <v>43095</v>
      </c>
      <c r="N542" s="113" t="s">
        <v>1351</v>
      </c>
      <c r="O542" s="113" t="s">
        <v>3577</v>
      </c>
      <c r="P542" s="57"/>
      <c r="Q542" s="132">
        <v>8.6249999999999993E-2</v>
      </c>
      <c r="R542" s="132"/>
      <c r="S542" s="63" t="s">
        <v>103</v>
      </c>
      <c r="T542" s="67" t="s">
        <v>3578</v>
      </c>
      <c r="U542" s="67" t="s">
        <v>105</v>
      </c>
      <c r="V542" s="113" t="s">
        <v>106</v>
      </c>
      <c r="W542" s="222">
        <v>94109</v>
      </c>
      <c r="X542" s="141"/>
      <c r="Z542" s="236"/>
      <c r="AA542" s="200"/>
      <c r="AB542" s="130"/>
      <c r="AC542" s="202"/>
      <c r="AD542" s="200"/>
      <c r="AE542" s="113"/>
      <c r="AF542" s="113"/>
      <c r="AG542" s="113"/>
      <c r="AH542" s="113"/>
      <c r="AI542" s="130" t="s">
        <v>3579</v>
      </c>
      <c r="AK542" s="57"/>
      <c r="AL542" s="289">
        <v>63438</v>
      </c>
      <c r="AM542" s="289">
        <v>15149</v>
      </c>
      <c r="AN542" s="289"/>
      <c r="AO542" s="289">
        <v>62285</v>
      </c>
      <c r="AP542" s="289"/>
      <c r="AQ542" s="289"/>
      <c r="AR542" s="289"/>
      <c r="AS542" s="207" t="s">
        <v>132</v>
      </c>
      <c r="AT542" s="116" t="s">
        <v>132</v>
      </c>
      <c r="AU542" s="67" t="s">
        <v>3578</v>
      </c>
      <c r="AV542" s="251"/>
      <c r="AW542" s="67" t="s">
        <v>105</v>
      </c>
      <c r="AX542" s="113" t="s">
        <v>106</v>
      </c>
      <c r="AY542" s="222">
        <v>94109</v>
      </c>
      <c r="AZ542" s="199" t="s">
        <v>3577</v>
      </c>
      <c r="BA542" s="207"/>
    </row>
    <row r="543" spans="1:53" ht="14.15" customHeight="1" x14ac:dyDescent="0.4">
      <c r="A543" s="257" t="s">
        <v>3580</v>
      </c>
      <c r="B543" s="67" t="s">
        <v>118</v>
      </c>
      <c r="C543" s="225" t="s">
        <v>109</v>
      </c>
      <c r="D543" s="112" t="s">
        <v>3581</v>
      </c>
      <c r="E543" s="119" t="s">
        <v>100</v>
      </c>
      <c r="F543" s="83"/>
      <c r="G543" s="209"/>
      <c r="H543" s="88" t="s">
        <v>100</v>
      </c>
      <c r="I543" s="89"/>
      <c r="J543" s="98"/>
      <c r="K543" s="101"/>
      <c r="L543" s="329"/>
      <c r="M543" s="105">
        <v>45866</v>
      </c>
      <c r="N543" s="112" t="s">
        <v>3582</v>
      </c>
      <c r="O543" s="112" t="s">
        <v>3583</v>
      </c>
      <c r="P543" s="198" t="s">
        <v>3584</v>
      </c>
      <c r="Q543" s="132">
        <v>9.7500000000000003E-2</v>
      </c>
      <c r="R543" s="132">
        <v>9.5000000000000001E-2</v>
      </c>
      <c r="S543" s="63" t="s">
        <v>205</v>
      </c>
      <c r="T543" s="198" t="s">
        <v>6321</v>
      </c>
      <c r="U543" s="198" t="s">
        <v>138</v>
      </c>
      <c r="V543" s="112" t="s">
        <v>106</v>
      </c>
      <c r="W543" s="205">
        <v>94520</v>
      </c>
      <c r="X543" s="141" t="s">
        <v>3585</v>
      </c>
      <c r="Y543" s="205"/>
      <c r="Z543" s="205"/>
      <c r="AA543" s="203"/>
      <c r="AB543" s="205"/>
      <c r="AC543" s="206"/>
      <c r="AD543" s="203"/>
      <c r="AE543" s="205"/>
      <c r="AF543" s="205"/>
      <c r="AG543" s="205"/>
      <c r="AH543" s="205"/>
      <c r="AI543" s="205"/>
      <c r="AJ543" s="135" t="s">
        <v>3586</v>
      </c>
      <c r="AK543" s="318"/>
      <c r="AL543" s="290"/>
      <c r="AM543" s="290"/>
      <c r="AN543" s="290"/>
      <c r="AO543" s="290"/>
      <c r="AP543" s="290"/>
      <c r="AQ543" s="290"/>
      <c r="AR543" s="290"/>
      <c r="AS543" s="207" t="s">
        <v>132</v>
      </c>
      <c r="AT543" s="116" t="s">
        <v>132</v>
      </c>
      <c r="AU543" s="198" t="s">
        <v>6321</v>
      </c>
      <c r="AV543" s="39"/>
      <c r="AW543" s="198" t="s">
        <v>138</v>
      </c>
      <c r="AX543" s="112" t="s">
        <v>106</v>
      </c>
      <c r="AY543" s="205">
        <v>94520</v>
      </c>
      <c r="AZ543" s="198" t="s">
        <v>3583</v>
      </c>
      <c r="BA543" s="317"/>
    </row>
    <row r="544" spans="1:53" ht="13.5" customHeight="1" x14ac:dyDescent="0.4">
      <c r="A544" s="257" t="s">
        <v>3587</v>
      </c>
      <c r="B544" s="67" t="s">
        <v>2399</v>
      </c>
      <c r="C544" s="225" t="s">
        <v>254</v>
      </c>
      <c r="D544" s="112"/>
      <c r="E544" s="119" t="s">
        <v>100</v>
      </c>
      <c r="F544" s="83"/>
      <c r="G544" s="209"/>
      <c r="H544" s="88" t="s">
        <v>100</v>
      </c>
      <c r="I544" s="89"/>
      <c r="J544" s="98"/>
      <c r="K544" s="101">
        <v>45917</v>
      </c>
      <c r="L544" s="329"/>
      <c r="M544" s="105">
        <v>44029</v>
      </c>
      <c r="N544" s="112" t="s">
        <v>3588</v>
      </c>
      <c r="O544" s="112" t="s">
        <v>3589</v>
      </c>
      <c r="P544" s="198" t="s">
        <v>3590</v>
      </c>
      <c r="Q544" s="132">
        <v>9.2499999999999999E-2</v>
      </c>
      <c r="R544" s="132">
        <v>9.2499999999999999E-2</v>
      </c>
      <c r="S544" s="63" t="s">
        <v>226</v>
      </c>
      <c r="T544" s="198" t="s">
        <v>3591</v>
      </c>
      <c r="U544" s="198" t="s">
        <v>228</v>
      </c>
      <c r="V544" s="112" t="s">
        <v>106</v>
      </c>
      <c r="W544" s="205">
        <v>94901</v>
      </c>
      <c r="X544" s="139" t="s">
        <v>3592</v>
      </c>
      <c r="Y544" s="139" t="s">
        <v>3592</v>
      </c>
      <c r="Z544" s="139" t="s">
        <v>3592</v>
      </c>
      <c r="AA544" s="203"/>
      <c r="AB544" s="205"/>
      <c r="AC544" s="206"/>
      <c r="AD544" s="203"/>
      <c r="AE544" s="205"/>
      <c r="AF544" s="205"/>
      <c r="AG544" s="205"/>
      <c r="AH544" s="205"/>
      <c r="AI544" s="205"/>
      <c r="AK544" s="318"/>
      <c r="AL544" s="290" t="s">
        <v>149</v>
      </c>
      <c r="AM544" s="290">
        <v>13305</v>
      </c>
      <c r="AN544" s="290"/>
      <c r="AO544" s="290">
        <v>62245</v>
      </c>
      <c r="AP544" s="290"/>
      <c r="AQ544" s="290"/>
      <c r="AR544" s="290"/>
      <c r="AS544" s="207" t="s">
        <v>132</v>
      </c>
      <c r="AT544" s="116" t="s">
        <v>132</v>
      </c>
      <c r="AU544" s="198" t="s">
        <v>3593</v>
      </c>
      <c r="AV544" s="39"/>
      <c r="AW544" s="198" t="s">
        <v>228</v>
      </c>
      <c r="AX544" s="112" t="s">
        <v>106</v>
      </c>
      <c r="AY544" s="205">
        <v>94901</v>
      </c>
      <c r="AZ544" s="198" t="s">
        <v>3589</v>
      </c>
      <c r="BA544" s="317"/>
    </row>
    <row r="545" spans="1:53" ht="14.25" customHeight="1" x14ac:dyDescent="0.4">
      <c r="A545" s="257" t="s">
        <v>3594</v>
      </c>
      <c r="B545" s="67" t="s">
        <v>2399</v>
      </c>
      <c r="C545" s="224" t="s">
        <v>563</v>
      </c>
      <c r="D545" s="115"/>
      <c r="E545" s="120" t="s">
        <v>100</v>
      </c>
      <c r="F545" s="82"/>
      <c r="G545" s="84"/>
      <c r="H545" s="90" t="s">
        <v>100</v>
      </c>
      <c r="I545" s="91"/>
      <c r="J545" s="97"/>
      <c r="K545" s="102">
        <v>45806</v>
      </c>
      <c r="L545" s="327"/>
      <c r="M545" s="106"/>
      <c r="N545" s="113" t="s">
        <v>3595</v>
      </c>
      <c r="O545" s="113" t="s">
        <v>3596</v>
      </c>
      <c r="P545" s="57"/>
      <c r="Q545" s="132">
        <v>8.2500000000000004E-2</v>
      </c>
      <c r="R545" s="132"/>
      <c r="S545" s="63" t="s">
        <v>759</v>
      </c>
      <c r="T545" s="67" t="s">
        <v>3597</v>
      </c>
      <c r="U545" s="67" t="s">
        <v>2896</v>
      </c>
      <c r="V545" s="113" t="s">
        <v>106</v>
      </c>
      <c r="W545" s="222">
        <v>94920</v>
      </c>
      <c r="X545" s="141"/>
      <c r="Z545" s="236"/>
      <c r="AA545" s="200"/>
      <c r="AB545" s="130"/>
      <c r="AC545" s="202"/>
      <c r="AD545" s="200"/>
      <c r="AE545" s="113"/>
      <c r="AF545" s="113"/>
      <c r="AG545" s="113"/>
      <c r="AH545" s="113"/>
      <c r="AI545" s="130"/>
      <c r="AK545" s="57"/>
      <c r="AL545" s="287" t="s">
        <v>251</v>
      </c>
      <c r="AM545" s="288">
        <v>13305</v>
      </c>
      <c r="AO545" s="288">
        <v>62245</v>
      </c>
      <c r="AS545" s="207"/>
      <c r="AT545" s="116" t="s">
        <v>1498</v>
      </c>
      <c r="AU545" s="67" t="s">
        <v>3597</v>
      </c>
      <c r="AV545" s="251"/>
      <c r="AW545" s="67" t="s">
        <v>2896</v>
      </c>
      <c r="AX545" s="113" t="s">
        <v>106</v>
      </c>
      <c r="AY545" s="222">
        <v>94920</v>
      </c>
      <c r="AZ545" s="199" t="s">
        <v>3596</v>
      </c>
      <c r="BA545" s="317"/>
    </row>
    <row r="546" spans="1:53" ht="13.5" customHeight="1" x14ac:dyDescent="0.4">
      <c r="A546" s="257" t="s">
        <v>3598</v>
      </c>
      <c r="B546" s="67" t="s">
        <v>269</v>
      </c>
      <c r="C546" s="224" t="s">
        <v>99</v>
      </c>
      <c r="D546" s="115" t="s">
        <v>3599</v>
      </c>
      <c r="E546" s="120" t="s">
        <v>100</v>
      </c>
      <c r="F546" s="82"/>
      <c r="G546" s="84"/>
      <c r="H546" s="90" t="s">
        <v>100</v>
      </c>
      <c r="I546" s="91"/>
      <c r="J546" s="97"/>
      <c r="K546" s="102">
        <v>44586</v>
      </c>
      <c r="L546" s="327"/>
      <c r="M546" s="106">
        <v>44652</v>
      </c>
      <c r="N546" s="113" t="s">
        <v>3600</v>
      </c>
      <c r="O546" s="113" t="s">
        <v>3601</v>
      </c>
      <c r="P546" s="57" t="s">
        <v>3602</v>
      </c>
      <c r="Q546" s="132">
        <v>7.7499999999999999E-2</v>
      </c>
      <c r="R546" s="132"/>
      <c r="S546" s="63" t="s">
        <v>907</v>
      </c>
      <c r="T546" s="67" t="s">
        <v>3603</v>
      </c>
      <c r="U546" s="67" t="s">
        <v>909</v>
      </c>
      <c r="V546" s="113" t="s">
        <v>106</v>
      </c>
      <c r="W546" s="222">
        <v>94515</v>
      </c>
      <c r="X546" s="139" t="s">
        <v>3604</v>
      </c>
      <c r="Y546" s="139" t="s">
        <v>3604</v>
      </c>
      <c r="Z546" s="139" t="s">
        <v>3604</v>
      </c>
      <c r="AA546" s="200"/>
      <c r="AB546" s="130"/>
      <c r="AC546" s="202"/>
      <c r="AD546" s="200"/>
      <c r="AE546" s="113"/>
      <c r="AF546" s="113"/>
      <c r="AG546" s="113"/>
      <c r="AH546" s="113"/>
      <c r="AI546" s="130"/>
      <c r="AK546" s="57"/>
      <c r="AL546" s="287" t="s">
        <v>251</v>
      </c>
      <c r="AS546" s="207"/>
      <c r="AU546" s="67" t="s">
        <v>3603</v>
      </c>
      <c r="AV546" s="251"/>
      <c r="AW546" s="67" t="s">
        <v>909</v>
      </c>
      <c r="AX546" s="113" t="s">
        <v>106</v>
      </c>
      <c r="AY546" s="222">
        <v>94515</v>
      </c>
      <c r="AZ546" s="199" t="s">
        <v>3601</v>
      </c>
      <c r="BA546" s="317"/>
    </row>
    <row r="547" spans="1:53" ht="14.25" customHeight="1" x14ac:dyDescent="0.4">
      <c r="A547" s="257" t="s">
        <v>3605</v>
      </c>
      <c r="B547" s="67" t="s">
        <v>98</v>
      </c>
      <c r="C547" s="68" t="s">
        <v>99</v>
      </c>
      <c r="E547" s="120" t="s">
        <v>100</v>
      </c>
      <c r="F547" s="82"/>
      <c r="G547" s="84"/>
      <c r="H547" s="90" t="s">
        <v>100</v>
      </c>
      <c r="I547" s="91"/>
      <c r="J547" s="97"/>
      <c r="K547" s="102">
        <v>45831</v>
      </c>
      <c r="L547" s="327"/>
      <c r="M547" s="106"/>
      <c r="N547" s="128" t="s">
        <v>3606</v>
      </c>
      <c r="O547" s="128" t="s">
        <v>3607</v>
      </c>
      <c r="Q547" s="131">
        <v>9.2499999999999999E-2</v>
      </c>
      <c r="S547" s="63" t="s">
        <v>226</v>
      </c>
      <c r="T547" s="67" t="s">
        <v>3608</v>
      </c>
      <c r="U547" s="67" t="s">
        <v>3609</v>
      </c>
      <c r="V547" s="79" t="s">
        <v>3610</v>
      </c>
      <c r="W547" s="76">
        <v>94901</v>
      </c>
      <c r="AS547" s="207"/>
    </row>
    <row r="548" spans="1:53" ht="14.15" customHeight="1" x14ac:dyDescent="0.4">
      <c r="A548" s="257" t="s">
        <v>3611</v>
      </c>
      <c r="B548" s="67" t="s">
        <v>244</v>
      </c>
      <c r="C548" s="224" t="s">
        <v>1685</v>
      </c>
      <c r="D548" s="115"/>
      <c r="E548" s="120" t="s">
        <v>173</v>
      </c>
      <c r="F548" s="82" t="s">
        <v>174</v>
      </c>
      <c r="G548" s="84"/>
      <c r="H548" s="90"/>
      <c r="I548" s="91"/>
      <c r="J548" s="97"/>
      <c r="K548" s="102">
        <v>44621</v>
      </c>
      <c r="L548" s="327"/>
      <c r="M548" s="106"/>
      <c r="N548" s="130" t="s">
        <v>3612</v>
      </c>
      <c r="O548" s="130" t="s">
        <v>3613</v>
      </c>
      <c r="P548" s="57"/>
      <c r="Q548" s="132">
        <v>0</v>
      </c>
      <c r="R548" s="132"/>
      <c r="S548" s="63" t="s">
        <v>943</v>
      </c>
      <c r="T548" s="67" t="s">
        <v>3614</v>
      </c>
      <c r="U548" s="67" t="s">
        <v>3615</v>
      </c>
      <c r="V548" s="113" t="s">
        <v>3616</v>
      </c>
      <c r="W548" s="222">
        <v>50309</v>
      </c>
      <c r="X548" s="141" t="s">
        <v>3617</v>
      </c>
      <c r="Y548" s="141" t="s">
        <v>3617</v>
      </c>
      <c r="Z548" s="141" t="s">
        <v>3617</v>
      </c>
      <c r="AA548" s="200"/>
      <c r="AB548" s="130"/>
      <c r="AC548" s="202"/>
      <c r="AD548" s="200"/>
      <c r="AE548" s="113"/>
      <c r="AF548" s="113"/>
      <c r="AG548" s="113"/>
      <c r="AH548" s="113"/>
      <c r="AI548" s="130"/>
      <c r="AK548" s="57"/>
      <c r="AS548" s="207"/>
      <c r="AU548" s="67" t="s">
        <v>3614</v>
      </c>
      <c r="AV548" s="251"/>
      <c r="AW548" s="67" t="s">
        <v>3615</v>
      </c>
      <c r="AX548" s="113" t="s">
        <v>3616</v>
      </c>
      <c r="AY548" s="222">
        <v>50309</v>
      </c>
      <c r="AZ548" s="57" t="s">
        <v>3613</v>
      </c>
      <c r="BA548" s="317"/>
    </row>
    <row r="549" spans="1:53" ht="14.15" customHeight="1" x14ac:dyDescent="0.4">
      <c r="A549" s="257" t="s">
        <v>3618</v>
      </c>
      <c r="B549" s="67" t="s">
        <v>269</v>
      </c>
      <c r="C549" s="224" t="s">
        <v>254</v>
      </c>
      <c r="D549" s="113"/>
      <c r="E549" s="120" t="s">
        <v>100</v>
      </c>
      <c r="F549" s="82" t="s">
        <v>288</v>
      </c>
      <c r="G549" s="84"/>
      <c r="H549" s="90" t="s">
        <v>100</v>
      </c>
      <c r="I549" s="91"/>
      <c r="J549" s="97"/>
      <c r="K549" s="102"/>
      <c r="L549" s="327"/>
      <c r="M549" s="106">
        <v>44281</v>
      </c>
      <c r="N549" s="113" t="s">
        <v>1746</v>
      </c>
      <c r="O549" s="113" t="s">
        <v>3619</v>
      </c>
      <c r="P549" s="57"/>
      <c r="Q549" s="132">
        <v>9.2499999999999999E-2</v>
      </c>
      <c r="R549" s="132">
        <v>8.5000000000000006E-2</v>
      </c>
      <c r="S549" s="63" t="s">
        <v>759</v>
      </c>
      <c r="T549" s="67" t="s">
        <v>3620</v>
      </c>
      <c r="U549" s="67" t="s">
        <v>823</v>
      </c>
      <c r="V549" s="113" t="s">
        <v>106</v>
      </c>
      <c r="W549" s="222">
        <v>94941</v>
      </c>
      <c r="Z549" s="236"/>
      <c r="AA549" s="200"/>
      <c r="AB549" s="130"/>
      <c r="AC549" s="202"/>
      <c r="AD549" s="200"/>
      <c r="AE549" s="113"/>
      <c r="AF549" s="113"/>
      <c r="AG549" s="113"/>
      <c r="AH549" s="113"/>
      <c r="AI549" s="130" t="s">
        <v>0</v>
      </c>
      <c r="AJ549" s="135" t="s">
        <v>116</v>
      </c>
      <c r="AK549" s="57"/>
      <c r="AL549" s="290"/>
      <c r="AM549" s="290"/>
      <c r="AN549" s="290"/>
      <c r="AO549" s="290"/>
      <c r="AP549" s="290"/>
      <c r="AQ549" s="290"/>
      <c r="AR549" s="290"/>
      <c r="AS549" s="207" t="s">
        <v>132</v>
      </c>
      <c r="AT549" s="116" t="s">
        <v>132</v>
      </c>
      <c r="AU549" s="67" t="str">
        <f>PROPER(AV549)</f>
        <v>8 E Blithedale Ave</v>
      </c>
      <c r="AV549" s="251" t="s">
        <v>3621</v>
      </c>
      <c r="AW549" s="67" t="s">
        <v>823</v>
      </c>
      <c r="AX549" s="113" t="s">
        <v>106</v>
      </c>
      <c r="AY549" s="222">
        <v>94941</v>
      </c>
      <c r="AZ549" s="199" t="s">
        <v>3619</v>
      </c>
      <c r="BA549" s="317"/>
    </row>
    <row r="550" spans="1:53" ht="14.15" customHeight="1" x14ac:dyDescent="0.4">
      <c r="A550" s="257" t="s">
        <v>3622</v>
      </c>
      <c r="B550" s="67" t="s">
        <v>98</v>
      </c>
      <c r="C550" s="224" t="s">
        <v>99</v>
      </c>
      <c r="D550" s="115"/>
      <c r="E550" s="120" t="s">
        <v>100</v>
      </c>
      <c r="F550" s="82"/>
      <c r="G550" s="84"/>
      <c r="H550" s="90" t="s">
        <v>100</v>
      </c>
      <c r="I550" s="91"/>
      <c r="J550" s="97"/>
      <c r="K550" s="102">
        <v>43830</v>
      </c>
      <c r="L550" s="327"/>
      <c r="M550" s="106"/>
      <c r="N550" s="113" t="s">
        <v>3623</v>
      </c>
      <c r="O550" s="113" t="s">
        <v>3624</v>
      </c>
      <c r="P550" s="57" t="s">
        <v>3625</v>
      </c>
      <c r="Q550" s="132">
        <v>0.1</v>
      </c>
      <c r="R550" s="132"/>
      <c r="S550" s="63" t="s">
        <v>186</v>
      </c>
      <c r="T550" s="67" t="s">
        <v>3626</v>
      </c>
      <c r="U550" s="67" t="s">
        <v>188</v>
      </c>
      <c r="V550" s="113" t="s">
        <v>106</v>
      </c>
      <c r="W550" s="222">
        <v>95403</v>
      </c>
      <c r="X550" s="141"/>
      <c r="Z550" s="236"/>
      <c r="AA550" s="200"/>
      <c r="AB550" s="130"/>
      <c r="AC550" s="202"/>
      <c r="AD550" s="200"/>
      <c r="AE550" s="113"/>
      <c r="AF550" s="113"/>
      <c r="AG550" s="113"/>
      <c r="AH550" s="113"/>
      <c r="AI550" s="130"/>
      <c r="AK550" s="57"/>
      <c r="AL550" s="287" t="s">
        <v>149</v>
      </c>
      <c r="AM550" s="288">
        <v>13305</v>
      </c>
      <c r="AO550" s="288">
        <v>67240</v>
      </c>
      <c r="AS550" s="207"/>
      <c r="AU550" s="67" t="s">
        <v>3626</v>
      </c>
      <c r="AV550" s="251"/>
      <c r="AW550" s="67" t="s">
        <v>188</v>
      </c>
      <c r="AX550" s="113" t="s">
        <v>106</v>
      </c>
      <c r="AY550" s="222">
        <v>95403</v>
      </c>
      <c r="AZ550" s="199" t="s">
        <v>3624</v>
      </c>
      <c r="BA550" s="317"/>
    </row>
    <row r="551" spans="1:53" ht="14.15" customHeight="1" x14ac:dyDescent="0.4">
      <c r="A551" s="257" t="s">
        <v>3627</v>
      </c>
      <c r="B551" s="67" t="s">
        <v>98</v>
      </c>
      <c r="C551" s="224" t="s">
        <v>563</v>
      </c>
      <c r="D551" s="113" t="s">
        <v>2374</v>
      </c>
      <c r="E551" s="120" t="s">
        <v>100</v>
      </c>
      <c r="F551" s="82"/>
      <c r="G551" s="84"/>
      <c r="H551" s="90" t="s">
        <v>100</v>
      </c>
      <c r="I551" s="91"/>
      <c r="J551" s="97"/>
      <c r="K551" s="102">
        <v>44202</v>
      </c>
      <c r="L551" s="327"/>
      <c r="M551" s="106">
        <v>43116</v>
      </c>
      <c r="N551" s="113" t="s">
        <v>3623</v>
      </c>
      <c r="O551" s="113" t="s">
        <v>3628</v>
      </c>
      <c r="P551" s="57" t="s">
        <v>3625</v>
      </c>
      <c r="Q551" s="132">
        <v>0.1</v>
      </c>
      <c r="R551" s="132"/>
      <c r="S551" s="63" t="s">
        <v>186</v>
      </c>
      <c r="T551" s="67" t="s">
        <v>3629</v>
      </c>
      <c r="U551" s="67" t="s">
        <v>188</v>
      </c>
      <c r="V551" s="113" t="s">
        <v>106</v>
      </c>
      <c r="W551" s="222">
        <v>95409</v>
      </c>
      <c r="Z551" s="236"/>
      <c r="AA551" s="200"/>
      <c r="AB551" s="130"/>
      <c r="AC551" s="202"/>
      <c r="AD551" s="200"/>
      <c r="AE551" s="113"/>
      <c r="AF551" s="113"/>
      <c r="AG551" s="113"/>
      <c r="AH551" s="113"/>
      <c r="AI551" s="130"/>
      <c r="AK551" s="57"/>
      <c r="AL551" s="290" t="s">
        <v>149</v>
      </c>
      <c r="AM551" s="290">
        <v>13305</v>
      </c>
      <c r="AN551" s="290"/>
      <c r="AO551" s="290"/>
      <c r="AP551" s="290">
        <v>62245</v>
      </c>
      <c r="AQ551" s="290"/>
      <c r="AR551" s="290"/>
      <c r="AS551" s="207" t="s">
        <v>132</v>
      </c>
      <c r="AT551" s="116" t="s">
        <v>132</v>
      </c>
      <c r="AU551" s="67" t="s">
        <v>3629</v>
      </c>
      <c r="AV551" s="251"/>
      <c r="AW551" s="67" t="s">
        <v>188</v>
      </c>
      <c r="AX551" s="113" t="s">
        <v>106</v>
      </c>
      <c r="AY551" s="222">
        <v>95409</v>
      </c>
      <c r="AZ551" s="199" t="s">
        <v>3628</v>
      </c>
      <c r="BA551" s="317"/>
    </row>
    <row r="552" spans="1:53" ht="14.25" customHeight="1" x14ac:dyDescent="0.4">
      <c r="A552" s="257" t="s">
        <v>3630</v>
      </c>
      <c r="B552" s="67" t="s">
        <v>269</v>
      </c>
      <c r="C552" s="224" t="s">
        <v>1076</v>
      </c>
      <c r="D552" s="113"/>
      <c r="E552" s="120" t="s">
        <v>100</v>
      </c>
      <c r="F552" s="82"/>
      <c r="G552" s="84"/>
      <c r="H552" s="90" t="s">
        <v>100</v>
      </c>
      <c r="I552" s="91"/>
      <c r="J552" s="97"/>
      <c r="K552" s="102">
        <v>45905</v>
      </c>
      <c r="L552" s="327"/>
      <c r="M552" s="106">
        <v>45796</v>
      </c>
      <c r="N552" s="113" t="s">
        <v>3631</v>
      </c>
      <c r="O552" s="113" t="s">
        <v>3632</v>
      </c>
      <c r="P552" s="57" t="s">
        <v>3633</v>
      </c>
      <c r="Q552" s="132">
        <v>9.2499999999999999E-2</v>
      </c>
      <c r="R552" s="132">
        <v>9.2499999999999999E-2</v>
      </c>
      <c r="S552" s="63" t="s">
        <v>226</v>
      </c>
      <c r="T552" s="67" t="s">
        <v>3634</v>
      </c>
      <c r="U552" s="67" t="s">
        <v>228</v>
      </c>
      <c r="V552" s="113" t="s">
        <v>106</v>
      </c>
      <c r="W552" s="222">
        <v>94901</v>
      </c>
      <c r="Z552" s="236"/>
      <c r="AA552" s="200"/>
      <c r="AB552" s="130"/>
      <c r="AC552" s="202"/>
      <c r="AD552" s="200"/>
      <c r="AE552" s="113"/>
      <c r="AF552" s="113"/>
      <c r="AG552" s="113"/>
      <c r="AH552" s="113"/>
      <c r="AI552" s="130" t="s">
        <v>0</v>
      </c>
      <c r="AJ552" s="135" t="s">
        <v>116</v>
      </c>
      <c r="AK552" s="57"/>
      <c r="AL552" s="290" t="s">
        <v>149</v>
      </c>
      <c r="AM552" s="290">
        <v>13305</v>
      </c>
      <c r="AN552" s="290">
        <v>15741</v>
      </c>
      <c r="AO552" s="290">
        <v>62245</v>
      </c>
      <c r="AP552" s="290"/>
      <c r="AQ552" s="290"/>
      <c r="AR552" s="290"/>
      <c r="AS552" s="207" t="s">
        <v>132</v>
      </c>
      <c r="AT552" s="116" t="s">
        <v>132</v>
      </c>
      <c r="AU552" s="67" t="str">
        <f>PROPER(AV552)</f>
        <v>340 Bellam Blvd</v>
      </c>
      <c r="AV552" s="251" t="s">
        <v>3635</v>
      </c>
      <c r="AW552" s="67" t="s">
        <v>228</v>
      </c>
      <c r="AX552" s="113" t="s">
        <v>106</v>
      </c>
      <c r="AY552" s="222">
        <v>94901</v>
      </c>
      <c r="AZ552" s="199" t="s">
        <v>3632</v>
      </c>
      <c r="BA552" s="317"/>
    </row>
    <row r="553" spans="1:53" ht="14.15" customHeight="1" x14ac:dyDescent="0.4">
      <c r="A553" s="257" t="s">
        <v>3636</v>
      </c>
      <c r="B553" s="67" t="s">
        <v>98</v>
      </c>
      <c r="C553" s="224" t="s">
        <v>99</v>
      </c>
      <c r="D553" s="115"/>
      <c r="E553" s="120" t="s">
        <v>100</v>
      </c>
      <c r="F553" s="82"/>
      <c r="G553" s="84"/>
      <c r="H553" s="90" t="s">
        <v>100</v>
      </c>
      <c r="I553" s="91"/>
      <c r="J553" s="97"/>
      <c r="K553" s="102">
        <v>44987</v>
      </c>
      <c r="L553" s="327"/>
      <c r="M553" s="106"/>
      <c r="N553" s="113" t="s">
        <v>3637</v>
      </c>
      <c r="O553" s="113" t="s">
        <v>3638</v>
      </c>
      <c r="P553" s="57"/>
      <c r="Q553" s="132">
        <v>0.10249999999999999</v>
      </c>
      <c r="R553" s="132"/>
      <c r="S553" s="63" t="s">
        <v>319</v>
      </c>
      <c r="T553" s="67" t="s">
        <v>3639</v>
      </c>
      <c r="U553" s="67" t="s">
        <v>319</v>
      </c>
      <c r="V553" s="113" t="s">
        <v>106</v>
      </c>
      <c r="W553" s="222">
        <v>94530</v>
      </c>
      <c r="X553" s="141"/>
      <c r="Z553" s="236"/>
      <c r="AA553" s="200"/>
      <c r="AB553" s="130"/>
      <c r="AC553" s="202"/>
      <c r="AD553" s="200"/>
      <c r="AE553" s="113"/>
      <c r="AF553" s="113"/>
      <c r="AG553" s="113"/>
      <c r="AH553" s="113"/>
      <c r="AI553" s="130"/>
      <c r="AK553" s="57"/>
      <c r="AL553" s="287" t="s">
        <v>251</v>
      </c>
      <c r="AM553" s="288">
        <v>13305</v>
      </c>
      <c r="AS553" s="207"/>
      <c r="AT553" s="116" t="s">
        <v>116</v>
      </c>
      <c r="AU553" s="67" t="s">
        <v>3640</v>
      </c>
      <c r="AV553" s="251"/>
      <c r="AW553" s="67" t="s">
        <v>319</v>
      </c>
      <c r="AX553" s="113" t="s">
        <v>106</v>
      </c>
      <c r="AY553" s="222">
        <v>94530</v>
      </c>
      <c r="AZ553" s="199"/>
      <c r="BA553" s="317"/>
    </row>
    <row r="554" spans="1:53" ht="14.15" customHeight="1" x14ac:dyDescent="0.25">
      <c r="A554" s="257" t="s">
        <v>3641</v>
      </c>
      <c r="B554" s="67" t="s">
        <v>125</v>
      </c>
      <c r="C554" s="68" t="s">
        <v>99</v>
      </c>
      <c r="D554" s="79" t="s">
        <v>2131</v>
      </c>
      <c r="E554" s="118" t="s">
        <v>100</v>
      </c>
      <c r="F554" s="80"/>
      <c r="G554" s="81"/>
      <c r="H554" s="92" t="s">
        <v>100</v>
      </c>
      <c r="I554" s="86"/>
      <c r="J554" s="96"/>
      <c r="K554" s="100"/>
      <c r="L554" s="328"/>
      <c r="M554" s="104">
        <v>44295</v>
      </c>
      <c r="N554" s="128" t="s">
        <v>657</v>
      </c>
      <c r="O554" s="128" t="s">
        <v>3642</v>
      </c>
      <c r="P554" s="59" t="s">
        <v>3643</v>
      </c>
      <c r="Q554" s="132">
        <v>0.10249999999999999</v>
      </c>
      <c r="S554" s="63" t="s">
        <v>653</v>
      </c>
      <c r="T554" s="67" t="s">
        <v>3644</v>
      </c>
      <c r="U554" s="67" t="s">
        <v>653</v>
      </c>
      <c r="V554" s="79" t="s">
        <v>106</v>
      </c>
      <c r="W554" s="76">
        <v>94952</v>
      </c>
      <c r="AL554" s="290">
        <v>15157</v>
      </c>
      <c r="AM554" s="290"/>
      <c r="AN554" s="290"/>
      <c r="AO554" s="290"/>
      <c r="AP554" s="290"/>
      <c r="AQ554" s="290"/>
      <c r="AR554" s="290"/>
      <c r="AS554" s="207" t="s">
        <v>132</v>
      </c>
      <c r="AT554" s="116" t="s">
        <v>132</v>
      </c>
      <c r="AU554" s="67" t="s">
        <v>3644</v>
      </c>
      <c r="AW554" s="67" t="s">
        <v>653</v>
      </c>
      <c r="AX554" s="79" t="s">
        <v>106</v>
      </c>
      <c r="AY554" s="76">
        <v>94952</v>
      </c>
      <c r="AZ554" s="77" t="s">
        <v>3642</v>
      </c>
      <c r="BA554" s="317"/>
    </row>
    <row r="555" spans="1:53" ht="14.15" customHeight="1" x14ac:dyDescent="0.4">
      <c r="A555" s="257" t="s">
        <v>3645</v>
      </c>
      <c r="B555" s="67" t="s">
        <v>125</v>
      </c>
      <c r="C555" s="225" t="s">
        <v>99</v>
      </c>
      <c r="D555" s="112"/>
      <c r="E555" s="119" t="s">
        <v>100</v>
      </c>
      <c r="F555" s="83"/>
      <c r="G555" s="209"/>
      <c r="H555" s="88" t="s">
        <v>100</v>
      </c>
      <c r="I555" s="89"/>
      <c r="J555" s="98"/>
      <c r="K555" s="101">
        <v>44529</v>
      </c>
      <c r="L555" s="329"/>
      <c r="M555" s="105">
        <v>44529</v>
      </c>
      <c r="N555" s="112" t="s">
        <v>3646</v>
      </c>
      <c r="O555" s="112" t="s">
        <v>3647</v>
      </c>
      <c r="P555" s="198"/>
      <c r="Q555" s="132">
        <v>8.2500000000000004E-2</v>
      </c>
      <c r="R555" s="132">
        <v>0.08</v>
      </c>
      <c r="S555" s="63" t="s">
        <v>3648</v>
      </c>
      <c r="T555" s="198" t="s">
        <v>3649</v>
      </c>
      <c r="U555" s="198" t="s">
        <v>3648</v>
      </c>
      <c r="V555" s="112" t="s">
        <v>3650</v>
      </c>
      <c r="W555" s="205">
        <v>95667</v>
      </c>
      <c r="X555" s="141" t="s">
        <v>3651</v>
      </c>
      <c r="Y555" s="205"/>
      <c r="Z555" s="205"/>
      <c r="AA555" s="203"/>
      <c r="AB555" s="205"/>
      <c r="AC555" s="206"/>
      <c r="AD555" s="203"/>
      <c r="AE555" s="205"/>
      <c r="AF555" s="205"/>
      <c r="AG555" s="205"/>
      <c r="AH555" s="205"/>
      <c r="AI555" s="205" t="s">
        <v>0</v>
      </c>
      <c r="AJ555" s="135" t="s">
        <v>116</v>
      </c>
      <c r="AK555" s="318"/>
      <c r="AL555" s="290">
        <v>44150</v>
      </c>
      <c r="AM555" s="290"/>
      <c r="AN555" s="290"/>
      <c r="AO555" s="290">
        <v>62285</v>
      </c>
      <c r="AP555" s="290"/>
      <c r="AQ555" s="290"/>
      <c r="AR555" s="290"/>
      <c r="AS555" s="207" t="s">
        <v>132</v>
      </c>
      <c r="AT555" s="116" t="s">
        <v>132</v>
      </c>
      <c r="AU555" s="198" t="s">
        <v>3649</v>
      </c>
      <c r="AV555" s="39"/>
      <c r="AW555" s="198" t="s">
        <v>3648</v>
      </c>
      <c r="AX555" s="112" t="s">
        <v>3650</v>
      </c>
      <c r="AY555" s="205">
        <v>95667</v>
      </c>
      <c r="AZ555" s="198" t="s">
        <v>3647</v>
      </c>
      <c r="BA555" s="317"/>
    </row>
    <row r="556" spans="1:53" ht="14.15" customHeight="1" x14ac:dyDescent="0.4">
      <c r="A556" s="257" t="s">
        <v>3652</v>
      </c>
      <c r="B556" s="67" t="s">
        <v>98</v>
      </c>
      <c r="C556" s="224" t="s">
        <v>563</v>
      </c>
      <c r="D556" s="113"/>
      <c r="E556" s="120" t="s">
        <v>100</v>
      </c>
      <c r="F556" s="82"/>
      <c r="G556" s="84"/>
      <c r="H556" s="90" t="s">
        <v>100</v>
      </c>
      <c r="I556" s="91"/>
      <c r="J556" s="97"/>
      <c r="K556" s="102">
        <v>45037</v>
      </c>
      <c r="L556" s="327"/>
      <c r="M556" s="106"/>
      <c r="N556" s="113" t="s">
        <v>3474</v>
      </c>
      <c r="O556" s="113" t="s">
        <v>3653</v>
      </c>
      <c r="P556" s="57" t="s">
        <v>3475</v>
      </c>
      <c r="Q556" s="132">
        <v>9.2499999999999999E-2</v>
      </c>
      <c r="R556" s="132">
        <v>8.5000000000000006E-2</v>
      </c>
      <c r="S556" s="63" t="s">
        <v>759</v>
      </c>
      <c r="T556" s="67" t="s">
        <v>3654</v>
      </c>
      <c r="U556" s="67" t="s">
        <v>823</v>
      </c>
      <c r="V556" s="113" t="s">
        <v>106</v>
      </c>
      <c r="W556" s="222">
        <v>94941</v>
      </c>
      <c r="Y556" s="236" t="s">
        <v>3655</v>
      </c>
      <c r="Z556" s="139" t="s">
        <v>824</v>
      </c>
      <c r="AA556" s="299" t="s">
        <v>3656</v>
      </c>
      <c r="AB556" s="130"/>
      <c r="AC556" s="202"/>
      <c r="AD556" s="200"/>
      <c r="AE556" s="113"/>
      <c r="AF556" s="113"/>
      <c r="AG556" s="113"/>
      <c r="AH556" s="113"/>
      <c r="AI556" s="130"/>
      <c r="AK556" s="57"/>
      <c r="AL556" s="287" t="s">
        <v>149</v>
      </c>
      <c r="AM556" s="288">
        <v>13305</v>
      </c>
      <c r="AN556" s="288" t="s">
        <v>198</v>
      </c>
      <c r="AO556" s="288">
        <v>62245</v>
      </c>
      <c r="AS556" s="207" t="s">
        <v>132</v>
      </c>
      <c r="AT556" s="116" t="s">
        <v>132</v>
      </c>
      <c r="AU556" s="67" t="s">
        <v>3654</v>
      </c>
      <c r="AV556" s="251"/>
      <c r="AW556" s="67" t="s">
        <v>823</v>
      </c>
      <c r="AX556" s="113" t="s">
        <v>106</v>
      </c>
      <c r="AY556" s="222">
        <v>94941</v>
      </c>
      <c r="AZ556" s="199" t="s">
        <v>3653</v>
      </c>
    </row>
    <row r="557" spans="1:53" ht="14.15" customHeight="1" x14ac:dyDescent="0.25">
      <c r="A557" s="257" t="s">
        <v>3657</v>
      </c>
      <c r="B557" s="67" t="s">
        <v>98</v>
      </c>
      <c r="C557" s="68" t="s">
        <v>99</v>
      </c>
      <c r="E557" s="118" t="s">
        <v>100</v>
      </c>
      <c r="F557" s="80"/>
      <c r="G557" s="81"/>
      <c r="H557" s="87" t="s">
        <v>100</v>
      </c>
      <c r="I557" s="86"/>
      <c r="J557" s="96"/>
      <c r="K557" s="100">
        <v>46003</v>
      </c>
      <c r="L557" s="328"/>
      <c r="M557" s="104">
        <v>44558</v>
      </c>
      <c r="N557" s="128" t="s">
        <v>424</v>
      </c>
      <c r="O557" s="128" t="s">
        <v>3658</v>
      </c>
      <c r="Q557" s="132">
        <v>9.2499999999999999E-2</v>
      </c>
      <c r="R557" s="132">
        <v>0.09</v>
      </c>
      <c r="S557" s="63" t="s">
        <v>507</v>
      </c>
      <c r="T557" s="67" t="s">
        <v>3659</v>
      </c>
      <c r="U557" s="67" t="s">
        <v>509</v>
      </c>
      <c r="V557" s="79" t="s">
        <v>106</v>
      </c>
      <c r="W557" s="76">
        <v>94965</v>
      </c>
      <c r="X557" s="139" t="s">
        <v>3660</v>
      </c>
      <c r="Y557" s="139" t="s">
        <v>3661</v>
      </c>
      <c r="Z557" s="139" t="s">
        <v>3660</v>
      </c>
      <c r="AD557" s="135"/>
      <c r="AL557" s="290" t="s">
        <v>149</v>
      </c>
      <c r="AM557" s="290">
        <v>13305</v>
      </c>
      <c r="AN557" s="290"/>
      <c r="AO557" s="290">
        <v>62245</v>
      </c>
      <c r="AP557" s="290"/>
      <c r="AQ557" s="290"/>
      <c r="AR557" s="290"/>
      <c r="AS557" s="207" t="s">
        <v>132</v>
      </c>
      <c r="AT557" s="116" t="s">
        <v>132</v>
      </c>
      <c r="AU557" s="67" t="s">
        <v>3659</v>
      </c>
      <c r="AW557" s="67" t="s">
        <v>509</v>
      </c>
      <c r="AX557" s="79" t="s">
        <v>106</v>
      </c>
      <c r="AY557" s="76">
        <v>94965</v>
      </c>
      <c r="AZ557" s="77" t="s">
        <v>3658</v>
      </c>
      <c r="BA557" s="317"/>
    </row>
    <row r="558" spans="1:53" ht="14.15" customHeight="1" x14ac:dyDescent="0.4">
      <c r="A558" s="257" t="s">
        <v>3662</v>
      </c>
      <c r="B558" s="67" t="s">
        <v>125</v>
      </c>
      <c r="C558" s="224" t="s">
        <v>99</v>
      </c>
      <c r="D558" s="115" t="s">
        <v>3663</v>
      </c>
      <c r="E558" s="120" t="s">
        <v>100</v>
      </c>
      <c r="F558" s="82"/>
      <c r="G558" s="84"/>
      <c r="H558" s="90" t="s">
        <v>100</v>
      </c>
      <c r="I558" s="91"/>
      <c r="J558" s="97"/>
      <c r="K558" s="102">
        <v>45859</v>
      </c>
      <c r="L558" s="327"/>
      <c r="M558" s="106">
        <v>45131</v>
      </c>
      <c r="N558" s="113" t="s">
        <v>3664</v>
      </c>
      <c r="O558" s="113" t="s">
        <v>3665</v>
      </c>
      <c r="P558" s="57"/>
      <c r="Q558" s="132">
        <v>9.7500000000000003E-2</v>
      </c>
      <c r="R558" s="132"/>
      <c r="S558" s="63" t="s">
        <v>2689</v>
      </c>
      <c r="T558" s="67" t="s">
        <v>3666</v>
      </c>
      <c r="U558" s="67" t="s">
        <v>553</v>
      </c>
      <c r="V558" s="113" t="s">
        <v>106</v>
      </c>
      <c r="W558" s="222">
        <v>94801</v>
      </c>
      <c r="X558" s="141"/>
      <c r="Z558" s="236"/>
      <c r="AA558" s="200"/>
      <c r="AB558" s="130"/>
      <c r="AC558" s="202"/>
      <c r="AD558" s="200"/>
      <c r="AE558" s="113"/>
      <c r="AF558" s="113"/>
      <c r="AG558" s="113"/>
      <c r="AH558" s="113"/>
      <c r="AI558" s="130"/>
      <c r="AK558" s="57"/>
      <c r="AL558" s="287" t="s">
        <v>149</v>
      </c>
      <c r="AM558" s="288">
        <v>13305</v>
      </c>
      <c r="AO558" s="288">
        <v>67240</v>
      </c>
      <c r="AS558" s="207"/>
      <c r="AU558" s="67" t="s">
        <v>3666</v>
      </c>
      <c r="AV558" s="251"/>
      <c r="AW558" s="67" t="s">
        <v>553</v>
      </c>
      <c r="AX558" s="113" t="s">
        <v>106</v>
      </c>
      <c r="AY558" s="222">
        <v>94801</v>
      </c>
      <c r="AZ558" s="199" t="s">
        <v>3665</v>
      </c>
      <c r="BA558" s="317"/>
    </row>
    <row r="559" spans="1:53" ht="14.15" customHeight="1" x14ac:dyDescent="0.4">
      <c r="A559" s="257" t="s">
        <v>3667</v>
      </c>
      <c r="B559" s="67" t="s">
        <v>269</v>
      </c>
      <c r="C559" s="224" t="s">
        <v>109</v>
      </c>
      <c r="D559" s="115"/>
      <c r="E559" s="120" t="s">
        <v>100</v>
      </c>
      <c r="F559" s="82"/>
      <c r="G559" s="84"/>
      <c r="H559" s="90" t="s">
        <v>100</v>
      </c>
      <c r="I559" s="91"/>
      <c r="J559" s="97"/>
      <c r="K559" s="102"/>
      <c r="L559" s="327"/>
      <c r="M559" s="106">
        <v>44902</v>
      </c>
      <c r="N559" s="113" t="s">
        <v>3668</v>
      </c>
      <c r="O559" s="113" t="s">
        <v>3669</v>
      </c>
      <c r="P559" s="57"/>
      <c r="Q559" s="132">
        <v>9.375E-2</v>
      </c>
      <c r="R559" s="132"/>
      <c r="S559" s="63" t="s">
        <v>1685</v>
      </c>
      <c r="T559" s="67" t="s">
        <v>3670</v>
      </c>
      <c r="U559" s="67" t="s">
        <v>2505</v>
      </c>
      <c r="V559" s="113" t="s">
        <v>106</v>
      </c>
      <c r="W559" s="222">
        <v>94030</v>
      </c>
      <c r="X559" s="141"/>
      <c r="Z559" s="236"/>
      <c r="AA559" s="200"/>
      <c r="AB559" s="130"/>
      <c r="AC559" s="202"/>
      <c r="AD559" s="200"/>
      <c r="AE559" s="113"/>
      <c r="AF559" s="113"/>
      <c r="AG559" s="113"/>
      <c r="AH559" s="113"/>
      <c r="AI559" s="130"/>
      <c r="AK559" s="57"/>
      <c r="AS559" s="207"/>
      <c r="AT559" s="116" t="s">
        <v>116</v>
      </c>
      <c r="AU559" s="67" t="s">
        <v>3670</v>
      </c>
      <c r="AV559" s="251"/>
      <c r="AW559" s="67" t="s">
        <v>2505</v>
      </c>
      <c r="AX559" s="113" t="s">
        <v>106</v>
      </c>
      <c r="AY559" s="222">
        <v>94030</v>
      </c>
      <c r="AZ559" s="199" t="s">
        <v>3669</v>
      </c>
      <c r="BA559" s="317"/>
    </row>
    <row r="560" spans="1:53" ht="14.15" customHeight="1" x14ac:dyDescent="0.4">
      <c r="A560" s="257" t="s">
        <v>3671</v>
      </c>
      <c r="B560" s="67" t="s">
        <v>98</v>
      </c>
      <c r="C560" s="224" t="s">
        <v>99</v>
      </c>
      <c r="D560" s="115"/>
      <c r="E560" s="120" t="s">
        <v>100</v>
      </c>
      <c r="F560" s="82"/>
      <c r="G560" s="84"/>
      <c r="H560" s="90" t="s">
        <v>100</v>
      </c>
      <c r="I560" s="91"/>
      <c r="J560" s="97"/>
      <c r="K560" s="102">
        <v>44914</v>
      </c>
      <c r="L560" s="327"/>
      <c r="M560" s="106"/>
      <c r="N560" s="113" t="s">
        <v>40</v>
      </c>
      <c r="O560" s="113" t="s">
        <v>3672</v>
      </c>
      <c r="P560" s="57"/>
      <c r="Q560" s="132">
        <v>9.1249999999999998E-2</v>
      </c>
      <c r="R560" s="132"/>
      <c r="S560" s="63" t="s">
        <v>303</v>
      </c>
      <c r="T560" s="67" t="s">
        <v>3673</v>
      </c>
      <c r="U560" s="67" t="s">
        <v>1061</v>
      </c>
      <c r="V560" s="113" t="s">
        <v>106</v>
      </c>
      <c r="W560" s="222">
        <v>94585</v>
      </c>
      <c r="X560" s="141"/>
      <c r="Z560" s="236"/>
      <c r="AA560" s="200"/>
      <c r="AB560" s="130"/>
      <c r="AC560" s="202"/>
      <c r="AD560" s="200"/>
      <c r="AE560" s="113"/>
      <c r="AF560" s="113"/>
      <c r="AG560" s="113"/>
      <c r="AH560" s="113"/>
      <c r="AI560" s="130"/>
      <c r="AK560" s="57"/>
      <c r="AL560" s="287" t="s">
        <v>251</v>
      </c>
      <c r="AS560" s="207"/>
      <c r="AT560" s="116" t="s">
        <v>589</v>
      </c>
      <c r="AU560" s="67" t="s">
        <v>3674</v>
      </c>
      <c r="AV560" s="251"/>
      <c r="AW560" s="67" t="s">
        <v>1061</v>
      </c>
      <c r="AX560" s="113" t="s">
        <v>106</v>
      </c>
      <c r="AY560" s="222">
        <v>94585</v>
      </c>
      <c r="AZ560" s="199" t="s">
        <v>3672</v>
      </c>
      <c r="BA560" s="317"/>
    </row>
    <row r="561" spans="1:53" ht="14.15" customHeight="1" x14ac:dyDescent="0.25">
      <c r="A561" s="257" t="s">
        <v>3675</v>
      </c>
      <c r="B561" s="67" t="s">
        <v>98</v>
      </c>
      <c r="C561" s="68" t="s">
        <v>99</v>
      </c>
      <c r="E561" s="118" t="s">
        <v>100</v>
      </c>
      <c r="F561" s="80"/>
      <c r="G561" s="81"/>
      <c r="H561" s="87" t="s">
        <v>100</v>
      </c>
      <c r="I561" s="86"/>
      <c r="J561" s="96"/>
      <c r="K561" s="100">
        <v>45853</v>
      </c>
      <c r="L561" s="328"/>
      <c r="M561" s="104"/>
      <c r="N561" s="128" t="s">
        <v>468</v>
      </c>
      <c r="O561" s="128" t="s">
        <v>1426</v>
      </c>
      <c r="Q561" s="132">
        <v>8.6249999999999993E-2</v>
      </c>
      <c r="R561" s="132">
        <v>8.7499999999999994E-2</v>
      </c>
      <c r="S561" s="63" t="s">
        <v>103</v>
      </c>
      <c r="T561" s="67" t="s">
        <v>1427</v>
      </c>
      <c r="U561" s="67" t="s">
        <v>105</v>
      </c>
      <c r="V561" s="79" t="s">
        <v>106</v>
      </c>
      <c r="W561" s="76">
        <v>94110</v>
      </c>
      <c r="X561" s="141" t="s">
        <v>1423</v>
      </c>
      <c r="Y561" s="139" t="s">
        <v>1423</v>
      </c>
      <c r="Z561" s="226" t="s">
        <v>1423</v>
      </c>
      <c r="AL561" s="287" t="s">
        <v>149</v>
      </c>
      <c r="AM561" s="288">
        <v>13305</v>
      </c>
      <c r="AO561" s="288">
        <v>62245</v>
      </c>
      <c r="AS561" s="207" t="s">
        <v>132</v>
      </c>
      <c r="AT561" s="116" t="s">
        <v>670</v>
      </c>
      <c r="AU561" s="67" t="s">
        <v>1427</v>
      </c>
      <c r="AW561" s="67" t="s">
        <v>105</v>
      </c>
      <c r="AX561" s="79" t="s">
        <v>106</v>
      </c>
      <c r="AY561" s="76">
        <v>94110</v>
      </c>
      <c r="AZ561" s="77" t="s">
        <v>1426</v>
      </c>
    </row>
    <row r="562" spans="1:53" ht="14.15" customHeight="1" x14ac:dyDescent="0.4">
      <c r="A562" s="257" t="s">
        <v>3676</v>
      </c>
      <c r="B562" s="67" t="s">
        <v>108</v>
      </c>
      <c r="C562" s="68" t="s">
        <v>109</v>
      </c>
      <c r="D562" s="113" t="s">
        <v>1869</v>
      </c>
      <c r="E562" s="120" t="s">
        <v>100</v>
      </c>
      <c r="F562" s="82"/>
      <c r="G562" s="84"/>
      <c r="H562" s="90" t="s">
        <v>100</v>
      </c>
      <c r="I562" s="91"/>
      <c r="J562" s="97"/>
      <c r="K562" s="102">
        <v>44390</v>
      </c>
      <c r="L562" s="327"/>
      <c r="M562" s="106">
        <v>43234</v>
      </c>
      <c r="N562" s="113" t="s">
        <v>1602</v>
      </c>
      <c r="O562" s="113" t="s">
        <v>3677</v>
      </c>
      <c r="P562" s="57"/>
      <c r="Q562" s="132">
        <v>0.10249999999999999</v>
      </c>
      <c r="R562" s="132">
        <v>9.5000000000000001E-2</v>
      </c>
      <c r="S562" s="63" t="s">
        <v>113</v>
      </c>
      <c r="T562" s="67" t="s">
        <v>3678</v>
      </c>
      <c r="U562" s="67" t="s">
        <v>115</v>
      </c>
      <c r="V562" s="113" t="s">
        <v>106</v>
      </c>
      <c r="W562" s="222">
        <v>94612</v>
      </c>
      <c r="X562" s="141" t="s">
        <v>3679</v>
      </c>
      <c r="Y562" s="141" t="s">
        <v>3679</v>
      </c>
      <c r="Z562" s="141" t="s">
        <v>3679</v>
      </c>
      <c r="AA562" s="200" t="s">
        <v>1924</v>
      </c>
      <c r="AB562" s="130"/>
      <c r="AC562" s="202"/>
      <c r="AD562" s="200"/>
      <c r="AE562" s="113"/>
      <c r="AF562" s="113"/>
      <c r="AG562" s="113"/>
      <c r="AH562" s="113"/>
      <c r="AI562" s="130"/>
      <c r="AK562" s="57"/>
      <c r="AL562" s="290" t="s">
        <v>289</v>
      </c>
      <c r="AM562" s="290"/>
      <c r="AN562" s="290"/>
      <c r="AO562" s="290"/>
      <c r="AP562" s="290"/>
      <c r="AQ562" s="290"/>
      <c r="AR562" s="290"/>
      <c r="AS562" s="207" t="s">
        <v>132</v>
      </c>
      <c r="AT562" s="116" t="s">
        <v>670</v>
      </c>
      <c r="AU562" s="67" t="str">
        <f>T562</f>
        <v>2314 San Pablo Avenue</v>
      </c>
      <c r="AV562" s="251"/>
      <c r="AW562" s="67" t="s">
        <v>115</v>
      </c>
      <c r="AX562" s="113" t="s">
        <v>106</v>
      </c>
      <c r="AY562" s="222">
        <v>94612</v>
      </c>
      <c r="AZ562" s="199" t="s">
        <v>3680</v>
      </c>
      <c r="BA562" s="317"/>
    </row>
    <row r="563" spans="1:53" ht="14.15" customHeight="1" x14ac:dyDescent="0.4">
      <c r="A563" s="257" t="s">
        <v>3681</v>
      </c>
      <c r="B563" s="67" t="s">
        <v>98</v>
      </c>
      <c r="C563" s="224" t="s">
        <v>221</v>
      </c>
      <c r="D563" s="113"/>
      <c r="E563" s="120" t="s">
        <v>100</v>
      </c>
      <c r="F563" s="82"/>
      <c r="G563" s="84"/>
      <c r="H563" s="90" t="s">
        <v>100</v>
      </c>
      <c r="I563" s="91"/>
      <c r="J563" s="97"/>
      <c r="K563" s="102">
        <v>45945</v>
      </c>
      <c r="L563" s="327"/>
      <c r="M563" s="106"/>
      <c r="N563" s="113" t="s">
        <v>3682</v>
      </c>
      <c r="O563" s="113" t="s">
        <v>3683</v>
      </c>
      <c r="P563" s="57"/>
      <c r="Q563" s="132">
        <v>0.10249999999999999</v>
      </c>
      <c r="R563" s="132">
        <v>8.2500000000000004E-2</v>
      </c>
      <c r="S563" s="63" t="s">
        <v>653</v>
      </c>
      <c r="T563" s="67" t="s">
        <v>3684</v>
      </c>
      <c r="U563" s="67" t="s">
        <v>653</v>
      </c>
      <c r="V563" s="113" t="s">
        <v>106</v>
      </c>
      <c r="W563" s="222">
        <v>94954</v>
      </c>
      <c r="X563" s="139" t="s">
        <v>3685</v>
      </c>
      <c r="Y563" s="139" t="s">
        <v>3686</v>
      </c>
      <c r="Z563" s="139" t="s">
        <v>3687</v>
      </c>
      <c r="AA563" s="200" t="s">
        <v>3688</v>
      </c>
      <c r="AB563" s="130" t="s">
        <v>3689</v>
      </c>
      <c r="AC563" s="202"/>
      <c r="AD563" s="200"/>
      <c r="AE563" s="113"/>
      <c r="AF563" s="113"/>
      <c r="AG563" s="113"/>
      <c r="AH563" s="113"/>
      <c r="AI563" s="130"/>
      <c r="AK563" s="57"/>
      <c r="AL563" s="290" t="s">
        <v>149</v>
      </c>
      <c r="AM563" s="290" t="s">
        <v>198</v>
      </c>
      <c r="AN563" s="290">
        <v>13305</v>
      </c>
      <c r="AO563" s="290">
        <v>62245</v>
      </c>
      <c r="AP563" s="290"/>
      <c r="AQ563" s="290"/>
      <c r="AR563" s="290"/>
      <c r="AS563" s="207" t="s">
        <v>132</v>
      </c>
      <c r="AT563" s="116" t="s">
        <v>670</v>
      </c>
      <c r="AU563" s="67" t="s">
        <v>3684</v>
      </c>
      <c r="AV563" s="251"/>
      <c r="AW563" s="67" t="s">
        <v>653</v>
      </c>
      <c r="AX563" s="113" t="s">
        <v>106</v>
      </c>
      <c r="AY563" s="222">
        <v>94954</v>
      </c>
      <c r="AZ563" s="199" t="s">
        <v>3683</v>
      </c>
      <c r="BA563" s="317"/>
    </row>
    <row r="564" spans="1:53" ht="14.15" customHeight="1" x14ac:dyDescent="0.4">
      <c r="A564" s="257" t="s">
        <v>3690</v>
      </c>
      <c r="B564" s="67" t="s">
        <v>98</v>
      </c>
      <c r="C564" s="224" t="s">
        <v>99</v>
      </c>
      <c r="D564" s="113"/>
      <c r="E564" s="120" t="s">
        <v>100</v>
      </c>
      <c r="F564" s="82"/>
      <c r="G564" s="84"/>
      <c r="H564" s="90" t="s">
        <v>100</v>
      </c>
      <c r="I564" s="91"/>
      <c r="J564" s="97"/>
      <c r="K564" s="102">
        <v>44396</v>
      </c>
      <c r="L564" s="327"/>
      <c r="M564" s="106"/>
      <c r="N564" s="113" t="s">
        <v>3483</v>
      </c>
      <c r="O564" s="113" t="s">
        <v>3484</v>
      </c>
      <c r="P564" s="57"/>
      <c r="Q564" s="132">
        <v>7.7499999999999999E-2</v>
      </c>
      <c r="R564" s="132">
        <v>0.08</v>
      </c>
      <c r="S564" s="63" t="s">
        <v>907</v>
      </c>
      <c r="T564" s="67" t="s">
        <v>3488</v>
      </c>
      <c r="U564" s="67" t="s">
        <v>909</v>
      </c>
      <c r="V564" s="113" t="s">
        <v>106</v>
      </c>
      <c r="W564" s="222">
        <v>94515</v>
      </c>
      <c r="X564" s="142"/>
      <c r="Y564" s="143"/>
      <c r="Z564" s="143"/>
      <c r="AA564" s="200" t="s">
        <v>3691</v>
      </c>
      <c r="AB564" s="130"/>
      <c r="AC564" s="202"/>
      <c r="AD564" s="200"/>
      <c r="AE564" s="113"/>
      <c r="AF564" s="113"/>
      <c r="AG564" s="113"/>
      <c r="AH564" s="113"/>
      <c r="AI564" s="130" t="s">
        <v>3692</v>
      </c>
      <c r="AJ564" s="135" t="s">
        <v>116</v>
      </c>
      <c r="AK564" s="57"/>
      <c r="AL564" s="290" t="s">
        <v>149</v>
      </c>
      <c r="AM564" s="290">
        <v>15741</v>
      </c>
      <c r="AN564" s="290"/>
      <c r="AO564" s="290"/>
      <c r="AP564" s="290"/>
      <c r="AQ564" s="290" t="s">
        <v>3693</v>
      </c>
      <c r="AR564" s="290"/>
      <c r="AS564" s="207" t="s">
        <v>132</v>
      </c>
      <c r="AT564" s="116" t="s">
        <v>670</v>
      </c>
      <c r="AU564" s="67" t="s">
        <v>3694</v>
      </c>
      <c r="AV564" s="251"/>
      <c r="AW564" s="67" t="s">
        <v>909</v>
      </c>
      <c r="AX564" s="113" t="s">
        <v>106</v>
      </c>
      <c r="AY564" s="222">
        <v>94515</v>
      </c>
      <c r="AZ564" s="199" t="s">
        <v>3484</v>
      </c>
      <c r="BA564" s="317"/>
    </row>
    <row r="565" spans="1:53" ht="14.15" customHeight="1" x14ac:dyDescent="0.4">
      <c r="A565" s="257" t="s">
        <v>3695</v>
      </c>
      <c r="B565" s="67" t="s">
        <v>98</v>
      </c>
      <c r="C565" s="68" t="s">
        <v>99</v>
      </c>
      <c r="E565" s="120" t="s">
        <v>100</v>
      </c>
      <c r="F565" s="82"/>
      <c r="G565" s="84"/>
      <c r="H565" s="90" t="s">
        <v>100</v>
      </c>
      <c r="I565" s="91"/>
      <c r="J565" s="97"/>
      <c r="K565" s="102">
        <v>45189</v>
      </c>
      <c r="L565" s="327"/>
      <c r="M565" s="106"/>
      <c r="N565" s="128" t="s">
        <v>3696</v>
      </c>
      <c r="O565" s="128" t="s">
        <v>3697</v>
      </c>
      <c r="Q565" s="131">
        <v>8.6300000000000002E-2</v>
      </c>
      <c r="S565" s="63" t="s">
        <v>103</v>
      </c>
      <c r="T565" s="67" t="s">
        <v>3698</v>
      </c>
      <c r="U565" s="67" t="s">
        <v>105</v>
      </c>
      <c r="V565" s="79" t="s">
        <v>106</v>
      </c>
      <c r="W565" s="76">
        <v>94134</v>
      </c>
      <c r="X565" s="141" t="s">
        <v>3699</v>
      </c>
      <c r="AL565" s="287" t="s">
        <v>251</v>
      </c>
      <c r="AM565" s="288">
        <v>13305</v>
      </c>
      <c r="AN565" s="288">
        <v>15741</v>
      </c>
      <c r="AO565" s="288">
        <v>62245</v>
      </c>
      <c r="AS565" s="207"/>
    </row>
    <row r="566" spans="1:53" ht="14.15" customHeight="1" x14ac:dyDescent="0.4">
      <c r="A566" s="257" t="s">
        <v>3700</v>
      </c>
      <c r="B566" s="67"/>
      <c r="C566" s="224"/>
      <c r="D566" s="115"/>
      <c r="E566" s="120" t="s">
        <v>100</v>
      </c>
      <c r="F566" s="82"/>
      <c r="G566" s="84"/>
      <c r="H566" s="90" t="s">
        <v>100</v>
      </c>
      <c r="I566" s="91"/>
      <c r="J566" s="97"/>
      <c r="K566" s="102">
        <v>45133</v>
      </c>
      <c r="L566" s="327"/>
      <c r="M566" s="106">
        <v>44599</v>
      </c>
      <c r="N566" s="113" t="s">
        <v>3701</v>
      </c>
      <c r="O566" s="113" t="s">
        <v>3702</v>
      </c>
      <c r="P566" s="57" t="s">
        <v>3703</v>
      </c>
      <c r="Q566" s="132">
        <v>9.2499999999999999E-2</v>
      </c>
      <c r="R566" s="132"/>
      <c r="S566" s="63" t="s">
        <v>226</v>
      </c>
      <c r="T566" s="67" t="s">
        <v>3704</v>
      </c>
      <c r="U566" s="67" t="s">
        <v>228</v>
      </c>
      <c r="V566" s="113" t="s">
        <v>106</v>
      </c>
      <c r="W566" s="222">
        <v>94901</v>
      </c>
      <c r="X566" s="141"/>
      <c r="Z566" s="236"/>
      <c r="AA566" s="200"/>
      <c r="AB566" s="130"/>
      <c r="AC566" s="202"/>
      <c r="AD566" s="200"/>
      <c r="AE566" s="113"/>
      <c r="AF566" s="113"/>
      <c r="AG566" s="113"/>
      <c r="AH566" s="113"/>
      <c r="AI566" s="130"/>
      <c r="AK566" s="57"/>
      <c r="AL566" s="287">
        <v>54230</v>
      </c>
      <c r="AS566" s="207"/>
      <c r="AU566" s="67" t="s">
        <v>3704</v>
      </c>
      <c r="AV566" s="251"/>
      <c r="AW566" s="67" t="s">
        <v>228</v>
      </c>
      <c r="AX566" s="113" t="s">
        <v>106</v>
      </c>
      <c r="AY566" s="222">
        <v>94901</v>
      </c>
      <c r="AZ566" s="199" t="s">
        <v>3702</v>
      </c>
      <c r="BA566" s="317"/>
    </row>
    <row r="567" spans="1:53" ht="14.15" customHeight="1" x14ac:dyDescent="0.4">
      <c r="A567" s="257" t="s">
        <v>3705</v>
      </c>
      <c r="B567" s="67" t="s">
        <v>98</v>
      </c>
      <c r="C567" s="224" t="s">
        <v>563</v>
      </c>
      <c r="D567" s="113"/>
      <c r="E567" s="120" t="s">
        <v>100</v>
      </c>
      <c r="F567" s="82"/>
      <c r="G567" s="84"/>
      <c r="H567" s="90" t="s">
        <v>100</v>
      </c>
      <c r="I567" s="91"/>
      <c r="J567" s="97"/>
      <c r="K567" s="102">
        <v>45895</v>
      </c>
      <c r="L567" s="327"/>
      <c r="M567" s="106"/>
      <c r="N567" s="113" t="s">
        <v>1856</v>
      </c>
      <c r="O567" s="113" t="s">
        <v>3706</v>
      </c>
      <c r="P567" s="57"/>
      <c r="Q567" s="132">
        <v>9.2499999999999999E-2</v>
      </c>
      <c r="R567" s="132">
        <v>8.6199999999999999E-2</v>
      </c>
      <c r="S567" s="63" t="s">
        <v>2127</v>
      </c>
      <c r="T567" s="67" t="s">
        <v>3707</v>
      </c>
      <c r="U567" s="67" t="s">
        <v>2129</v>
      </c>
      <c r="V567" s="113" t="s">
        <v>106</v>
      </c>
      <c r="W567" s="222">
        <v>95437</v>
      </c>
      <c r="X567" s="142"/>
      <c r="Y567" s="143"/>
      <c r="Z567" s="143"/>
      <c r="AA567" s="200"/>
      <c r="AB567" s="130"/>
      <c r="AC567" s="202"/>
      <c r="AD567" s="200"/>
      <c r="AE567" s="113"/>
      <c r="AF567" s="113"/>
      <c r="AG567" s="113"/>
      <c r="AH567" s="113"/>
      <c r="AI567" s="130" t="s">
        <v>3708</v>
      </c>
      <c r="AJ567" s="135" t="s">
        <v>116</v>
      </c>
      <c r="AK567" s="57"/>
      <c r="AL567" s="290" t="s">
        <v>289</v>
      </c>
      <c r="AM567" s="290"/>
      <c r="AN567" s="290"/>
      <c r="AO567" s="290"/>
      <c r="AP567" s="290">
        <v>1911</v>
      </c>
      <c r="AQ567" s="290" t="s">
        <v>3709</v>
      </c>
      <c r="AR567" s="290"/>
      <c r="AS567" s="207" t="s">
        <v>132</v>
      </c>
      <c r="AT567" s="116" t="s">
        <v>670</v>
      </c>
      <c r="AU567" s="67" t="s">
        <v>3707</v>
      </c>
      <c r="AV567" s="251"/>
      <c r="AW567" s="67" t="s">
        <v>2129</v>
      </c>
      <c r="AX567" s="113" t="s">
        <v>106</v>
      </c>
      <c r="AY567" s="222">
        <v>94537</v>
      </c>
      <c r="AZ567" s="199" t="s">
        <v>3706</v>
      </c>
      <c r="BA567" s="317"/>
    </row>
    <row r="568" spans="1:53" ht="14.15" customHeight="1" x14ac:dyDescent="0.4">
      <c r="A568" s="257" t="s">
        <v>3710</v>
      </c>
      <c r="B568" s="67" t="s">
        <v>98</v>
      </c>
      <c r="C568" s="224" t="s">
        <v>99</v>
      </c>
      <c r="D568" s="113"/>
      <c r="E568" s="120" t="s">
        <v>100</v>
      </c>
      <c r="F568" s="82"/>
      <c r="G568" s="84"/>
      <c r="H568" s="90" t="s">
        <v>100</v>
      </c>
      <c r="I568" s="91"/>
      <c r="J568" s="97"/>
      <c r="K568" s="102">
        <v>44484</v>
      </c>
      <c r="L568" s="327"/>
      <c r="M568" s="106"/>
      <c r="N568" s="113" t="s">
        <v>3711</v>
      </c>
      <c r="O568" s="113" t="s">
        <v>3712</v>
      </c>
      <c r="P568" s="57"/>
      <c r="Q568" s="132">
        <v>9.7500000000000003E-2</v>
      </c>
      <c r="R568" s="132">
        <v>8.5000000000000006E-2</v>
      </c>
      <c r="S568" s="63" t="s">
        <v>576</v>
      </c>
      <c r="T568" s="67" t="s">
        <v>3713</v>
      </c>
      <c r="U568" s="67" t="s">
        <v>576</v>
      </c>
      <c r="V568" s="113" t="s">
        <v>106</v>
      </c>
      <c r="W568" s="222">
        <v>94553</v>
      </c>
      <c r="X568" s="141"/>
      <c r="Y568" s="143"/>
      <c r="Z568" s="143"/>
      <c r="AA568" s="200"/>
      <c r="AB568" s="130"/>
      <c r="AC568" s="202"/>
      <c r="AD568" s="200"/>
      <c r="AE568" s="113"/>
      <c r="AF568" s="113"/>
      <c r="AG568" s="113"/>
      <c r="AH568" s="113"/>
      <c r="AI568" s="130" t="s">
        <v>3712</v>
      </c>
      <c r="AK568" s="57"/>
      <c r="AL568" s="287">
        <v>15157</v>
      </c>
      <c r="AM568" s="288">
        <v>15185</v>
      </c>
      <c r="AS568" s="207" t="s">
        <v>132</v>
      </c>
      <c r="AT568" s="116" t="s">
        <v>670</v>
      </c>
      <c r="AU568" s="67" t="s">
        <v>3713</v>
      </c>
      <c r="AV568" s="251"/>
      <c r="AW568" s="67" t="s">
        <v>576</v>
      </c>
      <c r="AX568" s="113" t="s">
        <v>106</v>
      </c>
      <c r="AY568" s="222">
        <v>94553</v>
      </c>
      <c r="AZ568" s="199" t="s">
        <v>3714</v>
      </c>
    </row>
    <row r="569" spans="1:53" ht="14.15" customHeight="1" x14ac:dyDescent="0.4">
      <c r="A569" s="257" t="s">
        <v>3715</v>
      </c>
      <c r="B569" s="67" t="s">
        <v>269</v>
      </c>
      <c r="C569" s="224" t="s">
        <v>1262</v>
      </c>
      <c r="D569" s="115"/>
      <c r="E569" s="120" t="s">
        <v>100</v>
      </c>
      <c r="F569" s="82"/>
      <c r="G569" s="84"/>
      <c r="H569" s="90" t="s">
        <v>100</v>
      </c>
      <c r="I569" s="91"/>
      <c r="J569" s="97"/>
      <c r="K569" s="102">
        <v>45461</v>
      </c>
      <c r="L569" s="327"/>
      <c r="M569" s="106">
        <v>45461</v>
      </c>
      <c r="N569" s="113" t="s">
        <v>3716</v>
      </c>
      <c r="O569" s="113" t="s">
        <v>3717</v>
      </c>
      <c r="P569" s="57"/>
      <c r="Q569" s="132">
        <v>9.8750000000000004E-2</v>
      </c>
      <c r="R569" s="132"/>
      <c r="S569" s="63" t="s">
        <v>1685</v>
      </c>
      <c r="T569" s="67" t="s">
        <v>3718</v>
      </c>
      <c r="U569" s="67" t="s">
        <v>1687</v>
      </c>
      <c r="V569" s="113" t="s">
        <v>106</v>
      </c>
      <c r="W569" s="222">
        <v>94044</v>
      </c>
      <c r="X569" s="141"/>
      <c r="Z569" s="236"/>
      <c r="AA569" s="200"/>
      <c r="AB569" s="130"/>
      <c r="AC569" s="202"/>
      <c r="AD569" s="200"/>
      <c r="AE569" s="113"/>
      <c r="AF569" s="113"/>
      <c r="AG569" s="113"/>
      <c r="AH569" s="113"/>
      <c r="AI569" s="130"/>
      <c r="AK569" s="57"/>
      <c r="AS569" s="207"/>
      <c r="AT569" s="116" t="s">
        <v>589</v>
      </c>
      <c r="AU569" s="67" t="s">
        <v>3718</v>
      </c>
      <c r="AV569" s="251"/>
      <c r="AW569" s="67" t="s">
        <v>1687</v>
      </c>
      <c r="AX569" s="113" t="s">
        <v>106</v>
      </c>
      <c r="AY569" s="222">
        <v>94044</v>
      </c>
      <c r="AZ569" s="199" t="s">
        <v>3717</v>
      </c>
      <c r="BA569" s="317"/>
    </row>
    <row r="570" spans="1:53" ht="14.15" customHeight="1" x14ac:dyDescent="0.4">
      <c r="A570" s="257" t="s">
        <v>3719</v>
      </c>
      <c r="B570" s="67" t="s">
        <v>689</v>
      </c>
      <c r="C570" s="68" t="s">
        <v>99</v>
      </c>
      <c r="E570" s="120" t="s">
        <v>173</v>
      </c>
      <c r="F570" s="82" t="s">
        <v>174</v>
      </c>
      <c r="G570" s="84"/>
      <c r="H570" s="90" t="s">
        <v>100</v>
      </c>
      <c r="I570" s="91"/>
      <c r="J570" s="97"/>
      <c r="K570" s="102">
        <v>45994</v>
      </c>
      <c r="L570" s="327"/>
      <c r="M570" s="106"/>
      <c r="N570" s="128" t="s">
        <v>873</v>
      </c>
      <c r="O570" s="128" t="s">
        <v>1237</v>
      </c>
      <c r="Q570" s="131">
        <v>8.6300000000000002E-2</v>
      </c>
      <c r="S570" s="63" t="s">
        <v>103</v>
      </c>
      <c r="T570" s="67" t="s">
        <v>3720</v>
      </c>
      <c r="U570" s="67" t="s">
        <v>105</v>
      </c>
      <c r="V570" s="79" t="s">
        <v>106</v>
      </c>
      <c r="W570" s="76">
        <v>94133</v>
      </c>
      <c r="Y570" s="236" t="s">
        <v>6467</v>
      </c>
      <c r="AL570" s="287" t="s">
        <v>251</v>
      </c>
      <c r="AM570" s="288">
        <v>13305</v>
      </c>
      <c r="AN570" s="288" t="s">
        <v>325</v>
      </c>
      <c r="AO570" s="288">
        <v>62245</v>
      </c>
      <c r="AP570" s="288">
        <v>15741</v>
      </c>
      <c r="AS570" s="207"/>
      <c r="AU570" s="67" t="s">
        <v>3721</v>
      </c>
      <c r="AW570" s="67" t="s">
        <v>105</v>
      </c>
      <c r="AX570" s="79" t="s">
        <v>106</v>
      </c>
      <c r="AY570" s="76">
        <v>94133</v>
      </c>
      <c r="AZ570" s="77" t="s">
        <v>1237</v>
      </c>
    </row>
    <row r="571" spans="1:53" ht="14.15" customHeight="1" x14ac:dyDescent="0.4">
      <c r="A571" s="257" t="s">
        <v>3722</v>
      </c>
      <c r="B571" s="67" t="s">
        <v>244</v>
      </c>
      <c r="C571" s="68" t="s">
        <v>1076</v>
      </c>
      <c r="E571" s="120" t="s">
        <v>173</v>
      </c>
      <c r="F571" s="82" t="s">
        <v>174</v>
      </c>
      <c r="G571" s="81"/>
      <c r="H571" s="90"/>
      <c r="I571" s="91"/>
      <c r="J571" s="97"/>
      <c r="K571" s="100">
        <v>44705</v>
      </c>
      <c r="L571" s="328"/>
      <c r="M571" s="104">
        <v>44593</v>
      </c>
      <c r="N571" s="128" t="s">
        <v>3723</v>
      </c>
      <c r="O571" s="128" t="s">
        <v>3724</v>
      </c>
      <c r="P571" s="59" t="s">
        <v>3725</v>
      </c>
      <c r="Q571" s="132">
        <v>9.2499999999999999E-2</v>
      </c>
      <c r="R571" s="132">
        <v>7.4999999999999997E-2</v>
      </c>
      <c r="S571" s="63" t="s">
        <v>3726</v>
      </c>
      <c r="T571" s="67" t="s">
        <v>3727</v>
      </c>
      <c r="U571" s="67" t="s">
        <v>3728</v>
      </c>
      <c r="V571" s="79" t="s">
        <v>106</v>
      </c>
      <c r="W571" s="76">
        <v>93060</v>
      </c>
      <c r="X571" s="142"/>
      <c r="Y571" s="143"/>
      <c r="Z571" s="235"/>
      <c r="AA571" s="79" t="s">
        <v>3729</v>
      </c>
      <c r="AB571" s="135" t="s">
        <v>3730</v>
      </c>
      <c r="AL571" s="289" t="s">
        <v>289</v>
      </c>
      <c r="AM571" s="289">
        <v>13305</v>
      </c>
      <c r="AN571" s="289" t="s">
        <v>3731</v>
      </c>
      <c r="AO571" s="289">
        <v>62245</v>
      </c>
      <c r="AP571" s="289"/>
      <c r="AQ571" s="289"/>
      <c r="AR571" s="289"/>
      <c r="AS571" s="207" t="s">
        <v>132</v>
      </c>
      <c r="AT571" s="116" t="s">
        <v>670</v>
      </c>
      <c r="AU571" s="67" t="s">
        <v>3727</v>
      </c>
      <c r="AW571" s="67" t="s">
        <v>3728</v>
      </c>
      <c r="AX571" s="79" t="s">
        <v>106</v>
      </c>
      <c r="AY571" s="76">
        <v>93060</v>
      </c>
      <c r="AZ571" s="77" t="s">
        <v>3730</v>
      </c>
      <c r="BA571" s="207"/>
    </row>
    <row r="572" spans="1:53" ht="14.15" customHeight="1" x14ac:dyDescent="0.4">
      <c r="A572" s="257" t="s">
        <v>3732</v>
      </c>
      <c r="B572" s="67" t="s">
        <v>244</v>
      </c>
      <c r="C572" s="224" t="s">
        <v>2980</v>
      </c>
      <c r="D572" s="115"/>
      <c r="E572" s="120" t="s">
        <v>173</v>
      </c>
      <c r="F572" s="82" t="s">
        <v>174</v>
      </c>
      <c r="G572" s="84"/>
      <c r="H572" s="90"/>
      <c r="I572" s="91"/>
      <c r="J572" s="97"/>
      <c r="K572" s="102"/>
      <c r="L572" s="327"/>
      <c r="M572" s="106"/>
      <c r="N572" s="113" t="s">
        <v>3733</v>
      </c>
      <c r="O572" s="130" t="s">
        <v>3734</v>
      </c>
      <c r="P572" s="252" t="s">
        <v>3735</v>
      </c>
      <c r="Q572" s="132">
        <v>9.375E-2</v>
      </c>
      <c r="R572" s="132"/>
      <c r="S572" s="63" t="s">
        <v>1685</v>
      </c>
      <c r="T572" s="67" t="s">
        <v>3736</v>
      </c>
      <c r="U572" s="67" t="s">
        <v>3335</v>
      </c>
      <c r="V572" s="113" t="s">
        <v>106</v>
      </c>
      <c r="W572" s="222">
        <v>94070</v>
      </c>
      <c r="X572" s="141" t="s">
        <v>3737</v>
      </c>
      <c r="Y572" s="141" t="s">
        <v>3737</v>
      </c>
      <c r="Z572" s="141" t="s">
        <v>3737</v>
      </c>
      <c r="AA572" s="200"/>
      <c r="AB572" s="130"/>
      <c r="AC572" s="202"/>
      <c r="AD572" s="200"/>
      <c r="AE572" s="113"/>
      <c r="AF572" s="113"/>
      <c r="AG572" s="113"/>
      <c r="AH572" s="113"/>
      <c r="AI572" s="130"/>
      <c r="AK572" s="57"/>
      <c r="AS572" s="207"/>
      <c r="AU572" s="67" t="s">
        <v>3736</v>
      </c>
      <c r="AV572" s="251"/>
      <c r="AW572" s="67" t="s">
        <v>3335</v>
      </c>
      <c r="AX572" s="113" t="s">
        <v>106</v>
      </c>
      <c r="AY572" s="222">
        <v>94070</v>
      </c>
      <c r="AZ572" s="57" t="s">
        <v>3734</v>
      </c>
      <c r="BA572" s="317"/>
    </row>
    <row r="573" spans="1:53" ht="14.15" customHeight="1" x14ac:dyDescent="0.4">
      <c r="A573" s="257" t="s">
        <v>3738</v>
      </c>
      <c r="B573" s="67" t="s">
        <v>98</v>
      </c>
      <c r="C573" s="225" t="s">
        <v>99</v>
      </c>
      <c r="E573" s="119" t="s">
        <v>100</v>
      </c>
      <c r="F573" s="82"/>
      <c r="G573" s="81"/>
      <c r="H573" s="87"/>
      <c r="I573" s="86"/>
      <c r="J573" s="96"/>
      <c r="K573" s="100"/>
      <c r="L573" s="328"/>
      <c r="M573" s="104">
        <v>44253</v>
      </c>
      <c r="N573" s="128" t="s">
        <v>3739</v>
      </c>
      <c r="O573" s="128" t="s">
        <v>3740</v>
      </c>
      <c r="P573" s="59" t="s">
        <v>3741</v>
      </c>
      <c r="Q573" s="132">
        <v>0.1075</v>
      </c>
      <c r="R573" s="132"/>
      <c r="S573" s="63" t="s">
        <v>2618</v>
      </c>
      <c r="T573" s="67" t="s">
        <v>3742</v>
      </c>
      <c r="U573" s="67" t="s">
        <v>2620</v>
      </c>
      <c r="V573" s="79" t="s">
        <v>106</v>
      </c>
      <c r="W573" s="76">
        <v>94587</v>
      </c>
      <c r="X573" s="141" t="s">
        <v>3743</v>
      </c>
      <c r="Y573" s="143"/>
      <c r="Z573" s="235"/>
      <c r="AL573" s="289"/>
      <c r="AM573" s="289"/>
      <c r="AN573" s="289"/>
      <c r="AO573" s="289"/>
      <c r="AP573" s="289"/>
      <c r="AQ573" s="289"/>
      <c r="AR573" s="289"/>
      <c r="AS573" s="207" t="s">
        <v>132</v>
      </c>
      <c r="AT573" s="116" t="s">
        <v>670</v>
      </c>
      <c r="AU573" s="67" t="s">
        <v>3742</v>
      </c>
      <c r="AW573" s="67" t="s">
        <v>2620</v>
      </c>
      <c r="AX573" s="79" t="s">
        <v>106</v>
      </c>
      <c r="AY573" s="76">
        <v>94587</v>
      </c>
      <c r="AZ573" s="77" t="s">
        <v>3740</v>
      </c>
      <c r="BA573" s="207"/>
    </row>
    <row r="574" spans="1:53" ht="14.15" customHeight="1" x14ac:dyDescent="0.4">
      <c r="A574" s="257" t="s">
        <v>3744</v>
      </c>
      <c r="B574" s="67" t="s">
        <v>98</v>
      </c>
      <c r="C574" s="225" t="s">
        <v>99</v>
      </c>
      <c r="D574" s="112"/>
      <c r="E574" s="119" t="s">
        <v>100</v>
      </c>
      <c r="F574" s="83"/>
      <c r="G574" s="209"/>
      <c r="H574" s="88" t="s">
        <v>100</v>
      </c>
      <c r="I574" s="89"/>
      <c r="J574" s="98"/>
      <c r="K574" s="101">
        <v>45978</v>
      </c>
      <c r="L574" s="329"/>
      <c r="M574" s="105">
        <v>44510</v>
      </c>
      <c r="N574" s="112" t="s">
        <v>3745</v>
      </c>
      <c r="O574" s="112" t="s">
        <v>3746</v>
      </c>
      <c r="P574" s="198" t="s">
        <v>3747</v>
      </c>
      <c r="Q574" s="132">
        <v>8.2500000000000004E-2</v>
      </c>
      <c r="R574" s="132">
        <v>7.4999999999999997E-2</v>
      </c>
      <c r="S574" s="63" t="s">
        <v>1045</v>
      </c>
      <c r="T574" s="198" t="s">
        <v>3748</v>
      </c>
      <c r="U574" s="198" t="s">
        <v>3749</v>
      </c>
      <c r="V574" s="112" t="s">
        <v>106</v>
      </c>
      <c r="W574" s="205">
        <v>93560</v>
      </c>
      <c r="X574" s="141" t="s">
        <v>3750</v>
      </c>
      <c r="Y574" s="205"/>
      <c r="Z574" s="205"/>
      <c r="AA574" s="203"/>
      <c r="AB574" s="205"/>
      <c r="AC574" s="206"/>
      <c r="AD574" s="203"/>
      <c r="AE574" s="205"/>
      <c r="AF574" s="205"/>
      <c r="AG574" s="205"/>
      <c r="AH574" s="205"/>
      <c r="AI574" s="205" t="s">
        <v>2357</v>
      </c>
      <c r="AJ574" s="135" t="s">
        <v>3369</v>
      </c>
      <c r="AK574" s="318"/>
      <c r="AL574" s="289" t="s">
        <v>251</v>
      </c>
      <c r="AM574" s="289">
        <v>13305</v>
      </c>
      <c r="AN574" s="289">
        <v>15741</v>
      </c>
      <c r="AO574" s="289" t="s">
        <v>3751</v>
      </c>
      <c r="AP574" s="289"/>
      <c r="AQ574" s="289"/>
      <c r="AR574" s="289"/>
      <c r="AS574" s="207" t="s">
        <v>132</v>
      </c>
      <c r="AT574" s="116" t="s">
        <v>670</v>
      </c>
      <c r="AU574" s="198" t="s">
        <v>3748</v>
      </c>
      <c r="AV574" s="39"/>
      <c r="AW574" s="198" t="s">
        <v>3749</v>
      </c>
      <c r="AX574" s="112" t="s">
        <v>106</v>
      </c>
      <c r="AY574" s="205">
        <v>93560</v>
      </c>
      <c r="AZ574" s="198" t="s">
        <v>3746</v>
      </c>
      <c r="BA574" s="207"/>
    </row>
    <row r="575" spans="1:53" ht="14.15" customHeight="1" x14ac:dyDescent="0.4">
      <c r="A575" s="257" t="s">
        <v>3752</v>
      </c>
      <c r="B575" s="67" t="s">
        <v>98</v>
      </c>
      <c r="C575" s="225" t="s">
        <v>99</v>
      </c>
      <c r="D575" s="112"/>
      <c r="E575" s="119" t="s">
        <v>100</v>
      </c>
      <c r="F575" s="83"/>
      <c r="G575" s="209"/>
      <c r="H575" s="88" t="s">
        <v>100</v>
      </c>
      <c r="I575" s="89"/>
      <c r="J575" s="98"/>
      <c r="K575" s="101">
        <v>45120</v>
      </c>
      <c r="L575" s="329"/>
      <c r="M575" s="105"/>
      <c r="N575" s="112" t="s">
        <v>3753</v>
      </c>
      <c r="O575" s="112" t="s">
        <v>3754</v>
      </c>
      <c r="P575" s="198"/>
      <c r="Q575" s="132">
        <v>8.6249999999999993E-2</v>
      </c>
      <c r="R575" s="132">
        <v>8.7499999999999994E-2</v>
      </c>
      <c r="S575" s="63" t="s">
        <v>103</v>
      </c>
      <c r="T575" s="198" t="s">
        <v>3755</v>
      </c>
      <c r="U575" s="198" t="s">
        <v>105</v>
      </c>
      <c r="V575" s="112" t="s">
        <v>106</v>
      </c>
      <c r="W575" s="205">
        <v>94158</v>
      </c>
      <c r="X575" s="141" t="s">
        <v>3756</v>
      </c>
      <c r="Y575" s="141" t="s">
        <v>3756</v>
      </c>
      <c r="Z575" s="141" t="s">
        <v>3756</v>
      </c>
      <c r="AA575" s="203" t="s">
        <v>3757</v>
      </c>
      <c r="AB575" s="205" t="s">
        <v>3758</v>
      </c>
      <c r="AC575" s="206" t="s">
        <v>3759</v>
      </c>
      <c r="AD575" s="203"/>
      <c r="AE575" s="205"/>
      <c r="AF575" s="205"/>
      <c r="AG575" s="205"/>
      <c r="AH575" s="205"/>
      <c r="AI575" s="205" t="s">
        <v>3760</v>
      </c>
      <c r="AJ575" s="205" t="s">
        <v>3761</v>
      </c>
      <c r="AK575" s="318"/>
      <c r="AL575" s="289" t="s">
        <v>149</v>
      </c>
      <c r="AM575" s="289">
        <v>13305</v>
      </c>
      <c r="AN575" s="289" t="s">
        <v>290</v>
      </c>
      <c r="AO575" s="289">
        <v>62245</v>
      </c>
      <c r="AP575" s="289"/>
      <c r="AQ575" s="289"/>
      <c r="AR575" s="289"/>
      <c r="AS575" s="207" t="s">
        <v>132</v>
      </c>
      <c r="AT575" s="116" t="s">
        <v>670</v>
      </c>
      <c r="AU575" s="198" t="s">
        <v>3762</v>
      </c>
      <c r="AV575" s="39"/>
      <c r="AW575" s="198" t="s">
        <v>105</v>
      </c>
      <c r="AX575" s="112" t="s">
        <v>106</v>
      </c>
      <c r="AY575" s="205">
        <v>94158</v>
      </c>
      <c r="AZ575" s="198" t="s">
        <v>3754</v>
      </c>
      <c r="BA575" s="207"/>
    </row>
    <row r="576" spans="1:53" ht="14.15" customHeight="1" x14ac:dyDescent="0.4">
      <c r="A576" s="257" t="s">
        <v>3763</v>
      </c>
      <c r="B576" s="67" t="s">
        <v>98</v>
      </c>
      <c r="C576" s="224" t="s">
        <v>254</v>
      </c>
      <c r="D576" s="113" t="s">
        <v>1637</v>
      </c>
      <c r="E576" s="120" t="s">
        <v>100</v>
      </c>
      <c r="F576" s="82" t="s">
        <v>288</v>
      </c>
      <c r="G576" s="84"/>
      <c r="H576" s="90" t="s">
        <v>100</v>
      </c>
      <c r="I576" s="91"/>
      <c r="J576" s="97"/>
      <c r="K576" s="102">
        <v>44340</v>
      </c>
      <c r="L576" s="327"/>
      <c r="M576" s="106">
        <v>45525</v>
      </c>
      <c r="N576" s="113" t="s">
        <v>3764</v>
      </c>
      <c r="O576" s="113" t="s">
        <v>3765</v>
      </c>
      <c r="P576" s="57" t="s">
        <v>3766</v>
      </c>
      <c r="Q576" s="132">
        <v>8.2500000000000004E-2</v>
      </c>
      <c r="R576" s="132">
        <v>8.5000000000000006E-2</v>
      </c>
      <c r="S576" s="63" t="s">
        <v>759</v>
      </c>
      <c r="T576" s="67" t="s">
        <v>3767</v>
      </c>
      <c r="U576" s="67" t="s">
        <v>3768</v>
      </c>
      <c r="V576" s="113" t="s">
        <v>106</v>
      </c>
      <c r="W576" s="222">
        <v>94946</v>
      </c>
      <c r="X576" s="141" t="s">
        <v>3769</v>
      </c>
      <c r="Z576" s="236"/>
      <c r="AA576" s="200" t="s">
        <v>3770</v>
      </c>
      <c r="AB576" s="130" t="s">
        <v>3771</v>
      </c>
      <c r="AC576" s="202" t="s">
        <v>3772</v>
      </c>
      <c r="AD576" s="200" t="s">
        <v>3773</v>
      </c>
      <c r="AE576" s="113"/>
      <c r="AF576" s="113"/>
      <c r="AG576" s="113"/>
      <c r="AH576" s="113"/>
      <c r="AI576" s="130" t="s">
        <v>0</v>
      </c>
      <c r="AJ576" s="135" t="s">
        <v>116</v>
      </c>
      <c r="AK576" s="57"/>
      <c r="AL576" s="290" t="s">
        <v>289</v>
      </c>
      <c r="AM576" s="290">
        <v>13305</v>
      </c>
      <c r="AN576" s="290" t="s">
        <v>198</v>
      </c>
      <c r="AO576" s="290"/>
      <c r="AP576" s="290"/>
      <c r="AQ576" s="290"/>
      <c r="AR576" s="290"/>
      <c r="AS576" s="207" t="s">
        <v>132</v>
      </c>
      <c r="AT576" s="116" t="s">
        <v>670</v>
      </c>
      <c r="AU576" s="67" t="str">
        <f>PROPER(AV576)</f>
        <v>#1 Old Rancheria Road</v>
      </c>
      <c r="AV576" s="251" t="s">
        <v>3774</v>
      </c>
      <c r="AW576" s="67" t="s">
        <v>3768</v>
      </c>
      <c r="AX576" s="113" t="s">
        <v>106</v>
      </c>
      <c r="AY576" s="222">
        <v>94946</v>
      </c>
      <c r="AZ576" s="199" t="s">
        <v>3765</v>
      </c>
      <c r="BA576" s="317"/>
    </row>
    <row r="577" spans="1:53" s="251" customFormat="1" ht="14.15" customHeight="1" x14ac:dyDescent="0.4">
      <c r="A577" s="257" t="s">
        <v>3775</v>
      </c>
      <c r="B577" s="67" t="s">
        <v>174</v>
      </c>
      <c r="C577" s="224" t="s">
        <v>99</v>
      </c>
      <c r="D577" s="115"/>
      <c r="E577" s="120" t="s">
        <v>1648</v>
      </c>
      <c r="F577" s="82" t="s">
        <v>174</v>
      </c>
      <c r="G577" s="84"/>
      <c r="H577" s="90" t="s">
        <v>253</v>
      </c>
      <c r="I577" s="91"/>
      <c r="J577" s="97"/>
      <c r="K577" s="102">
        <v>45475</v>
      </c>
      <c r="L577" s="327"/>
      <c r="M577" s="106"/>
      <c r="N577" s="113" t="s">
        <v>3776</v>
      </c>
      <c r="O577" s="113" t="s">
        <v>3777</v>
      </c>
      <c r="P577" s="57"/>
      <c r="Q577" s="132">
        <v>9.1249999999999998E-2</v>
      </c>
      <c r="R577" s="132"/>
      <c r="S577" s="63" t="s">
        <v>177</v>
      </c>
      <c r="T577" s="67" t="s">
        <v>3778</v>
      </c>
      <c r="U577" s="67" t="s">
        <v>476</v>
      </c>
      <c r="V577" s="113" t="s">
        <v>106</v>
      </c>
      <c r="W577" s="222">
        <v>94301</v>
      </c>
      <c r="X577" s="141"/>
      <c r="Y577" s="236"/>
      <c r="Z577" s="236"/>
      <c r="AA577" s="200"/>
      <c r="AB577" s="130"/>
      <c r="AC577" s="202"/>
      <c r="AD577" s="200"/>
      <c r="AE577" s="113"/>
      <c r="AF577" s="113"/>
      <c r="AG577" s="113"/>
      <c r="AH577" s="113"/>
      <c r="AI577" s="130"/>
      <c r="AJ577" s="135"/>
      <c r="AK577" s="57"/>
      <c r="AL577" s="287"/>
      <c r="AM577" s="288" t="s">
        <v>180</v>
      </c>
      <c r="AN577" s="288"/>
      <c r="AO577" s="288"/>
      <c r="AP577" s="288"/>
      <c r="AQ577" s="288"/>
      <c r="AR577" s="288"/>
      <c r="AS577" s="207"/>
      <c r="AT577" s="116" t="s">
        <v>116</v>
      </c>
      <c r="AU577" s="67" t="s">
        <v>3778</v>
      </c>
      <c r="AW577" s="67" t="s">
        <v>476</v>
      </c>
      <c r="AX577" s="113" t="s">
        <v>106</v>
      </c>
      <c r="AY577" s="222">
        <v>94301</v>
      </c>
      <c r="AZ577" s="199" t="s">
        <v>3777</v>
      </c>
      <c r="BA577" s="317"/>
    </row>
    <row r="578" spans="1:53" ht="14.15" customHeight="1" x14ac:dyDescent="0.4">
      <c r="A578" s="257" t="s">
        <v>3779</v>
      </c>
      <c r="B578" s="67" t="s">
        <v>125</v>
      </c>
      <c r="C578" s="224" t="s">
        <v>99</v>
      </c>
      <c r="D578" s="79" t="s">
        <v>3780</v>
      </c>
      <c r="E578" s="120" t="s">
        <v>100</v>
      </c>
      <c r="F578" s="82"/>
      <c r="G578" s="84"/>
      <c r="H578" s="90" t="s">
        <v>100</v>
      </c>
      <c r="I578" s="91"/>
      <c r="J578" s="97"/>
      <c r="K578" s="102"/>
      <c r="L578" s="327"/>
      <c r="M578" s="106">
        <v>45170</v>
      </c>
      <c r="N578" s="113" t="s">
        <v>657</v>
      </c>
      <c r="O578" s="113" t="s">
        <v>3781</v>
      </c>
      <c r="P578" s="57"/>
      <c r="Q578" s="132">
        <v>0.1</v>
      </c>
      <c r="R578" s="132">
        <v>8.7499999999999994E-2</v>
      </c>
      <c r="S578" s="63" t="s">
        <v>186</v>
      </c>
      <c r="T578" s="67" t="s">
        <v>3782</v>
      </c>
      <c r="U578" s="67" t="s">
        <v>188</v>
      </c>
      <c r="V578" s="113" t="s">
        <v>106</v>
      </c>
      <c r="W578" s="222">
        <v>95407</v>
      </c>
      <c r="Z578" s="236"/>
      <c r="AA578" s="200"/>
      <c r="AB578" s="130"/>
      <c r="AC578" s="202"/>
      <c r="AD578" s="200"/>
      <c r="AE578" s="113"/>
      <c r="AF578" s="113"/>
      <c r="AG578" s="113"/>
      <c r="AH578" s="113"/>
      <c r="AI578" s="130" t="s">
        <v>3783</v>
      </c>
      <c r="AK578" s="57"/>
      <c r="AS578" s="207" t="s">
        <v>132</v>
      </c>
      <c r="AT578" s="116" t="s">
        <v>670</v>
      </c>
      <c r="AU578" s="67" t="s">
        <v>3782</v>
      </c>
      <c r="AV578" s="251"/>
      <c r="AW578" s="67" t="s">
        <v>188</v>
      </c>
      <c r="AX578" s="113" t="s">
        <v>106</v>
      </c>
      <c r="AY578" s="222">
        <v>95407</v>
      </c>
      <c r="AZ578" s="199" t="s">
        <v>3781</v>
      </c>
    </row>
    <row r="579" spans="1:53" ht="14.15" customHeight="1" x14ac:dyDescent="0.4">
      <c r="A579" s="257" t="s">
        <v>3784</v>
      </c>
      <c r="B579" s="67" t="s">
        <v>98</v>
      </c>
      <c r="C579" s="224" t="s">
        <v>99</v>
      </c>
      <c r="D579" s="113"/>
      <c r="E579" s="120" t="s">
        <v>100</v>
      </c>
      <c r="F579" s="82"/>
      <c r="G579" s="84"/>
      <c r="H579" s="90" t="s">
        <v>100</v>
      </c>
      <c r="I579" s="91"/>
      <c r="J579" s="97"/>
      <c r="K579" s="102">
        <v>43080</v>
      </c>
      <c r="L579" s="327"/>
      <c r="M579" s="106">
        <v>44158</v>
      </c>
      <c r="N579" s="113" t="s">
        <v>3785</v>
      </c>
      <c r="O579" s="113" t="s">
        <v>3786</v>
      </c>
      <c r="P579" s="57" t="s">
        <v>3787</v>
      </c>
      <c r="Q579" s="132">
        <v>9.2499999999999999E-2</v>
      </c>
      <c r="R579" s="132">
        <v>0.09</v>
      </c>
      <c r="S579" s="63" t="s">
        <v>420</v>
      </c>
      <c r="T579" s="67" t="s">
        <v>3788</v>
      </c>
      <c r="U579" s="67" t="s">
        <v>420</v>
      </c>
      <c r="V579" s="113" t="s">
        <v>106</v>
      </c>
      <c r="W579" s="222">
        <v>94949</v>
      </c>
      <c r="Z579" s="236"/>
      <c r="AA579" s="200" t="s">
        <v>3789</v>
      </c>
      <c r="AB579" s="130" t="s">
        <v>3790</v>
      </c>
      <c r="AC579" s="202"/>
      <c r="AD579" s="200"/>
      <c r="AE579" s="113"/>
      <c r="AF579" s="113"/>
      <c r="AG579" s="113"/>
      <c r="AH579" s="113"/>
      <c r="AI579" s="130" t="s">
        <v>0</v>
      </c>
      <c r="AJ579" s="135" t="s">
        <v>116</v>
      </c>
      <c r="AK579" s="57"/>
      <c r="AL579" s="287" t="s">
        <v>149</v>
      </c>
      <c r="AM579" s="288">
        <v>13305</v>
      </c>
      <c r="AO579" s="288">
        <v>62245</v>
      </c>
      <c r="AS579" s="207" t="s">
        <v>132</v>
      </c>
      <c r="AT579" s="116" t="s">
        <v>608</v>
      </c>
      <c r="AU579" s="67" t="s">
        <v>3788</v>
      </c>
      <c r="AV579" s="251"/>
      <c r="AW579" s="67" t="s">
        <v>420</v>
      </c>
      <c r="AX579" s="113" t="s">
        <v>106</v>
      </c>
      <c r="AY579" s="222">
        <v>94949</v>
      </c>
      <c r="AZ579" s="199" t="s">
        <v>3786</v>
      </c>
    </row>
    <row r="580" spans="1:53" ht="14.15" customHeight="1" x14ac:dyDescent="0.4">
      <c r="A580" s="257" t="s">
        <v>3791</v>
      </c>
      <c r="B580" s="67" t="s">
        <v>125</v>
      </c>
      <c r="C580" s="224" t="s">
        <v>99</v>
      </c>
      <c r="D580" s="79" t="s">
        <v>3792</v>
      </c>
      <c r="E580" s="120" t="s">
        <v>100</v>
      </c>
      <c r="F580" s="82"/>
      <c r="G580" s="84"/>
      <c r="H580" s="90" t="s">
        <v>100</v>
      </c>
      <c r="I580" s="91"/>
      <c r="J580" s="97"/>
      <c r="K580" s="102">
        <v>43537</v>
      </c>
      <c r="L580" s="327"/>
      <c r="M580" s="106">
        <v>46002</v>
      </c>
      <c r="N580" s="113" t="s">
        <v>3793</v>
      </c>
      <c r="O580" s="113" t="s">
        <v>3794</v>
      </c>
      <c r="P580" s="57"/>
      <c r="Q580" s="132">
        <v>9.2499999999999999E-2</v>
      </c>
      <c r="R580" s="132">
        <v>0.09</v>
      </c>
      <c r="S580" s="63" t="s">
        <v>420</v>
      </c>
      <c r="T580" s="67" t="s">
        <v>422</v>
      </c>
      <c r="U580" s="67" t="s">
        <v>420</v>
      </c>
      <c r="V580" s="113" t="s">
        <v>106</v>
      </c>
      <c r="W580" s="222">
        <v>94947</v>
      </c>
      <c r="Z580" s="236"/>
      <c r="AA580" s="200"/>
      <c r="AB580" s="130"/>
      <c r="AC580" s="202"/>
      <c r="AD580" s="200"/>
      <c r="AE580" s="113"/>
      <c r="AF580" s="113"/>
      <c r="AG580" s="113"/>
      <c r="AH580" s="113"/>
      <c r="AI580" s="130"/>
      <c r="AK580" s="57"/>
      <c r="AL580" s="287">
        <v>63438</v>
      </c>
      <c r="AM580" s="288">
        <v>15157</v>
      </c>
      <c r="AO580" s="288" t="s">
        <v>3795</v>
      </c>
      <c r="AS580" s="207" t="s">
        <v>132</v>
      </c>
      <c r="AT580" s="116" t="s">
        <v>608</v>
      </c>
      <c r="AU580" s="67" t="s">
        <v>422</v>
      </c>
      <c r="AV580" s="251"/>
      <c r="AW580" s="67" t="s">
        <v>420</v>
      </c>
      <c r="AX580" s="113" t="s">
        <v>106</v>
      </c>
      <c r="AY580" s="222">
        <v>94947</v>
      </c>
      <c r="AZ580" s="199" t="s">
        <v>3794</v>
      </c>
    </row>
    <row r="581" spans="1:53" ht="14.15" customHeight="1" x14ac:dyDescent="0.4">
      <c r="A581" s="257" t="s">
        <v>3796</v>
      </c>
      <c r="B581" s="67" t="s">
        <v>125</v>
      </c>
      <c r="C581" s="224" t="s">
        <v>99</v>
      </c>
      <c r="D581" s="79" t="s">
        <v>2109</v>
      </c>
      <c r="E581" s="120" t="s">
        <v>100</v>
      </c>
      <c r="F581" s="82"/>
      <c r="G581" s="84"/>
      <c r="H581" s="90" t="s">
        <v>100</v>
      </c>
      <c r="I581" s="91"/>
      <c r="J581" s="97"/>
      <c r="K581" s="102">
        <v>45327</v>
      </c>
      <c r="L581" s="327"/>
      <c r="M581" s="106">
        <v>43000</v>
      </c>
      <c r="N581" s="113" t="s">
        <v>3797</v>
      </c>
      <c r="O581" s="113" t="s">
        <v>3798</v>
      </c>
      <c r="P581" s="57"/>
      <c r="Q581" s="132">
        <v>9.2499999999999999E-2</v>
      </c>
      <c r="R581" s="132">
        <v>9.2499999999999999E-2</v>
      </c>
      <c r="S581" s="63" t="s">
        <v>226</v>
      </c>
      <c r="T581" s="67" t="s">
        <v>3799</v>
      </c>
      <c r="U581" s="67" t="s">
        <v>228</v>
      </c>
      <c r="V581" s="113" t="s">
        <v>106</v>
      </c>
      <c r="W581" s="222">
        <v>94903</v>
      </c>
      <c r="Z581" s="236"/>
      <c r="AA581" s="200" t="s">
        <v>3034</v>
      </c>
      <c r="AB581" s="130"/>
      <c r="AC581" s="202" t="s">
        <v>3800</v>
      </c>
      <c r="AD581" s="200"/>
      <c r="AE581" s="113"/>
      <c r="AF581" s="113"/>
      <c r="AG581" s="113"/>
      <c r="AH581" s="113"/>
      <c r="AI581" s="130" t="s">
        <v>288</v>
      </c>
      <c r="AK581" s="57"/>
      <c r="AL581" s="290">
        <v>15157</v>
      </c>
      <c r="AM581" s="290"/>
      <c r="AN581" s="290"/>
      <c r="AO581" s="290"/>
      <c r="AP581" s="290"/>
      <c r="AQ581" s="290"/>
      <c r="AR581" s="290"/>
      <c r="AS581" s="207" t="s">
        <v>132</v>
      </c>
      <c r="AT581" s="116" t="s">
        <v>608</v>
      </c>
      <c r="AU581" s="67" t="s">
        <v>3799</v>
      </c>
      <c r="AV581" s="251"/>
      <c r="AW581" s="67" t="s">
        <v>228</v>
      </c>
      <c r="AX581" s="113" t="s">
        <v>106</v>
      </c>
      <c r="AY581" s="222">
        <v>94903</v>
      </c>
      <c r="AZ581" s="199" t="s">
        <v>3798</v>
      </c>
      <c r="BA581" s="317"/>
    </row>
    <row r="582" spans="1:53" ht="14.15" customHeight="1" x14ac:dyDescent="0.4">
      <c r="A582" s="257" t="s">
        <v>3801</v>
      </c>
      <c r="B582" s="67" t="s">
        <v>98</v>
      </c>
      <c r="C582" s="224" t="s">
        <v>99</v>
      </c>
      <c r="E582" s="120" t="s">
        <v>100</v>
      </c>
      <c r="F582" s="82"/>
      <c r="G582" s="84"/>
      <c r="H582" s="90" t="s">
        <v>100</v>
      </c>
      <c r="I582" s="91"/>
      <c r="J582" s="97"/>
      <c r="K582" s="102">
        <v>43909</v>
      </c>
      <c r="L582" s="327"/>
      <c r="M582" s="106"/>
      <c r="N582" s="113" t="s">
        <v>3802</v>
      </c>
      <c r="O582" s="113" t="s">
        <v>3803</v>
      </c>
      <c r="P582" s="57"/>
      <c r="Q582" s="132">
        <v>0</v>
      </c>
      <c r="R582" s="132">
        <v>0</v>
      </c>
      <c r="S582" s="63" t="s">
        <v>943</v>
      </c>
      <c r="T582" s="67" t="s">
        <v>3804</v>
      </c>
      <c r="U582" s="67" t="s">
        <v>3805</v>
      </c>
      <c r="V582" s="113" t="s">
        <v>2498</v>
      </c>
      <c r="W582" s="222">
        <v>89835</v>
      </c>
      <c r="Z582" s="236"/>
      <c r="AA582" s="200"/>
      <c r="AB582" s="130"/>
      <c r="AC582" s="202"/>
      <c r="AD582" s="200"/>
      <c r="AE582" s="113"/>
      <c r="AF582" s="113"/>
      <c r="AG582" s="113"/>
      <c r="AH582" s="113"/>
      <c r="AI582" s="130"/>
      <c r="AK582" s="57"/>
      <c r="AL582" s="290">
        <v>15160</v>
      </c>
      <c r="AM582" s="290"/>
      <c r="AN582" s="290"/>
      <c r="AO582" s="290"/>
      <c r="AP582" s="290"/>
      <c r="AQ582" s="290"/>
      <c r="AR582" s="290"/>
      <c r="AS582" s="207" t="s">
        <v>132</v>
      </c>
      <c r="AT582" s="116" t="s">
        <v>608</v>
      </c>
      <c r="AU582" s="67" t="s">
        <v>3804</v>
      </c>
      <c r="AV582" s="251"/>
      <c r="AW582" s="67" t="s">
        <v>3805</v>
      </c>
      <c r="AX582" s="113" t="s">
        <v>2498</v>
      </c>
      <c r="AY582" s="222">
        <v>89835</v>
      </c>
      <c r="AZ582" s="199" t="s">
        <v>3803</v>
      </c>
      <c r="BA582" s="317"/>
    </row>
    <row r="583" spans="1:53" ht="14.15" customHeight="1" x14ac:dyDescent="0.25">
      <c r="A583" s="257" t="s">
        <v>3806</v>
      </c>
      <c r="B583" s="67" t="s">
        <v>98</v>
      </c>
      <c r="C583" s="68" t="s">
        <v>99</v>
      </c>
      <c r="E583" s="118" t="s">
        <v>100</v>
      </c>
      <c r="F583" s="80"/>
      <c r="G583" s="81"/>
      <c r="H583" s="87" t="s">
        <v>100</v>
      </c>
      <c r="I583" s="86"/>
      <c r="J583" s="96"/>
      <c r="K583" s="100">
        <v>44462</v>
      </c>
      <c r="L583" s="328"/>
      <c r="M583" s="104"/>
      <c r="N583" s="128" t="s">
        <v>3807</v>
      </c>
      <c r="O583" s="128" t="s">
        <v>3808</v>
      </c>
      <c r="P583" s="59" t="s">
        <v>3809</v>
      </c>
      <c r="Q583" s="132">
        <v>9.2499999999999999E-2</v>
      </c>
      <c r="R583" s="132"/>
      <c r="S583" s="63" t="s">
        <v>226</v>
      </c>
      <c r="T583" s="67" t="s">
        <v>3810</v>
      </c>
      <c r="U583" s="67" t="s">
        <v>228</v>
      </c>
      <c r="V583" s="79" t="s">
        <v>106</v>
      </c>
      <c r="W583" s="76">
        <v>94901</v>
      </c>
      <c r="X583" s="141" t="s">
        <v>3811</v>
      </c>
      <c r="Y583" s="141" t="s">
        <v>3811</v>
      </c>
      <c r="Z583" s="146" t="s">
        <v>3811</v>
      </c>
      <c r="AL583" s="290" t="s">
        <v>149</v>
      </c>
      <c r="AM583" s="290" t="s">
        <v>1851</v>
      </c>
      <c r="AN583" s="290" t="s">
        <v>290</v>
      </c>
      <c r="AO583" s="290">
        <v>62245</v>
      </c>
      <c r="AP583" s="290"/>
      <c r="AQ583" s="290"/>
      <c r="AR583" s="290"/>
      <c r="AS583" s="207"/>
      <c r="AU583" s="67" t="s">
        <v>3812</v>
      </c>
      <c r="AW583" s="67" t="s">
        <v>228</v>
      </c>
      <c r="AX583" s="79" t="s">
        <v>106</v>
      </c>
      <c r="AY583" s="76">
        <v>94901</v>
      </c>
      <c r="AZ583" s="77" t="s">
        <v>3813</v>
      </c>
      <c r="BA583" s="207"/>
    </row>
    <row r="584" spans="1:53" ht="14.15" customHeight="1" x14ac:dyDescent="0.4">
      <c r="A584" s="257" t="s">
        <v>3814</v>
      </c>
      <c r="B584" s="67" t="s">
        <v>98</v>
      </c>
      <c r="C584" s="68" t="s">
        <v>99</v>
      </c>
      <c r="E584" s="120" t="s">
        <v>100</v>
      </c>
      <c r="F584" s="82"/>
      <c r="G584" s="84"/>
      <c r="H584" s="90" t="s">
        <v>100</v>
      </c>
      <c r="I584" s="91"/>
      <c r="J584" s="97"/>
      <c r="K584" s="102">
        <v>45063</v>
      </c>
      <c r="L584" s="327"/>
      <c r="M584" s="106"/>
      <c r="N584" s="128" t="s">
        <v>3815</v>
      </c>
      <c r="Q584" s="131">
        <v>0</v>
      </c>
      <c r="S584" s="63" t="s">
        <v>943</v>
      </c>
      <c r="T584" s="67" t="s">
        <v>3816</v>
      </c>
      <c r="U584" s="67" t="s">
        <v>3817</v>
      </c>
      <c r="V584" s="79" t="s">
        <v>3818</v>
      </c>
      <c r="W584" s="76">
        <v>82520</v>
      </c>
      <c r="X584" s="141" t="s">
        <v>3819</v>
      </c>
      <c r="AN584" s="288">
        <v>15741</v>
      </c>
      <c r="AS584" s="207"/>
      <c r="AU584" s="67" t="s">
        <v>3816</v>
      </c>
      <c r="AW584" s="67" t="s">
        <v>3817</v>
      </c>
      <c r="AX584" s="79" t="s">
        <v>3818</v>
      </c>
      <c r="AY584" s="76">
        <v>82520</v>
      </c>
    </row>
    <row r="585" spans="1:53" ht="14.15" customHeight="1" x14ac:dyDescent="0.4">
      <c r="A585" s="257" t="s">
        <v>3820</v>
      </c>
      <c r="B585" s="67" t="s">
        <v>125</v>
      </c>
      <c r="C585" s="224" t="s">
        <v>99</v>
      </c>
      <c r="D585" s="79" t="s">
        <v>3821</v>
      </c>
      <c r="E585" s="120" t="s">
        <v>100</v>
      </c>
      <c r="F585" s="82"/>
      <c r="G585" s="84"/>
      <c r="H585" s="90" t="s">
        <v>100</v>
      </c>
      <c r="I585" s="91"/>
      <c r="J585" s="97"/>
      <c r="K585" s="102">
        <v>45999</v>
      </c>
      <c r="L585" s="327"/>
      <c r="M585" s="106">
        <v>44810</v>
      </c>
      <c r="N585" s="113" t="s">
        <v>3822</v>
      </c>
      <c r="O585" s="113" t="s">
        <v>3823</v>
      </c>
      <c r="P585" s="57" t="s">
        <v>3824</v>
      </c>
      <c r="Q585" s="132">
        <v>0.10249999999999999</v>
      </c>
      <c r="R585" s="132">
        <v>8.2500000000000004E-2</v>
      </c>
      <c r="S585" s="63" t="s">
        <v>653</v>
      </c>
      <c r="T585" s="67" t="s">
        <v>3825</v>
      </c>
      <c r="U585" s="67" t="s">
        <v>653</v>
      </c>
      <c r="V585" s="113" t="s">
        <v>106</v>
      </c>
      <c r="W585" s="222">
        <v>94952</v>
      </c>
      <c r="Z585" s="236"/>
      <c r="AA585" s="200" t="s">
        <v>3826</v>
      </c>
      <c r="AB585" s="130"/>
      <c r="AC585" s="202"/>
      <c r="AD585" s="200"/>
      <c r="AE585" s="113"/>
      <c r="AF585" s="113"/>
      <c r="AG585" s="113"/>
      <c r="AH585" s="113"/>
      <c r="AI585" s="130" t="s">
        <v>0</v>
      </c>
      <c r="AJ585" s="135" t="s">
        <v>116</v>
      </c>
      <c r="AK585" s="57"/>
      <c r="AL585" s="290">
        <v>15157</v>
      </c>
      <c r="AM585" s="290"/>
      <c r="AN585" s="290"/>
      <c r="AO585" s="290" t="s">
        <v>3827</v>
      </c>
      <c r="AP585" s="290"/>
      <c r="AQ585" s="290"/>
      <c r="AR585" s="290"/>
      <c r="AS585" s="207" t="s">
        <v>132</v>
      </c>
      <c r="AT585" s="116" t="s">
        <v>608</v>
      </c>
      <c r="AU585" s="67" t="s">
        <v>3825</v>
      </c>
      <c r="AV585" s="251"/>
      <c r="AW585" s="67" t="s">
        <v>653</v>
      </c>
      <c r="AX585" s="113" t="s">
        <v>106</v>
      </c>
      <c r="AY585" s="222">
        <v>94952</v>
      </c>
      <c r="AZ585" s="199" t="s">
        <v>3823</v>
      </c>
      <c r="BA585" s="317"/>
    </row>
    <row r="586" spans="1:53" ht="13.5" customHeight="1" x14ac:dyDescent="0.4">
      <c r="A586" s="257" t="s">
        <v>3828</v>
      </c>
      <c r="B586" s="67" t="s">
        <v>98</v>
      </c>
      <c r="C586" s="224" t="s">
        <v>99</v>
      </c>
      <c r="D586" s="113"/>
      <c r="E586" s="120" t="s">
        <v>100</v>
      </c>
      <c r="F586" s="82"/>
      <c r="G586" s="84"/>
      <c r="H586" s="90" t="s">
        <v>100</v>
      </c>
      <c r="I586" s="91"/>
      <c r="J586" s="97"/>
      <c r="K586" s="102">
        <v>44140</v>
      </c>
      <c r="L586" s="327"/>
      <c r="M586" s="106">
        <v>44049</v>
      </c>
      <c r="N586" s="113" t="s">
        <v>813</v>
      </c>
      <c r="O586" s="113" t="s">
        <v>3829</v>
      </c>
      <c r="P586" s="57" t="s">
        <v>3830</v>
      </c>
      <c r="Q586" s="132">
        <v>7.2499999999999995E-2</v>
      </c>
      <c r="R586" s="132">
        <v>7.4999999999999997E-2</v>
      </c>
      <c r="S586" s="63" t="s">
        <v>3831</v>
      </c>
      <c r="T586" s="67" t="s">
        <v>3832</v>
      </c>
      <c r="U586" s="67" t="s">
        <v>3833</v>
      </c>
      <c r="V586" s="113" t="s">
        <v>106</v>
      </c>
      <c r="W586" s="222">
        <v>95451</v>
      </c>
      <c r="X586" s="141" t="s">
        <v>3834</v>
      </c>
      <c r="Y586" s="139" t="s">
        <v>3835</v>
      </c>
      <c r="Z586" s="139" t="s">
        <v>3835</v>
      </c>
      <c r="AA586" s="200"/>
      <c r="AB586" s="130" t="s">
        <v>3836</v>
      </c>
      <c r="AC586" s="202"/>
      <c r="AD586" s="200"/>
      <c r="AE586" s="113" t="s">
        <v>3829</v>
      </c>
      <c r="AF586" s="113"/>
      <c r="AG586" s="113"/>
      <c r="AH586" s="113"/>
      <c r="AI586" s="130" t="s">
        <v>3837</v>
      </c>
      <c r="AJ586" s="135" t="s">
        <v>116</v>
      </c>
      <c r="AK586" s="57"/>
      <c r="AL586" s="290" t="s">
        <v>289</v>
      </c>
      <c r="AM586" s="290">
        <v>13305</v>
      </c>
      <c r="AN586" s="290"/>
      <c r="AO586" s="290">
        <v>62245</v>
      </c>
      <c r="AP586" s="290"/>
      <c r="AQ586" s="290"/>
      <c r="AR586" s="290"/>
      <c r="AS586" s="207" t="s">
        <v>132</v>
      </c>
      <c r="AT586" s="116" t="s">
        <v>608</v>
      </c>
      <c r="AU586" s="67" t="str">
        <f>PROPER(AV586)</f>
        <v>9435 Konocti Bay Road</v>
      </c>
      <c r="AV586" s="251" t="s">
        <v>3838</v>
      </c>
      <c r="AW586" s="67" t="s">
        <v>3833</v>
      </c>
      <c r="AX586" s="113" t="s">
        <v>106</v>
      </c>
      <c r="AY586" s="222">
        <v>95451</v>
      </c>
      <c r="AZ586" s="199" t="s">
        <v>3839</v>
      </c>
      <c r="BA586" s="317"/>
    </row>
    <row r="587" spans="1:53" ht="14.15" customHeight="1" x14ac:dyDescent="0.4">
      <c r="A587" s="257" t="s">
        <v>3840</v>
      </c>
      <c r="B587" s="67" t="s">
        <v>98</v>
      </c>
      <c r="C587" s="224" t="s">
        <v>99</v>
      </c>
      <c r="D587" s="115"/>
      <c r="E587" s="120" t="s">
        <v>100</v>
      </c>
      <c r="F587" s="82"/>
      <c r="G587" s="84"/>
      <c r="H587" s="90" t="s">
        <v>100</v>
      </c>
      <c r="I587" s="91"/>
      <c r="J587" s="97"/>
      <c r="K587" s="102">
        <v>46007</v>
      </c>
      <c r="L587" s="327"/>
      <c r="M587" s="106"/>
      <c r="N587" s="113" t="s">
        <v>1888</v>
      </c>
      <c r="O587" s="113" t="s">
        <v>3841</v>
      </c>
      <c r="P587" s="57" t="s">
        <v>3842</v>
      </c>
      <c r="Q587" s="132">
        <v>9.2499999999999999E-2</v>
      </c>
      <c r="R587" s="132">
        <v>7.4999999999999997E-2</v>
      </c>
      <c r="S587" s="63" t="s">
        <v>154</v>
      </c>
      <c r="T587" s="67" t="s">
        <v>3843</v>
      </c>
      <c r="U587" s="67" t="s">
        <v>156</v>
      </c>
      <c r="V587" s="113" t="s">
        <v>106</v>
      </c>
      <c r="W587" s="222">
        <v>95928</v>
      </c>
      <c r="Z587" s="236"/>
      <c r="AA587" s="200" t="s">
        <v>3844</v>
      </c>
      <c r="AB587" s="130" t="s">
        <v>3845</v>
      </c>
      <c r="AC587" s="202"/>
      <c r="AD587" s="200"/>
      <c r="AE587" s="113"/>
      <c r="AF587" s="113"/>
      <c r="AG587" s="113"/>
      <c r="AH587" s="113"/>
      <c r="AI587" s="130" t="s">
        <v>0</v>
      </c>
      <c r="AJ587" s="135" t="s">
        <v>116</v>
      </c>
      <c r="AK587" s="57"/>
      <c r="AL587" s="287" t="s">
        <v>289</v>
      </c>
      <c r="AM587" s="288">
        <v>13305</v>
      </c>
      <c r="AO587" s="288">
        <v>62245</v>
      </c>
      <c r="AS587" s="207" t="s">
        <v>132</v>
      </c>
      <c r="AT587" s="116" t="s">
        <v>608</v>
      </c>
      <c r="AU587" s="67" t="s">
        <v>3843</v>
      </c>
      <c r="AV587" s="251"/>
      <c r="AW587" s="67" t="s">
        <v>156</v>
      </c>
      <c r="AX587" s="113" t="s">
        <v>106</v>
      </c>
      <c r="AY587" s="222">
        <v>95928</v>
      </c>
      <c r="AZ587" s="199" t="s">
        <v>3841</v>
      </c>
    </row>
    <row r="588" spans="1:53" ht="14.15" customHeight="1" x14ac:dyDescent="0.4">
      <c r="A588" s="257" t="s">
        <v>3846</v>
      </c>
      <c r="B588" s="67" t="s">
        <v>269</v>
      </c>
      <c r="C588" s="224" t="s">
        <v>119</v>
      </c>
      <c r="D588" s="113" t="s">
        <v>3847</v>
      </c>
      <c r="E588" s="120" t="s">
        <v>100</v>
      </c>
      <c r="F588" s="82" t="s">
        <v>288</v>
      </c>
      <c r="G588" s="84"/>
      <c r="H588" s="90" t="s">
        <v>100</v>
      </c>
      <c r="I588" s="91"/>
      <c r="J588" s="97"/>
      <c r="K588" s="102"/>
      <c r="L588" s="327"/>
      <c r="M588" s="106">
        <v>44111</v>
      </c>
      <c r="N588" s="113" t="s">
        <v>3848</v>
      </c>
      <c r="O588" s="113" t="s">
        <v>3849</v>
      </c>
      <c r="P588" s="57" t="s">
        <v>3850</v>
      </c>
      <c r="Q588" s="132">
        <v>9.1249999999999998E-2</v>
      </c>
      <c r="R588" s="132">
        <v>8.7499999999999994E-2</v>
      </c>
      <c r="S588" s="63" t="s">
        <v>177</v>
      </c>
      <c r="T588" s="67" t="s">
        <v>3851</v>
      </c>
      <c r="U588" s="67" t="s">
        <v>1282</v>
      </c>
      <c r="V588" s="113" t="s">
        <v>106</v>
      </c>
      <c r="W588" s="222">
        <v>95014</v>
      </c>
      <c r="X588" s="139" t="s">
        <v>3852</v>
      </c>
      <c r="Y588" s="139" t="s">
        <v>3852</v>
      </c>
      <c r="Z588" s="139" t="s">
        <v>3852</v>
      </c>
      <c r="AA588" s="200"/>
      <c r="AB588" s="130"/>
      <c r="AC588" s="202"/>
      <c r="AD588" s="200"/>
      <c r="AE588" s="113"/>
      <c r="AF588" s="113"/>
      <c r="AG588" s="113"/>
      <c r="AH588" s="113"/>
      <c r="AI588" s="130" t="s">
        <v>0</v>
      </c>
      <c r="AJ588" s="135" t="s">
        <v>116</v>
      </c>
      <c r="AK588" s="57"/>
      <c r="AL588" s="290"/>
      <c r="AM588" s="290"/>
      <c r="AN588" s="290"/>
      <c r="AO588" s="290"/>
      <c r="AP588" s="290"/>
      <c r="AQ588" s="290"/>
      <c r="AR588" s="290"/>
      <c r="AS588" s="207" t="s">
        <v>132</v>
      </c>
      <c r="AT588" s="116" t="s">
        <v>608</v>
      </c>
      <c r="AU588" s="67" t="str">
        <f>PROPER(AV588)</f>
        <v>10525 S. Deanza Blvd #100</v>
      </c>
      <c r="AV588" s="251" t="s">
        <v>3853</v>
      </c>
      <c r="AW588" s="67" t="s">
        <v>1282</v>
      </c>
      <c r="AX588" s="113" t="s">
        <v>106</v>
      </c>
      <c r="AY588" s="222">
        <v>95014</v>
      </c>
      <c r="AZ588" s="199" t="s">
        <v>3849</v>
      </c>
      <c r="BA588" s="317"/>
    </row>
    <row r="589" spans="1:53" ht="14.15" customHeight="1" x14ac:dyDescent="0.4">
      <c r="A589" s="257" t="s">
        <v>3854</v>
      </c>
      <c r="B589" s="67" t="s">
        <v>98</v>
      </c>
      <c r="C589" s="224" t="s">
        <v>99</v>
      </c>
      <c r="D589" s="113"/>
      <c r="E589" s="120" t="s">
        <v>100</v>
      </c>
      <c r="F589" s="82"/>
      <c r="G589" s="84"/>
      <c r="H589" s="90" t="s">
        <v>100</v>
      </c>
      <c r="I589" s="91"/>
      <c r="J589" s="97"/>
      <c r="K589" s="102">
        <v>45968</v>
      </c>
      <c r="L589" s="327"/>
      <c r="M589" s="106">
        <v>45161</v>
      </c>
      <c r="N589" s="113" t="s">
        <v>3052</v>
      </c>
      <c r="O589" s="113" t="s">
        <v>3855</v>
      </c>
      <c r="P589" s="57" t="s">
        <v>3856</v>
      </c>
      <c r="Q589" s="132">
        <v>0.10249999999999999</v>
      </c>
      <c r="R589" s="132">
        <v>8.2500000000000004E-2</v>
      </c>
      <c r="S589" s="63" t="s">
        <v>653</v>
      </c>
      <c r="T589" s="67" t="s">
        <v>3857</v>
      </c>
      <c r="U589" s="67" t="s">
        <v>653</v>
      </c>
      <c r="V589" s="113" t="s">
        <v>106</v>
      </c>
      <c r="W589" s="222">
        <v>94952</v>
      </c>
      <c r="Z589" s="236"/>
      <c r="AA589" s="200" t="s">
        <v>3858</v>
      </c>
      <c r="AB589" s="130" t="s">
        <v>3859</v>
      </c>
      <c r="AC589" s="202"/>
      <c r="AD589" s="200"/>
      <c r="AE589" s="113"/>
      <c r="AF589" s="113"/>
      <c r="AG589" s="113"/>
      <c r="AH589" s="113"/>
      <c r="AI589" s="130" t="s">
        <v>3860</v>
      </c>
      <c r="AJ589" s="135" t="s">
        <v>116</v>
      </c>
      <c r="AK589" s="57"/>
      <c r="AL589" s="290" t="s">
        <v>289</v>
      </c>
      <c r="AM589" s="290">
        <v>13305</v>
      </c>
      <c r="AN589" s="290"/>
      <c r="AO589" s="290">
        <v>62245</v>
      </c>
      <c r="AP589" s="290"/>
      <c r="AQ589" s="290"/>
      <c r="AR589" s="290"/>
      <c r="AS589" s="207" t="s">
        <v>132</v>
      </c>
      <c r="AT589" s="116" t="s">
        <v>608</v>
      </c>
      <c r="AU589" s="67" t="s">
        <v>3857</v>
      </c>
      <c r="AV589" s="251"/>
      <c r="AW589" s="67" t="s">
        <v>653</v>
      </c>
      <c r="AX589" s="113" t="s">
        <v>106</v>
      </c>
      <c r="AY589" s="222">
        <v>94952</v>
      </c>
      <c r="AZ589" s="199" t="s">
        <v>3855</v>
      </c>
      <c r="BA589" s="317"/>
    </row>
    <row r="590" spans="1:53" ht="14.15" customHeight="1" x14ac:dyDescent="0.4">
      <c r="A590" s="257" t="s">
        <v>3861</v>
      </c>
      <c r="B590" s="67" t="s">
        <v>269</v>
      </c>
      <c r="C590" s="224" t="s">
        <v>1076</v>
      </c>
      <c r="D590" s="113" t="s">
        <v>2812</v>
      </c>
      <c r="E590" s="120" t="s">
        <v>100</v>
      </c>
      <c r="F590" s="82"/>
      <c r="G590" s="84"/>
      <c r="H590" s="90" t="s">
        <v>100</v>
      </c>
      <c r="I590" s="91"/>
      <c r="J590" s="97"/>
      <c r="K590" s="102">
        <v>45861</v>
      </c>
      <c r="L590" s="327"/>
      <c r="M590" s="106">
        <v>44652</v>
      </c>
      <c r="N590" s="113" t="s">
        <v>1877</v>
      </c>
      <c r="O590" s="113" t="s">
        <v>3862</v>
      </c>
      <c r="P590" s="57" t="s">
        <v>3863</v>
      </c>
      <c r="Q590" s="132">
        <v>0.10249999999999999</v>
      </c>
      <c r="R590" s="132"/>
      <c r="S590" s="63" t="s">
        <v>653</v>
      </c>
      <c r="T590" s="67" t="s">
        <v>3864</v>
      </c>
      <c r="U590" s="67" t="s">
        <v>653</v>
      </c>
      <c r="V590" s="113" t="s">
        <v>3610</v>
      </c>
      <c r="W590" s="222">
        <v>94952</v>
      </c>
      <c r="Z590" s="139" t="s">
        <v>3865</v>
      </c>
      <c r="AA590" s="200" t="s">
        <v>3866</v>
      </c>
      <c r="AB590" s="130" t="s">
        <v>3867</v>
      </c>
      <c r="AC590" s="202"/>
      <c r="AD590" s="200"/>
      <c r="AE590" s="113"/>
      <c r="AF590" s="113"/>
      <c r="AG590" s="113"/>
      <c r="AH590" s="113"/>
      <c r="AI590" s="130"/>
      <c r="AK590" s="57"/>
      <c r="AL590" s="290" t="s">
        <v>149</v>
      </c>
      <c r="AM590" s="290">
        <v>13305</v>
      </c>
      <c r="AN590" s="290"/>
      <c r="AO590" s="290">
        <v>62245</v>
      </c>
      <c r="AP590" s="290"/>
      <c r="AQ590" s="290"/>
      <c r="AR590" s="290"/>
      <c r="AS590" s="207" t="s">
        <v>132</v>
      </c>
      <c r="AT590" s="116" t="s">
        <v>608</v>
      </c>
      <c r="AU590" s="67" t="s">
        <v>3864</v>
      </c>
      <c r="AV590" s="251"/>
      <c r="AW590" s="67" t="s">
        <v>653</v>
      </c>
      <c r="AX590" s="113" t="s">
        <v>3610</v>
      </c>
      <c r="AY590" s="222">
        <v>94952</v>
      </c>
      <c r="AZ590" s="199" t="s">
        <v>3868</v>
      </c>
      <c r="BA590" s="317"/>
    </row>
    <row r="591" spans="1:53" ht="14.15" customHeight="1" x14ac:dyDescent="0.4">
      <c r="A591" s="257" t="s">
        <v>3869</v>
      </c>
      <c r="B591" s="67" t="s">
        <v>244</v>
      </c>
      <c r="C591" s="224" t="s">
        <v>1412</v>
      </c>
      <c r="D591" s="115"/>
      <c r="E591" s="120" t="s">
        <v>173</v>
      </c>
      <c r="F591" s="82" t="s">
        <v>174</v>
      </c>
      <c r="G591" s="84"/>
      <c r="H591" s="90"/>
      <c r="I591" s="91"/>
      <c r="J591" s="97"/>
      <c r="K591" s="102">
        <v>45792</v>
      </c>
      <c r="L591" s="327"/>
      <c r="M591" s="106"/>
      <c r="N591" s="113" t="s">
        <v>2255</v>
      </c>
      <c r="O591" s="130" t="s">
        <v>3870</v>
      </c>
      <c r="P591" s="57"/>
      <c r="Q591" s="132">
        <v>9.2499999999999999E-2</v>
      </c>
      <c r="R591" s="132"/>
      <c r="S591" s="63" t="s">
        <v>262</v>
      </c>
      <c r="T591" s="67" t="s">
        <v>3871</v>
      </c>
      <c r="U591" s="67" t="s">
        <v>3872</v>
      </c>
      <c r="V591" s="113" t="s">
        <v>106</v>
      </c>
      <c r="W591" s="222">
        <v>95446</v>
      </c>
      <c r="X591" s="141" t="s">
        <v>3873</v>
      </c>
      <c r="Y591" s="141" t="s">
        <v>3873</v>
      </c>
      <c r="Z591" s="141" t="s">
        <v>3873</v>
      </c>
      <c r="AA591" s="200"/>
      <c r="AB591" s="130"/>
      <c r="AC591" s="202"/>
      <c r="AD591" s="200"/>
      <c r="AE591" s="113"/>
      <c r="AF591" s="113"/>
      <c r="AG591" s="113"/>
      <c r="AH591" s="113"/>
      <c r="AI591" s="130"/>
      <c r="AK591" s="57"/>
      <c r="AL591" s="287" t="s">
        <v>251</v>
      </c>
      <c r="AM591" s="288">
        <v>13305</v>
      </c>
      <c r="AS591" s="207"/>
      <c r="AT591" s="116" t="s">
        <v>3032</v>
      </c>
      <c r="AU591" s="67" t="s">
        <v>3871</v>
      </c>
      <c r="AV591" s="251"/>
      <c r="AW591" s="67" t="s">
        <v>3872</v>
      </c>
      <c r="AX591" s="113" t="s">
        <v>106</v>
      </c>
      <c r="AY591" s="222">
        <v>95446</v>
      </c>
      <c r="AZ591" s="199" t="s">
        <v>3870</v>
      </c>
      <c r="BA591" s="317"/>
    </row>
    <row r="592" spans="1:53" ht="14.15" customHeight="1" x14ac:dyDescent="0.4">
      <c r="A592" s="257" t="s">
        <v>3874</v>
      </c>
      <c r="B592" s="67" t="s">
        <v>244</v>
      </c>
      <c r="C592" s="224" t="s">
        <v>2968</v>
      </c>
      <c r="D592" s="113"/>
      <c r="E592" s="120" t="s">
        <v>173</v>
      </c>
      <c r="F592" s="82" t="s">
        <v>174</v>
      </c>
      <c r="G592" s="84"/>
      <c r="H592" s="90" t="s">
        <v>100</v>
      </c>
      <c r="I592" s="91"/>
      <c r="J592" s="97"/>
      <c r="K592" s="102">
        <v>43182</v>
      </c>
      <c r="L592" s="327"/>
      <c r="M592" s="106">
        <v>43328</v>
      </c>
      <c r="N592" s="113" t="s">
        <v>2255</v>
      </c>
      <c r="O592" s="113" t="s">
        <v>3875</v>
      </c>
      <c r="P592" s="57"/>
      <c r="Q592" s="132">
        <v>9.2499999999999999E-2</v>
      </c>
      <c r="R592" s="132"/>
      <c r="S592" s="63" t="s">
        <v>1594</v>
      </c>
      <c r="T592" s="67" t="s">
        <v>3876</v>
      </c>
      <c r="U592" s="67" t="s">
        <v>1596</v>
      </c>
      <c r="V592" s="113" t="s">
        <v>106</v>
      </c>
      <c r="W592" s="222">
        <v>94939</v>
      </c>
      <c r="X592" s="141"/>
      <c r="Y592" s="143"/>
      <c r="Z592" s="143"/>
      <c r="AA592" s="200"/>
      <c r="AB592" s="130"/>
      <c r="AC592" s="202"/>
      <c r="AD592" s="200"/>
      <c r="AE592" s="113"/>
      <c r="AF592" s="113"/>
      <c r="AG592" s="113"/>
      <c r="AH592" s="113"/>
      <c r="AI592" s="130"/>
      <c r="AK592" s="57"/>
      <c r="AL592" s="290" t="s">
        <v>289</v>
      </c>
      <c r="AM592" s="290">
        <v>13305</v>
      </c>
      <c r="AN592" s="290">
        <v>15741</v>
      </c>
      <c r="AO592" s="290"/>
      <c r="AP592" s="290"/>
      <c r="AQ592" s="290"/>
      <c r="AR592" s="290"/>
      <c r="AS592" s="207" t="s">
        <v>132</v>
      </c>
      <c r="AT592" s="116" t="s">
        <v>608</v>
      </c>
      <c r="AU592" s="67" t="s">
        <v>3876</v>
      </c>
      <c r="AV592" s="251"/>
      <c r="AW592" s="67" t="s">
        <v>1596</v>
      </c>
      <c r="AX592" s="113" t="s">
        <v>106</v>
      </c>
      <c r="AY592" s="222">
        <v>94939</v>
      </c>
      <c r="AZ592" s="199" t="s">
        <v>3875</v>
      </c>
      <c r="BA592" s="317"/>
    </row>
    <row r="593" spans="1:53" ht="14.15" customHeight="1" x14ac:dyDescent="0.4">
      <c r="A593" s="257" t="s">
        <v>3877</v>
      </c>
      <c r="B593" s="67" t="s">
        <v>98</v>
      </c>
      <c r="C593" s="224" t="s">
        <v>99</v>
      </c>
      <c r="D593" s="113"/>
      <c r="E593" s="120" t="s">
        <v>100</v>
      </c>
      <c r="F593" s="82"/>
      <c r="G593" s="84"/>
      <c r="H593" s="90" t="s">
        <v>100</v>
      </c>
      <c r="I593" s="91"/>
      <c r="J593" s="97"/>
      <c r="K593" s="102">
        <v>44418</v>
      </c>
      <c r="L593" s="327"/>
      <c r="M593" s="106"/>
      <c r="N593" s="113" t="s">
        <v>1605</v>
      </c>
      <c r="O593" s="113" t="s">
        <v>3878</v>
      </c>
      <c r="P593" s="57"/>
      <c r="Q593" s="132">
        <v>9.7500000000000003E-2</v>
      </c>
      <c r="R593" s="132">
        <v>8.7499999999999994E-2</v>
      </c>
      <c r="S593" s="63" t="s">
        <v>3879</v>
      </c>
      <c r="T593" s="67" t="s">
        <v>3880</v>
      </c>
      <c r="U593" s="67" t="s">
        <v>3881</v>
      </c>
      <c r="V593" s="113" t="s">
        <v>106</v>
      </c>
      <c r="W593" s="222">
        <v>94928</v>
      </c>
      <c r="X593" s="141" t="s">
        <v>2151</v>
      </c>
      <c r="Y593" s="139" t="s">
        <v>3882</v>
      </c>
      <c r="Z593" s="139" t="s">
        <v>3883</v>
      </c>
      <c r="AA593" s="200"/>
      <c r="AB593" s="130"/>
      <c r="AC593" s="202"/>
      <c r="AD593" s="200"/>
      <c r="AE593" s="113"/>
      <c r="AF593" s="113"/>
      <c r="AG593" s="113"/>
      <c r="AH593" s="113"/>
      <c r="AI593" s="130"/>
      <c r="AK593" s="57"/>
      <c r="AL593" s="290" t="s">
        <v>289</v>
      </c>
      <c r="AM593" s="290">
        <v>13305</v>
      </c>
      <c r="AN593" s="290"/>
      <c r="AO593" s="290">
        <v>62245</v>
      </c>
      <c r="AP593" s="290"/>
      <c r="AQ593" s="290"/>
      <c r="AR593" s="290"/>
      <c r="AS593" s="207" t="s">
        <v>132</v>
      </c>
      <c r="AT593" s="116" t="s">
        <v>608</v>
      </c>
      <c r="AU593" s="67" t="s">
        <v>3880</v>
      </c>
      <c r="AV593" s="251"/>
      <c r="AW593" s="67" t="s">
        <v>3881</v>
      </c>
      <c r="AX593" s="113" t="s">
        <v>106</v>
      </c>
      <c r="AY593" s="222">
        <v>94928</v>
      </c>
      <c r="AZ593" s="199" t="s">
        <v>3878</v>
      </c>
      <c r="BA593" s="317"/>
    </row>
    <row r="594" spans="1:53" ht="14.15" customHeight="1" x14ac:dyDescent="0.4">
      <c r="A594" s="257" t="s">
        <v>3884</v>
      </c>
      <c r="B594" s="67" t="s">
        <v>98</v>
      </c>
      <c r="C594" s="224" t="s">
        <v>99</v>
      </c>
      <c r="D594" s="113" t="s">
        <v>3885</v>
      </c>
      <c r="E594" s="120" t="s">
        <v>100</v>
      </c>
      <c r="F594" s="82"/>
      <c r="G594" s="84"/>
      <c r="H594" s="90" t="s">
        <v>100</v>
      </c>
      <c r="I594" s="91"/>
      <c r="J594" s="97"/>
      <c r="K594" s="102">
        <v>45475</v>
      </c>
      <c r="L594" s="327"/>
      <c r="M594" s="106"/>
      <c r="N594" s="113" t="s">
        <v>3886</v>
      </c>
      <c r="O594" s="113" t="s">
        <v>3887</v>
      </c>
      <c r="P594" s="57" t="s">
        <v>3888</v>
      </c>
      <c r="Q594" s="132">
        <v>9.2499999999999999E-2</v>
      </c>
      <c r="R594" s="132">
        <v>9.2499999999999999E-2</v>
      </c>
      <c r="S594" s="63" t="s">
        <v>226</v>
      </c>
      <c r="T594" s="67" t="s">
        <v>3889</v>
      </c>
      <c r="U594" s="67" t="s">
        <v>228</v>
      </c>
      <c r="V594" s="113" t="s">
        <v>106</v>
      </c>
      <c r="W594" s="222">
        <v>94903</v>
      </c>
      <c r="X594" s="141" t="s">
        <v>2151</v>
      </c>
      <c r="Z594" s="139" t="s">
        <v>3883</v>
      </c>
      <c r="AA594" s="200" t="s">
        <v>3890</v>
      </c>
      <c r="AB594" s="130" t="s">
        <v>3891</v>
      </c>
      <c r="AC594" s="202"/>
      <c r="AD594" s="200"/>
      <c r="AE594" s="113"/>
      <c r="AF594" s="113"/>
      <c r="AG594" s="113"/>
      <c r="AH594" s="113"/>
      <c r="AI594" s="130" t="s">
        <v>3892</v>
      </c>
      <c r="AJ594" s="135" t="s">
        <v>116</v>
      </c>
      <c r="AK594" s="57"/>
      <c r="AL594" s="290" t="s">
        <v>289</v>
      </c>
      <c r="AM594" s="290">
        <v>13305</v>
      </c>
      <c r="AN594" s="290"/>
      <c r="AO594" s="290">
        <v>62245</v>
      </c>
      <c r="AP594" s="290"/>
      <c r="AQ594" s="290"/>
      <c r="AR594" s="290"/>
      <c r="AS594" s="207" t="s">
        <v>132</v>
      </c>
      <c r="AT594" s="116" t="s">
        <v>608</v>
      </c>
      <c r="AU594" s="67" t="s">
        <v>3889</v>
      </c>
      <c r="AV594" s="251"/>
      <c r="AW594" s="67" t="s">
        <v>228</v>
      </c>
      <c r="AX594" s="113" t="s">
        <v>106</v>
      </c>
      <c r="AY594" s="222">
        <v>94903</v>
      </c>
      <c r="AZ594" s="199" t="s">
        <v>3893</v>
      </c>
      <c r="BA594" s="317"/>
    </row>
    <row r="595" spans="1:53" ht="14.15" customHeight="1" x14ac:dyDescent="0.4">
      <c r="A595" s="257" t="s">
        <v>3894</v>
      </c>
      <c r="B595" s="67" t="s">
        <v>98</v>
      </c>
      <c r="C595" s="224" t="s">
        <v>99</v>
      </c>
      <c r="D595" s="113" t="s">
        <v>1637</v>
      </c>
      <c r="E595" s="120" t="s">
        <v>100</v>
      </c>
      <c r="F595" s="82" t="s">
        <v>288</v>
      </c>
      <c r="G595" s="84"/>
      <c r="H595" s="90" t="s">
        <v>100</v>
      </c>
      <c r="I595" s="91"/>
      <c r="J595" s="97"/>
      <c r="K595" s="102">
        <v>44893</v>
      </c>
      <c r="L595" s="327"/>
      <c r="M595" s="106">
        <v>43559</v>
      </c>
      <c r="N595" s="113" t="s">
        <v>3606</v>
      </c>
      <c r="O595" s="113" t="s">
        <v>3895</v>
      </c>
      <c r="P595" s="57" t="s">
        <v>3896</v>
      </c>
      <c r="Q595" s="132">
        <v>9.2499999999999999E-2</v>
      </c>
      <c r="R595" s="132">
        <v>8.5000000000000006E-2</v>
      </c>
      <c r="S595" s="63" t="s">
        <v>759</v>
      </c>
      <c r="T595" s="67" t="s">
        <v>3897</v>
      </c>
      <c r="U595" s="67" t="s">
        <v>823</v>
      </c>
      <c r="V595" s="113" t="s">
        <v>106</v>
      </c>
      <c r="W595" s="222">
        <v>94941</v>
      </c>
      <c r="Z595" s="236"/>
      <c r="AA595" s="200" t="s">
        <v>1344</v>
      </c>
      <c r="AB595" s="130" t="s">
        <v>3898</v>
      </c>
      <c r="AC595" s="202" t="s">
        <v>3899</v>
      </c>
      <c r="AD595" s="200" t="s">
        <v>3900</v>
      </c>
      <c r="AE595" s="113"/>
      <c r="AF595" s="113"/>
      <c r="AG595" s="113"/>
      <c r="AH595" s="113"/>
      <c r="AI595" s="130" t="s">
        <v>3901</v>
      </c>
      <c r="AJ595" s="135" t="s">
        <v>116</v>
      </c>
      <c r="AK595" s="57"/>
      <c r="AL595" s="290" t="s">
        <v>289</v>
      </c>
      <c r="AM595" s="290">
        <v>13305</v>
      </c>
      <c r="AN595" s="290">
        <v>15741</v>
      </c>
      <c r="AO595" s="290">
        <v>62245</v>
      </c>
      <c r="AP595" s="290"/>
      <c r="AQ595" s="290"/>
      <c r="AR595" s="290"/>
      <c r="AS595" s="207" t="s">
        <v>132</v>
      </c>
      <c r="AT595" s="116" t="s">
        <v>608</v>
      </c>
      <c r="AU595" s="67" t="str">
        <f>PROPER(AV595)</f>
        <v>591 Redwood Hwy</v>
      </c>
      <c r="AV595" s="251" t="s">
        <v>3902</v>
      </c>
      <c r="AW595" s="67" t="s">
        <v>823</v>
      </c>
      <c r="AX595" s="113" t="s">
        <v>106</v>
      </c>
      <c r="AY595" s="222">
        <v>94941</v>
      </c>
      <c r="AZ595" s="199" t="s">
        <v>3895</v>
      </c>
      <c r="BA595" s="317"/>
    </row>
    <row r="596" spans="1:53" ht="14.15" customHeight="1" x14ac:dyDescent="0.4">
      <c r="A596" s="257" t="s">
        <v>3903</v>
      </c>
      <c r="B596" s="67" t="s">
        <v>98</v>
      </c>
      <c r="C596" s="224" t="s">
        <v>99</v>
      </c>
      <c r="D596" s="113"/>
      <c r="E596" s="120" t="s">
        <v>100</v>
      </c>
      <c r="F596" s="82"/>
      <c r="G596" s="84"/>
      <c r="H596" s="90" t="s">
        <v>100</v>
      </c>
      <c r="I596" s="91"/>
      <c r="J596" s="97"/>
      <c r="K596" s="102">
        <v>44518</v>
      </c>
      <c r="L596" s="327"/>
      <c r="M596" s="106"/>
      <c r="N596" s="113" t="s">
        <v>3904</v>
      </c>
      <c r="O596" s="113" t="s">
        <v>3905</v>
      </c>
      <c r="P596" s="57"/>
      <c r="Q596" s="132">
        <v>9.6250000000000002E-2</v>
      </c>
      <c r="R596" s="132">
        <v>0.09</v>
      </c>
      <c r="S596" s="63" t="s">
        <v>280</v>
      </c>
      <c r="T596" s="67" t="s">
        <v>3906</v>
      </c>
      <c r="U596" s="67" t="s">
        <v>282</v>
      </c>
      <c r="V596" s="113" t="s">
        <v>106</v>
      </c>
      <c r="W596" s="222">
        <v>94010</v>
      </c>
      <c r="Z596" s="236"/>
      <c r="AA596" s="200"/>
      <c r="AB596" s="130"/>
      <c r="AC596" s="202"/>
      <c r="AD596" s="200"/>
      <c r="AE596" s="113"/>
      <c r="AF596" s="113"/>
      <c r="AG596" s="113"/>
      <c r="AH596" s="113"/>
      <c r="AI596" s="130"/>
      <c r="AK596" s="57"/>
      <c r="AL596" s="289" t="s">
        <v>149</v>
      </c>
      <c r="AM596" s="289">
        <v>13305</v>
      </c>
      <c r="AN596" s="289"/>
      <c r="AO596" s="289">
        <v>62245</v>
      </c>
      <c r="AP596" s="289"/>
      <c r="AQ596" s="289"/>
      <c r="AR596" s="289"/>
      <c r="AS596" s="207" t="s">
        <v>132</v>
      </c>
      <c r="AT596" s="116" t="s">
        <v>608</v>
      </c>
      <c r="AU596" s="67" t="s">
        <v>3906</v>
      </c>
      <c r="AV596" s="251"/>
      <c r="AW596" s="67" t="s">
        <v>282</v>
      </c>
      <c r="AX596" s="113" t="s">
        <v>106</v>
      </c>
      <c r="AY596" s="222">
        <v>94010</v>
      </c>
      <c r="AZ596" s="199" t="s">
        <v>3905</v>
      </c>
      <c r="BA596" s="207"/>
    </row>
    <row r="597" spans="1:53" ht="14.15" customHeight="1" x14ac:dyDescent="0.4">
      <c r="A597" s="257" t="s">
        <v>3907</v>
      </c>
      <c r="B597" s="67" t="s">
        <v>98</v>
      </c>
      <c r="C597" s="224" t="s">
        <v>435</v>
      </c>
      <c r="D597" s="113" t="s">
        <v>1637</v>
      </c>
      <c r="E597" s="120" t="s">
        <v>100</v>
      </c>
      <c r="F597" s="82"/>
      <c r="G597" s="84"/>
      <c r="H597" s="90" t="s">
        <v>100</v>
      </c>
      <c r="I597" s="91"/>
      <c r="J597" s="97"/>
      <c r="K597" s="102">
        <v>45302</v>
      </c>
      <c r="L597" s="327"/>
      <c r="M597" s="106"/>
      <c r="N597" s="113" t="s">
        <v>3908</v>
      </c>
      <c r="O597" s="113" t="s">
        <v>3909</v>
      </c>
      <c r="P597" s="57" t="s">
        <v>3910</v>
      </c>
      <c r="Q597" s="132">
        <v>0.10249999999999999</v>
      </c>
      <c r="R597" s="132">
        <v>9.5000000000000001E-2</v>
      </c>
      <c r="S597" s="63" t="s">
        <v>113</v>
      </c>
      <c r="T597" s="67" t="s">
        <v>3911</v>
      </c>
      <c r="U597" s="67" t="s">
        <v>115</v>
      </c>
      <c r="V597" s="113" t="s">
        <v>106</v>
      </c>
      <c r="W597" s="222">
        <v>94618</v>
      </c>
      <c r="X597" s="141"/>
      <c r="Z597" s="236"/>
      <c r="AA597" s="200" t="s">
        <v>3908</v>
      </c>
      <c r="AB597" s="130"/>
      <c r="AC597" s="202" t="s">
        <v>1059</v>
      </c>
      <c r="AD597" s="200" t="s">
        <v>3912</v>
      </c>
      <c r="AE597" s="113"/>
      <c r="AF597" s="113"/>
      <c r="AG597" s="113"/>
      <c r="AH597" s="113"/>
      <c r="AI597" s="130" t="s">
        <v>3913</v>
      </c>
      <c r="AJ597" s="135" t="s">
        <v>116</v>
      </c>
      <c r="AK597" s="57"/>
      <c r="AL597" s="289" t="s">
        <v>149</v>
      </c>
      <c r="AM597" s="289">
        <v>13305</v>
      </c>
      <c r="AN597" s="289"/>
      <c r="AO597" s="289">
        <v>62245</v>
      </c>
      <c r="AP597" s="289"/>
      <c r="AQ597" s="289"/>
      <c r="AR597" s="289"/>
      <c r="AS597" s="207" t="s">
        <v>132</v>
      </c>
      <c r="AT597" s="116" t="s">
        <v>608</v>
      </c>
      <c r="AU597" s="67" t="s">
        <v>3911</v>
      </c>
      <c r="AV597" s="251" t="s">
        <v>3914</v>
      </c>
      <c r="AW597" s="67" t="s">
        <v>115</v>
      </c>
      <c r="AX597" s="113" t="s">
        <v>106</v>
      </c>
      <c r="AY597" s="222">
        <v>94618</v>
      </c>
      <c r="AZ597" s="199" t="s">
        <v>3909</v>
      </c>
      <c r="BA597" s="207"/>
    </row>
    <row r="598" spans="1:53" ht="14.15" customHeight="1" x14ac:dyDescent="0.4">
      <c r="A598" s="257" t="s">
        <v>3915</v>
      </c>
      <c r="B598" s="67" t="s">
        <v>98</v>
      </c>
      <c r="C598" s="224" t="s">
        <v>563</v>
      </c>
      <c r="D598" s="113"/>
      <c r="E598" s="120" t="s">
        <v>100</v>
      </c>
      <c r="F598" s="82"/>
      <c r="G598" s="84"/>
      <c r="H598" s="90" t="s">
        <v>100</v>
      </c>
      <c r="I598" s="91"/>
      <c r="J598" s="97"/>
      <c r="K598" s="102">
        <v>45041</v>
      </c>
      <c r="L598" s="327"/>
      <c r="M598" s="106"/>
      <c r="N598" s="113" t="s">
        <v>3916</v>
      </c>
      <c r="O598" s="113" t="s">
        <v>3917</v>
      </c>
      <c r="P598" s="57"/>
      <c r="Q598" s="132">
        <v>8.6249999999999993E-2</v>
      </c>
      <c r="R598" s="132">
        <v>8.7499999999999994E-2</v>
      </c>
      <c r="S598" s="63" t="s">
        <v>103</v>
      </c>
      <c r="T598" s="67" t="s">
        <v>3918</v>
      </c>
      <c r="U598" s="67" t="s">
        <v>105</v>
      </c>
      <c r="V598" s="113" t="s">
        <v>106</v>
      </c>
      <c r="W598" s="222">
        <v>94133</v>
      </c>
      <c r="X598" s="141" t="s">
        <v>3919</v>
      </c>
      <c r="Y598" s="139" t="s">
        <v>3920</v>
      </c>
      <c r="Z598" s="139" t="s">
        <v>3919</v>
      </c>
      <c r="AA598" s="200" t="s">
        <v>3921</v>
      </c>
      <c r="AB598" s="130"/>
      <c r="AC598" s="202"/>
      <c r="AD598" s="200"/>
      <c r="AE598" s="113" t="s">
        <v>3922</v>
      </c>
      <c r="AF598" s="113"/>
      <c r="AG598" s="113"/>
      <c r="AH598" s="113"/>
      <c r="AI598" s="130"/>
      <c r="AK598" s="57"/>
      <c r="AL598" s="289" t="s">
        <v>149</v>
      </c>
      <c r="AM598" s="289">
        <v>13305</v>
      </c>
      <c r="AN598" s="289"/>
      <c r="AO598" s="289">
        <v>62245</v>
      </c>
      <c r="AP598" s="289"/>
      <c r="AQ598" s="289"/>
      <c r="AR598" s="289"/>
      <c r="AS598" s="207" t="s">
        <v>132</v>
      </c>
      <c r="AT598" s="116" t="s">
        <v>608</v>
      </c>
      <c r="AU598" s="67" t="s">
        <v>3918</v>
      </c>
      <c r="AV598" s="251"/>
      <c r="AW598" s="67" t="s">
        <v>105</v>
      </c>
      <c r="AX598" s="113" t="s">
        <v>106</v>
      </c>
      <c r="AY598" s="222">
        <v>94133</v>
      </c>
      <c r="AZ598" s="199" t="s">
        <v>3917</v>
      </c>
      <c r="BA598" s="207"/>
    </row>
    <row r="599" spans="1:53" ht="14.15" customHeight="1" x14ac:dyDescent="0.4">
      <c r="A599" s="257" t="s">
        <v>3923</v>
      </c>
      <c r="B599" s="67" t="s">
        <v>98</v>
      </c>
      <c r="C599" s="224" t="s">
        <v>99</v>
      </c>
      <c r="D599" s="113"/>
      <c r="E599" s="120" t="s">
        <v>100</v>
      </c>
      <c r="F599" s="82"/>
      <c r="G599" s="84"/>
      <c r="H599" s="90" t="s">
        <v>100</v>
      </c>
      <c r="I599" s="91"/>
      <c r="J599" s="97"/>
      <c r="K599" s="102">
        <v>44620</v>
      </c>
      <c r="L599" s="327"/>
      <c r="M599" s="106">
        <v>43539</v>
      </c>
      <c r="N599" s="113" t="s">
        <v>3924</v>
      </c>
      <c r="O599" s="113" t="s">
        <v>3925</v>
      </c>
      <c r="P599" s="57"/>
      <c r="Q599" s="132">
        <v>9.6299999999999997E-2</v>
      </c>
      <c r="R599" s="132"/>
      <c r="S599" s="63" t="s">
        <v>303</v>
      </c>
      <c r="T599" s="67" t="s">
        <v>3926</v>
      </c>
      <c r="U599" s="67" t="s">
        <v>2389</v>
      </c>
      <c r="V599" s="113" t="s">
        <v>106</v>
      </c>
      <c r="W599" s="222">
        <v>94510</v>
      </c>
      <c r="X599" s="139" t="s">
        <v>3927</v>
      </c>
      <c r="Y599" s="139" t="s">
        <v>3927</v>
      </c>
      <c r="Z599" s="139" t="s">
        <v>3927</v>
      </c>
      <c r="AA599" s="200"/>
      <c r="AB599" s="130"/>
      <c r="AC599" s="202"/>
      <c r="AD599" s="200"/>
      <c r="AE599" s="113"/>
      <c r="AF599" s="113"/>
      <c r="AG599" s="113"/>
      <c r="AH599" s="113"/>
      <c r="AI599" s="130"/>
      <c r="AK599" s="57"/>
      <c r="AL599" s="289" t="s">
        <v>149</v>
      </c>
      <c r="AM599" s="289">
        <v>18333</v>
      </c>
      <c r="AN599" s="289">
        <v>15160</v>
      </c>
      <c r="AO599" s="289"/>
      <c r="AP599" s="289"/>
      <c r="AQ599" s="289"/>
      <c r="AR599" s="289"/>
      <c r="AS599" s="207" t="s">
        <v>132</v>
      </c>
      <c r="AT599" s="116" t="s">
        <v>608</v>
      </c>
      <c r="AU599" s="67" t="s">
        <v>3928</v>
      </c>
      <c r="AV599" s="251"/>
      <c r="AW599" s="67" t="s">
        <v>2389</v>
      </c>
      <c r="AX599" s="113" t="s">
        <v>106</v>
      </c>
      <c r="AY599" s="222">
        <v>94510</v>
      </c>
      <c r="AZ599" s="199" t="s">
        <v>3925</v>
      </c>
      <c r="BA599" s="207"/>
    </row>
    <row r="600" spans="1:53" ht="14.15" customHeight="1" x14ac:dyDescent="0.4">
      <c r="A600" s="257" t="s">
        <v>3929</v>
      </c>
      <c r="B600" s="67" t="s">
        <v>98</v>
      </c>
      <c r="C600" s="225" t="s">
        <v>99</v>
      </c>
      <c r="D600" s="112"/>
      <c r="E600" s="119" t="s">
        <v>100</v>
      </c>
      <c r="F600" s="83"/>
      <c r="G600" s="209"/>
      <c r="H600" s="88" t="s">
        <v>100</v>
      </c>
      <c r="I600" s="89"/>
      <c r="J600" s="98"/>
      <c r="K600" s="101">
        <v>45936</v>
      </c>
      <c r="L600" s="329"/>
      <c r="M600" s="105"/>
      <c r="N600" s="112" t="s">
        <v>3930</v>
      </c>
      <c r="O600" s="112" t="s">
        <v>3931</v>
      </c>
      <c r="P600" s="198"/>
      <c r="Q600" s="132">
        <v>8.6249999999999993E-2</v>
      </c>
      <c r="R600" s="132"/>
      <c r="S600" s="63" t="s">
        <v>103</v>
      </c>
      <c r="T600" s="198" t="s">
        <v>3932</v>
      </c>
      <c r="U600" s="198" t="s">
        <v>105</v>
      </c>
      <c r="V600" s="112" t="s">
        <v>106</v>
      </c>
      <c r="W600" s="205">
        <v>94123</v>
      </c>
      <c r="X600" s="139" t="s">
        <v>3933</v>
      </c>
      <c r="Y600" s="139" t="s">
        <v>3934</v>
      </c>
      <c r="Z600" s="139" t="s">
        <v>3934</v>
      </c>
      <c r="AA600" s="203" t="s">
        <v>794</v>
      </c>
      <c r="AB600" s="205"/>
      <c r="AC600" s="206"/>
      <c r="AD600" s="203"/>
      <c r="AE600" s="205"/>
      <c r="AF600" s="205"/>
      <c r="AG600" s="205"/>
      <c r="AH600" s="205"/>
      <c r="AI600" s="205"/>
      <c r="AJ600" s="205"/>
      <c r="AK600" s="318"/>
      <c r="AL600" s="289" t="s">
        <v>289</v>
      </c>
      <c r="AM600" s="289" t="s">
        <v>290</v>
      </c>
      <c r="AN600" s="289">
        <v>13305</v>
      </c>
      <c r="AO600" s="289">
        <v>62245</v>
      </c>
      <c r="AP600" s="289"/>
      <c r="AQ600" s="289"/>
      <c r="AR600" s="289"/>
      <c r="AS600" s="207" t="s">
        <v>132</v>
      </c>
      <c r="AT600" s="116" t="s">
        <v>608</v>
      </c>
      <c r="AU600" s="198" t="s">
        <v>3932</v>
      </c>
      <c r="AV600" s="39"/>
      <c r="AW600" s="198" t="s">
        <v>105</v>
      </c>
      <c r="AX600" s="112" t="s">
        <v>106</v>
      </c>
      <c r="AY600" s="205">
        <v>94123</v>
      </c>
      <c r="AZ600" s="198" t="s">
        <v>3931</v>
      </c>
      <c r="BA600" s="207"/>
    </row>
    <row r="601" spans="1:53" ht="14.15" customHeight="1" x14ac:dyDescent="0.4">
      <c r="A601" s="257" t="s">
        <v>3935</v>
      </c>
      <c r="B601" s="67" t="s">
        <v>98</v>
      </c>
      <c r="C601" s="224" t="s">
        <v>563</v>
      </c>
      <c r="D601" s="115"/>
      <c r="E601" s="120" t="s">
        <v>100</v>
      </c>
      <c r="F601" s="82"/>
      <c r="G601" s="84"/>
      <c r="H601" s="90" t="s">
        <v>100</v>
      </c>
      <c r="I601" s="91"/>
      <c r="J601" s="97"/>
      <c r="K601" s="102"/>
      <c r="L601" s="327"/>
      <c r="M601" s="106">
        <v>45643</v>
      </c>
      <c r="N601" s="113" t="s">
        <v>3936</v>
      </c>
      <c r="O601" s="113" t="s">
        <v>3937</v>
      </c>
      <c r="P601" s="57"/>
      <c r="Q601" s="132">
        <v>9.7500000000000003E-2</v>
      </c>
      <c r="R601" s="132"/>
      <c r="S601" s="63" t="s">
        <v>3879</v>
      </c>
      <c r="T601" s="67" t="s">
        <v>3938</v>
      </c>
      <c r="U601" s="67" t="s">
        <v>3881</v>
      </c>
      <c r="V601" s="113" t="s">
        <v>106</v>
      </c>
      <c r="W601" s="222">
        <v>94928</v>
      </c>
      <c r="X601" s="141"/>
      <c r="Z601" s="236"/>
      <c r="AA601" s="200"/>
      <c r="AB601" s="130"/>
      <c r="AC601" s="202"/>
      <c r="AD601" s="200"/>
      <c r="AE601" s="113"/>
      <c r="AF601" s="113"/>
      <c r="AG601" s="113"/>
      <c r="AH601" s="113"/>
      <c r="AI601" s="130"/>
      <c r="AK601" s="57"/>
      <c r="AS601" s="207"/>
      <c r="AU601" s="67" t="s">
        <v>3938</v>
      </c>
      <c r="AV601" s="251"/>
      <c r="AW601" s="67" t="s">
        <v>3881</v>
      </c>
      <c r="AX601" s="113" t="s">
        <v>106</v>
      </c>
      <c r="AY601" s="222">
        <v>94928</v>
      </c>
      <c r="AZ601" s="199" t="s">
        <v>3937</v>
      </c>
      <c r="BA601" s="317"/>
    </row>
    <row r="602" spans="1:53" ht="14.15" customHeight="1" x14ac:dyDescent="0.4">
      <c r="A602" s="257" t="s">
        <v>3939</v>
      </c>
      <c r="B602" s="67" t="s">
        <v>98</v>
      </c>
      <c r="C602" s="224" t="s">
        <v>99</v>
      </c>
      <c r="E602" s="118" t="s">
        <v>100</v>
      </c>
      <c r="F602" s="80"/>
      <c r="G602" s="81"/>
      <c r="H602" s="92" t="s">
        <v>100</v>
      </c>
      <c r="I602" s="86"/>
      <c r="J602" s="96"/>
      <c r="K602" s="100"/>
      <c r="L602" s="328"/>
      <c r="M602" s="104">
        <v>44998</v>
      </c>
      <c r="N602" s="128" t="s">
        <v>1778</v>
      </c>
      <c r="O602" s="128" t="s">
        <v>3940</v>
      </c>
      <c r="Q602" s="132">
        <v>8.6249999999999993E-2</v>
      </c>
      <c r="R602" s="132">
        <v>8.7499999999999994E-2</v>
      </c>
      <c r="S602" s="63" t="s">
        <v>103</v>
      </c>
      <c r="T602" s="67" t="s">
        <v>3941</v>
      </c>
      <c r="U602" s="67" t="s">
        <v>105</v>
      </c>
      <c r="V602" s="79" t="s">
        <v>106</v>
      </c>
      <c r="W602" s="76">
        <v>94111</v>
      </c>
      <c r="AI602" s="135" t="s">
        <v>0</v>
      </c>
      <c r="AJ602" s="135" t="s">
        <v>116</v>
      </c>
      <c r="AL602" s="290"/>
      <c r="AM602" s="290"/>
      <c r="AN602" s="290"/>
      <c r="AO602" s="290"/>
      <c r="AP602" s="290"/>
      <c r="AQ602" s="290"/>
      <c r="AR602" s="290"/>
      <c r="AS602" s="207" t="s">
        <v>132</v>
      </c>
      <c r="AT602" s="116" t="s">
        <v>608</v>
      </c>
      <c r="AU602" s="67" t="s">
        <v>3941</v>
      </c>
      <c r="AV602" s="66" t="s">
        <v>3942</v>
      </c>
      <c r="AW602" s="67" t="s">
        <v>105</v>
      </c>
      <c r="AX602" s="79" t="s">
        <v>106</v>
      </c>
      <c r="AY602" s="76">
        <v>94111</v>
      </c>
      <c r="AZ602" s="77" t="s">
        <v>3940</v>
      </c>
      <c r="BA602" s="317"/>
    </row>
    <row r="603" spans="1:53" ht="14.15" customHeight="1" x14ac:dyDescent="0.4">
      <c r="A603" s="257" t="s">
        <v>3943</v>
      </c>
      <c r="B603" s="67" t="s">
        <v>98</v>
      </c>
      <c r="C603" s="224" t="s">
        <v>99</v>
      </c>
      <c r="D603" s="115"/>
      <c r="E603" s="120" t="s">
        <v>100</v>
      </c>
      <c r="F603" s="82"/>
      <c r="G603" s="84"/>
      <c r="H603" s="90" t="s">
        <v>100</v>
      </c>
      <c r="I603" s="91"/>
      <c r="J603" s="97"/>
      <c r="K603" s="102">
        <v>44259</v>
      </c>
      <c r="L603" s="327"/>
      <c r="M603" s="106"/>
      <c r="N603" s="113" t="s">
        <v>1246</v>
      </c>
      <c r="O603" s="113" t="s">
        <v>3944</v>
      </c>
      <c r="P603" s="57"/>
      <c r="Q603" s="132">
        <v>7.7499999999999999E-2</v>
      </c>
      <c r="R603" s="132"/>
      <c r="S603" s="63" t="s">
        <v>3945</v>
      </c>
      <c r="T603" s="67" t="s">
        <v>3946</v>
      </c>
      <c r="U603" s="67" t="s">
        <v>3947</v>
      </c>
      <c r="V603" s="113" t="s">
        <v>106</v>
      </c>
      <c r="W603" s="222">
        <v>95610</v>
      </c>
      <c r="X603" s="141"/>
      <c r="Z603" s="236"/>
      <c r="AA603" s="200"/>
      <c r="AB603" s="130"/>
      <c r="AC603" s="202"/>
      <c r="AD603" s="200"/>
      <c r="AE603" s="113"/>
      <c r="AF603" s="113"/>
      <c r="AG603" s="113"/>
      <c r="AH603" s="113"/>
      <c r="AI603" s="130"/>
      <c r="AK603" s="57"/>
      <c r="AL603" s="287" t="s">
        <v>149</v>
      </c>
      <c r="AM603" s="288">
        <v>13305</v>
      </c>
      <c r="AS603" s="207"/>
      <c r="AU603" s="67" t="s">
        <v>3946</v>
      </c>
      <c r="AV603" s="251"/>
      <c r="AW603" s="67" t="s">
        <v>3947</v>
      </c>
      <c r="AX603" s="113" t="s">
        <v>106</v>
      </c>
      <c r="AY603" s="222">
        <v>95610</v>
      </c>
      <c r="AZ603" s="113" t="s">
        <v>3944</v>
      </c>
      <c r="BA603" s="321"/>
    </row>
    <row r="604" spans="1:53" ht="14.15" customHeight="1" x14ac:dyDescent="0.25">
      <c r="A604" s="257" t="s">
        <v>3948</v>
      </c>
      <c r="B604" s="67" t="s">
        <v>98</v>
      </c>
      <c r="C604" s="68" t="s">
        <v>99</v>
      </c>
      <c r="E604" s="118" t="s">
        <v>100</v>
      </c>
      <c r="F604" s="80"/>
      <c r="G604" s="81"/>
      <c r="H604" s="87" t="s">
        <v>100</v>
      </c>
      <c r="I604" s="86"/>
      <c r="J604" s="96"/>
      <c r="K604" s="100">
        <v>45069</v>
      </c>
      <c r="L604" s="328"/>
      <c r="M604" s="104"/>
      <c r="N604" s="128" t="s">
        <v>3949</v>
      </c>
      <c r="O604" s="128" t="s">
        <v>3950</v>
      </c>
      <c r="Q604" s="132">
        <v>0</v>
      </c>
      <c r="R604" s="132">
        <v>0</v>
      </c>
      <c r="S604" s="63" t="s">
        <v>943</v>
      </c>
      <c r="T604" s="67" t="s">
        <v>3951</v>
      </c>
      <c r="U604" s="67" t="s">
        <v>3952</v>
      </c>
      <c r="V604" s="79" t="s">
        <v>3953</v>
      </c>
      <c r="W604" s="76">
        <v>40205</v>
      </c>
      <c r="AA604" s="79" t="s">
        <v>3954</v>
      </c>
      <c r="AI604" s="135" t="s">
        <v>0</v>
      </c>
      <c r="AJ604" s="135" t="s">
        <v>116</v>
      </c>
      <c r="AO604" s="288">
        <v>62245</v>
      </c>
      <c r="AS604" s="207" t="s">
        <v>132</v>
      </c>
      <c r="AT604" s="116" t="s">
        <v>133</v>
      </c>
      <c r="AU604" s="67" t="s">
        <v>3951</v>
      </c>
      <c r="AW604" s="67" t="s">
        <v>3952</v>
      </c>
      <c r="AX604" s="79" t="s">
        <v>3953</v>
      </c>
      <c r="AY604" s="76">
        <v>40205</v>
      </c>
      <c r="AZ604" s="77" t="s">
        <v>3950</v>
      </c>
    </row>
    <row r="605" spans="1:53" ht="14.15" customHeight="1" x14ac:dyDescent="0.25">
      <c r="A605" s="257" t="s">
        <v>3955</v>
      </c>
      <c r="B605" s="67" t="s">
        <v>108</v>
      </c>
      <c r="C605" s="68" t="s">
        <v>109</v>
      </c>
      <c r="D605" s="79" t="s">
        <v>3956</v>
      </c>
      <c r="E605" s="118" t="s">
        <v>100</v>
      </c>
      <c r="F605" s="80"/>
      <c r="G605" s="81"/>
      <c r="H605" s="87" t="s">
        <v>100</v>
      </c>
      <c r="I605" s="86"/>
      <c r="J605" s="96"/>
      <c r="K605" s="100"/>
      <c r="L605" s="328"/>
      <c r="M605" s="104">
        <v>43986</v>
      </c>
      <c r="N605" s="128" t="s">
        <v>3957</v>
      </c>
      <c r="O605" s="128" t="s">
        <v>3958</v>
      </c>
      <c r="Q605" s="132">
        <v>9.2499999999999999E-2</v>
      </c>
      <c r="R605" s="132">
        <v>8.6300000000000002E-2</v>
      </c>
      <c r="S605" s="63" t="s">
        <v>303</v>
      </c>
      <c r="T605" s="148" t="s">
        <v>3959</v>
      </c>
      <c r="U605" s="67" t="s">
        <v>1533</v>
      </c>
      <c r="V605" s="79" t="s">
        <v>106</v>
      </c>
      <c r="W605" s="76">
        <v>94590</v>
      </c>
      <c r="AS605" s="207" t="s">
        <v>132</v>
      </c>
      <c r="AT605" s="116" t="s">
        <v>133</v>
      </c>
      <c r="AU605" s="153" t="s">
        <v>3959</v>
      </c>
      <c r="AW605" s="67" t="s">
        <v>1533</v>
      </c>
      <c r="AX605" s="79" t="s">
        <v>106</v>
      </c>
      <c r="AY605" s="76">
        <v>94590</v>
      </c>
      <c r="AZ605" s="77" t="s">
        <v>3960</v>
      </c>
    </row>
    <row r="606" spans="1:53" ht="14.15" customHeight="1" x14ac:dyDescent="0.4">
      <c r="A606" s="257" t="s">
        <v>3961</v>
      </c>
      <c r="B606" s="67" t="s">
        <v>244</v>
      </c>
      <c r="C606" s="224" t="s">
        <v>119</v>
      </c>
      <c r="D606" s="113"/>
      <c r="E606" s="120" t="s">
        <v>173</v>
      </c>
      <c r="F606" s="82" t="s">
        <v>174</v>
      </c>
      <c r="G606" s="84"/>
      <c r="H606" s="90"/>
      <c r="I606" s="91"/>
      <c r="J606" s="97"/>
      <c r="K606" s="102">
        <v>45198</v>
      </c>
      <c r="L606" s="327"/>
      <c r="M606" s="106">
        <v>45523</v>
      </c>
      <c r="N606" s="113" t="s">
        <v>3962</v>
      </c>
      <c r="O606" s="113" t="s">
        <v>3963</v>
      </c>
      <c r="P606" s="57" t="s">
        <v>3964</v>
      </c>
      <c r="Q606" s="132">
        <v>8.6249999999999993E-2</v>
      </c>
      <c r="R606" s="132">
        <v>8.7499999999999994E-2</v>
      </c>
      <c r="S606" s="63" t="s">
        <v>103</v>
      </c>
      <c r="T606" s="67" t="s">
        <v>3965</v>
      </c>
      <c r="U606" s="67" t="s">
        <v>105</v>
      </c>
      <c r="V606" s="113" t="s">
        <v>106</v>
      </c>
      <c r="W606" s="222">
        <v>94133</v>
      </c>
      <c r="Z606" s="236"/>
      <c r="AA606" s="200" t="s">
        <v>3966</v>
      </c>
      <c r="AB606" s="130"/>
      <c r="AC606" s="202"/>
      <c r="AD606" s="200"/>
      <c r="AE606" s="113"/>
      <c r="AF606" s="113"/>
      <c r="AG606" s="113"/>
      <c r="AH606" s="113"/>
      <c r="AI606" s="130" t="s">
        <v>3967</v>
      </c>
      <c r="AJ606" s="135" t="s">
        <v>116</v>
      </c>
      <c r="AK606" s="57"/>
      <c r="AL606" s="290" t="s">
        <v>289</v>
      </c>
      <c r="AM606" s="290">
        <v>15741</v>
      </c>
      <c r="AN606" s="290">
        <v>13305</v>
      </c>
      <c r="AO606" s="290">
        <v>62245</v>
      </c>
      <c r="AP606" s="290">
        <v>62285</v>
      </c>
      <c r="AQ606" s="290">
        <v>44150</v>
      </c>
      <c r="AR606" s="290"/>
      <c r="AS606" s="207" t="s">
        <v>132</v>
      </c>
      <c r="AT606" s="116" t="s">
        <v>133</v>
      </c>
      <c r="AU606" s="67" t="str">
        <f>PROPER(AV606)</f>
        <v>#3 Fishermans Wharf</v>
      </c>
      <c r="AV606" s="251" t="s">
        <v>3968</v>
      </c>
      <c r="AW606" s="67" t="s">
        <v>105</v>
      </c>
      <c r="AX606" s="113" t="s">
        <v>106</v>
      </c>
      <c r="AY606" s="222">
        <v>94133</v>
      </c>
      <c r="AZ606" s="199" t="s">
        <v>3963</v>
      </c>
      <c r="BA606" s="317"/>
    </row>
    <row r="607" spans="1:53" ht="14.15" customHeight="1" x14ac:dyDescent="0.4">
      <c r="A607" s="257" t="s">
        <v>3969</v>
      </c>
      <c r="B607" s="67" t="s">
        <v>174</v>
      </c>
      <c r="C607" s="224" t="s">
        <v>99</v>
      </c>
      <c r="D607" s="113"/>
      <c r="E607" s="120" t="s">
        <v>899</v>
      </c>
      <c r="F607" s="82" t="s">
        <v>174</v>
      </c>
      <c r="G607" s="84"/>
      <c r="H607" s="90" t="s">
        <v>3970</v>
      </c>
      <c r="I607" s="91">
        <v>45838</v>
      </c>
      <c r="J607" s="97"/>
      <c r="K607" s="102"/>
      <c r="L607" s="327"/>
      <c r="M607" s="106">
        <v>45460</v>
      </c>
      <c r="N607" s="113" t="s">
        <v>3971</v>
      </c>
      <c r="O607" s="113" t="s">
        <v>3972</v>
      </c>
      <c r="P607" s="57"/>
      <c r="Q607" s="132">
        <v>9.2499999999999999E-2</v>
      </c>
      <c r="R607" s="132"/>
      <c r="S607" s="63" t="s">
        <v>226</v>
      </c>
      <c r="T607" s="67" t="s">
        <v>3973</v>
      </c>
      <c r="U607" s="67" t="s">
        <v>228</v>
      </c>
      <c r="V607" s="113" t="s">
        <v>106</v>
      </c>
      <c r="W607" s="222">
        <v>94901</v>
      </c>
      <c r="X607" s="141"/>
      <c r="Y607" s="141"/>
      <c r="Z607" s="141"/>
      <c r="AA607" s="200"/>
      <c r="AB607" s="130"/>
      <c r="AC607" s="202"/>
      <c r="AD607" s="200"/>
      <c r="AE607" s="113"/>
      <c r="AF607" s="113"/>
      <c r="AG607" s="113"/>
      <c r="AH607" s="113"/>
      <c r="AI607" s="130"/>
      <c r="AK607" s="57"/>
      <c r="AL607" s="290"/>
      <c r="AM607" s="290"/>
      <c r="AN607" s="290"/>
      <c r="AO607" s="290"/>
      <c r="AP607" s="290"/>
      <c r="AQ607" s="290"/>
      <c r="AR607" s="290"/>
      <c r="AS607" s="207"/>
      <c r="AT607" s="116" t="s">
        <v>258</v>
      </c>
      <c r="AU607" s="67" t="s">
        <v>3973</v>
      </c>
      <c r="AV607" s="251"/>
      <c r="AW607" s="67" t="s">
        <v>228</v>
      </c>
      <c r="AX607" s="113" t="s">
        <v>106</v>
      </c>
      <c r="AY607" s="222">
        <v>94901</v>
      </c>
      <c r="AZ607" s="199" t="s">
        <v>3972</v>
      </c>
      <c r="BA607" s="317"/>
    </row>
    <row r="608" spans="1:53" ht="14.15" customHeight="1" x14ac:dyDescent="0.4">
      <c r="A608" s="257" t="s">
        <v>3974</v>
      </c>
      <c r="B608" s="67" t="s">
        <v>269</v>
      </c>
      <c r="C608" s="224" t="s">
        <v>119</v>
      </c>
      <c r="D608" s="115"/>
      <c r="E608" s="120" t="s">
        <v>100</v>
      </c>
      <c r="F608" s="82"/>
      <c r="G608" s="84"/>
      <c r="H608" s="90" t="s">
        <v>100</v>
      </c>
      <c r="I608" s="91"/>
      <c r="J608" s="97"/>
      <c r="K608" s="102"/>
      <c r="L608" s="327"/>
      <c r="M608" s="106">
        <v>45174</v>
      </c>
      <c r="N608" s="113" t="s">
        <v>3975</v>
      </c>
      <c r="O608" s="113" t="s">
        <v>3976</v>
      </c>
      <c r="P608" s="57" t="s">
        <v>3977</v>
      </c>
      <c r="Q608" s="132">
        <v>9.2499999999999999E-2</v>
      </c>
      <c r="R608" s="132"/>
      <c r="S608" s="63" t="s">
        <v>303</v>
      </c>
      <c r="T608" s="67" t="s">
        <v>3978</v>
      </c>
      <c r="U608" s="67" t="s">
        <v>1533</v>
      </c>
      <c r="V608" s="113" t="s">
        <v>106</v>
      </c>
      <c r="W608" s="222">
        <v>94591</v>
      </c>
      <c r="X608" s="141"/>
      <c r="Z608" s="236"/>
      <c r="AA608" s="200"/>
      <c r="AB608" s="130"/>
      <c r="AC608" s="202"/>
      <c r="AD608" s="200"/>
      <c r="AE608" s="113"/>
      <c r="AF608" s="113"/>
      <c r="AG608" s="113"/>
      <c r="AH608" s="113"/>
      <c r="AI608" s="130"/>
      <c r="AK608" s="57"/>
      <c r="AS608" s="207"/>
      <c r="AU608" s="67" t="s">
        <v>3978</v>
      </c>
      <c r="AV608" s="251"/>
      <c r="AW608" s="67" t="s">
        <v>1533</v>
      </c>
      <c r="AX608" s="113" t="s">
        <v>106</v>
      </c>
      <c r="AY608" s="222">
        <v>94591</v>
      </c>
      <c r="AZ608" s="199" t="s">
        <v>3976</v>
      </c>
      <c r="BA608" s="317"/>
    </row>
    <row r="609" spans="1:53" ht="14.15" customHeight="1" x14ac:dyDescent="0.4">
      <c r="A609" s="257" t="s">
        <v>3979</v>
      </c>
      <c r="B609" s="67" t="s">
        <v>174</v>
      </c>
      <c r="C609" s="224" t="s">
        <v>99</v>
      </c>
      <c r="D609" s="115"/>
      <c r="E609" s="120" t="s">
        <v>1648</v>
      </c>
      <c r="F609" s="82" t="s">
        <v>174</v>
      </c>
      <c r="G609" s="84"/>
      <c r="H609" s="90" t="s">
        <v>174</v>
      </c>
      <c r="I609" s="91"/>
      <c r="J609" s="97"/>
      <c r="K609" s="102">
        <v>44972</v>
      </c>
      <c r="L609" s="327"/>
      <c r="M609" s="106"/>
      <c r="N609" s="113" t="s">
        <v>996</v>
      </c>
      <c r="O609" s="113" t="s">
        <v>3980</v>
      </c>
      <c r="P609" s="130"/>
      <c r="Q609" s="132">
        <v>8.5000000000000006E-2</v>
      </c>
      <c r="R609" s="132"/>
      <c r="S609" s="63" t="s">
        <v>3099</v>
      </c>
      <c r="T609" s="67" t="s">
        <v>3981</v>
      </c>
      <c r="U609" s="67" t="s">
        <v>3101</v>
      </c>
      <c r="V609" s="113" t="s">
        <v>106</v>
      </c>
      <c r="W609" s="321">
        <v>93618</v>
      </c>
      <c r="X609" s="345"/>
      <c r="Y609" s="369"/>
      <c r="Z609" s="319"/>
      <c r="AA609" s="200"/>
      <c r="AB609" s="130"/>
      <c r="AC609" s="202"/>
      <c r="AD609" s="200"/>
      <c r="AE609" s="113"/>
      <c r="AF609" s="113"/>
      <c r="AG609" s="113"/>
      <c r="AH609" s="113"/>
      <c r="AI609" s="130"/>
      <c r="AK609" s="57"/>
      <c r="AL609" s="287" t="s">
        <v>251</v>
      </c>
      <c r="AS609" s="207"/>
      <c r="AT609" s="116" t="s">
        <v>1469</v>
      </c>
      <c r="AU609" s="67" t="s">
        <v>3981</v>
      </c>
      <c r="AV609" s="251"/>
      <c r="AW609" s="67" t="s">
        <v>3101</v>
      </c>
      <c r="AX609" s="113" t="s">
        <v>106</v>
      </c>
      <c r="AY609" s="222">
        <v>93618</v>
      </c>
      <c r="AZ609" s="199" t="s">
        <v>3980</v>
      </c>
      <c r="BA609" s="317"/>
    </row>
    <row r="610" spans="1:53" ht="14.15" customHeight="1" x14ac:dyDescent="0.4">
      <c r="A610" s="257" t="s">
        <v>3982</v>
      </c>
      <c r="B610" s="67" t="s">
        <v>98</v>
      </c>
      <c r="C610" s="68" t="s">
        <v>99</v>
      </c>
      <c r="E610" s="120" t="s">
        <v>1648</v>
      </c>
      <c r="F610" s="82" t="s">
        <v>174</v>
      </c>
      <c r="G610" s="84"/>
      <c r="H610" s="90" t="s">
        <v>100</v>
      </c>
      <c r="I610" s="91"/>
      <c r="J610" s="97"/>
      <c r="K610" s="102">
        <v>45222</v>
      </c>
      <c r="L610" s="327"/>
      <c r="M610" s="106"/>
      <c r="N610" s="128" t="s">
        <v>2662</v>
      </c>
      <c r="O610" s="128" t="s">
        <v>3983</v>
      </c>
      <c r="Q610" s="131">
        <v>9.7500000000000003E-2</v>
      </c>
      <c r="S610" s="63" t="s">
        <v>205</v>
      </c>
      <c r="T610" s="67" t="s">
        <v>3984</v>
      </c>
      <c r="U610" s="67" t="s">
        <v>553</v>
      </c>
      <c r="V610" s="79" t="s">
        <v>106</v>
      </c>
      <c r="W610" s="76">
        <v>94801</v>
      </c>
      <c r="AL610" s="287" t="s">
        <v>180</v>
      </c>
      <c r="AO610" s="288">
        <v>62245</v>
      </c>
      <c r="AS610" s="207"/>
      <c r="AU610" s="67" t="s">
        <v>3985</v>
      </c>
      <c r="AW610" s="67" t="s">
        <v>553</v>
      </c>
      <c r="AX610" s="79" t="s">
        <v>106</v>
      </c>
      <c r="AY610" s="76">
        <v>94804</v>
      </c>
    </row>
    <row r="611" spans="1:53" ht="14.15" customHeight="1" x14ac:dyDescent="0.4">
      <c r="A611" s="257" t="s">
        <v>3986</v>
      </c>
      <c r="B611" s="67" t="s">
        <v>98</v>
      </c>
      <c r="C611" s="68" t="s">
        <v>99</v>
      </c>
      <c r="E611" s="120" t="s">
        <v>1648</v>
      </c>
      <c r="F611" s="82" t="s">
        <v>174</v>
      </c>
      <c r="G611" s="84"/>
      <c r="H611" s="90" t="s">
        <v>100</v>
      </c>
      <c r="I611" s="91"/>
      <c r="J611" s="97"/>
      <c r="K611" s="102">
        <v>45994</v>
      </c>
      <c r="L611" s="327"/>
      <c r="M611" s="106"/>
      <c r="N611" s="128" t="s">
        <v>3987</v>
      </c>
      <c r="O611" s="128" t="s">
        <v>3988</v>
      </c>
      <c r="Q611" s="131">
        <v>8.6300000000000002E-2</v>
      </c>
      <c r="S611" s="63" t="s">
        <v>103</v>
      </c>
      <c r="T611" s="67" t="s">
        <v>3989</v>
      </c>
      <c r="U611" s="67" t="s">
        <v>105</v>
      </c>
      <c r="V611" s="79" t="s">
        <v>106</v>
      </c>
      <c r="W611" s="76">
        <v>94111</v>
      </c>
      <c r="Y611" s="236" t="s">
        <v>6351</v>
      </c>
      <c r="Z611" s="226" t="s">
        <v>6350</v>
      </c>
      <c r="AL611" s="287" t="s">
        <v>3990</v>
      </c>
      <c r="AM611" s="288">
        <v>13305</v>
      </c>
      <c r="AN611" s="288" t="s">
        <v>198</v>
      </c>
      <c r="AS611" s="207"/>
      <c r="AU611" s="67" t="s">
        <v>3989</v>
      </c>
      <c r="AW611" s="67" t="s">
        <v>105</v>
      </c>
      <c r="AX611" s="79" t="s">
        <v>106</v>
      </c>
      <c r="AY611" s="76">
        <v>94111</v>
      </c>
      <c r="AZ611" s="77" t="s">
        <v>3988</v>
      </c>
    </row>
    <row r="612" spans="1:53" ht="14.15" customHeight="1" x14ac:dyDescent="0.4">
      <c r="A612" s="257" t="s">
        <v>3991</v>
      </c>
      <c r="B612" s="67" t="s">
        <v>269</v>
      </c>
      <c r="C612" s="224" t="s">
        <v>99</v>
      </c>
      <c r="D612" s="113"/>
      <c r="E612" s="120" t="s">
        <v>100</v>
      </c>
      <c r="F612" s="82"/>
      <c r="G612" s="84"/>
      <c r="H612" s="90" t="s">
        <v>100</v>
      </c>
      <c r="I612" s="86"/>
      <c r="J612" s="97"/>
      <c r="K612" s="102"/>
      <c r="L612" s="327"/>
      <c r="M612" s="106">
        <v>45154</v>
      </c>
      <c r="N612" s="113" t="s">
        <v>3992</v>
      </c>
      <c r="O612" s="113" t="s">
        <v>3993</v>
      </c>
      <c r="P612" s="57"/>
      <c r="Q612" s="132">
        <v>0.10249999999999999</v>
      </c>
      <c r="R612" s="132"/>
      <c r="S612" s="63" t="s">
        <v>113</v>
      </c>
      <c r="T612" s="67" t="s">
        <v>3994</v>
      </c>
      <c r="U612" s="67" t="s">
        <v>115</v>
      </c>
      <c r="V612" s="113" t="s">
        <v>106</v>
      </c>
      <c r="W612" s="222">
        <v>94607</v>
      </c>
      <c r="X612" s="141" t="s">
        <v>3995</v>
      </c>
      <c r="Y612" s="143"/>
      <c r="Z612" s="139"/>
      <c r="AA612" s="200" t="s">
        <v>3996</v>
      </c>
      <c r="AB612" s="130" t="s">
        <v>3997</v>
      </c>
      <c r="AC612" s="202" t="s">
        <v>1924</v>
      </c>
      <c r="AD612" s="200"/>
      <c r="AE612" s="113"/>
      <c r="AF612" s="113"/>
      <c r="AG612" s="113"/>
      <c r="AH612" s="113"/>
      <c r="AI612" s="130"/>
      <c r="AK612" s="57"/>
      <c r="AL612" s="290" t="s">
        <v>149</v>
      </c>
      <c r="AM612" s="290">
        <v>13305</v>
      </c>
      <c r="AN612" s="290"/>
      <c r="AO612" s="290">
        <v>62245</v>
      </c>
      <c r="AP612" s="290"/>
      <c r="AQ612" s="290"/>
      <c r="AR612" s="290"/>
      <c r="AS612" s="207" t="s">
        <v>132</v>
      </c>
      <c r="AT612" s="116" t="s">
        <v>133</v>
      </c>
      <c r="AU612" s="67" t="s">
        <v>3994</v>
      </c>
      <c r="AV612" s="251"/>
      <c r="AW612" s="67" t="s">
        <v>115</v>
      </c>
      <c r="AX612" s="113" t="s">
        <v>106</v>
      </c>
      <c r="AY612" s="222">
        <v>94607</v>
      </c>
      <c r="AZ612" s="199" t="s">
        <v>3993</v>
      </c>
      <c r="BA612" s="317"/>
    </row>
    <row r="613" spans="1:53" ht="14.15" customHeight="1" x14ac:dyDescent="0.4">
      <c r="A613" s="257" t="s">
        <v>3998</v>
      </c>
      <c r="B613" s="67" t="s">
        <v>174</v>
      </c>
      <c r="C613" s="68" t="s">
        <v>99</v>
      </c>
      <c r="E613" s="120" t="s">
        <v>1648</v>
      </c>
      <c r="F613" s="82" t="s">
        <v>689</v>
      </c>
      <c r="G613" s="84"/>
      <c r="H613" s="90" t="s">
        <v>100</v>
      </c>
      <c r="I613" s="91"/>
      <c r="J613" s="97"/>
      <c r="K613" s="102">
        <v>45328</v>
      </c>
      <c r="L613" s="327"/>
      <c r="M613" s="106"/>
      <c r="N613" s="128" t="s">
        <v>3999</v>
      </c>
      <c r="O613" s="128" t="s">
        <v>4000</v>
      </c>
      <c r="P613" s="59" t="s">
        <v>4001</v>
      </c>
      <c r="Q613" s="131">
        <v>9.2499999999999999E-2</v>
      </c>
      <c r="S613" s="63" t="s">
        <v>759</v>
      </c>
      <c r="T613" s="67" t="s">
        <v>4002</v>
      </c>
      <c r="U613" s="67" t="s">
        <v>509</v>
      </c>
      <c r="V613" s="79" t="s">
        <v>106</v>
      </c>
      <c r="W613" s="76">
        <v>94965</v>
      </c>
      <c r="AA613" s="79" t="s">
        <v>512</v>
      </c>
      <c r="AL613" s="287" t="s">
        <v>180</v>
      </c>
      <c r="AS613" s="207"/>
      <c r="AU613" s="67" t="s">
        <v>4003</v>
      </c>
      <c r="AW613" s="67" t="s">
        <v>105</v>
      </c>
      <c r="AX613" s="79" t="s">
        <v>106</v>
      </c>
      <c r="AY613" s="76">
        <v>94133</v>
      </c>
    </row>
    <row r="614" spans="1:53" ht="14.15" customHeight="1" x14ac:dyDescent="0.4">
      <c r="A614" s="257" t="s">
        <v>4004</v>
      </c>
      <c r="B614" s="67" t="s">
        <v>98</v>
      </c>
      <c r="C614" s="224" t="s">
        <v>99</v>
      </c>
      <c r="D614" s="113"/>
      <c r="E614" s="120" t="s">
        <v>100</v>
      </c>
      <c r="F614" s="82"/>
      <c r="G614" s="84"/>
      <c r="H614" s="90" t="s">
        <v>100</v>
      </c>
      <c r="I614" s="91"/>
      <c r="J614" s="97"/>
      <c r="K614" s="102">
        <v>43216</v>
      </c>
      <c r="L614" s="327"/>
      <c r="M614" s="106">
        <v>44491</v>
      </c>
      <c r="N614" s="113" t="s">
        <v>4005</v>
      </c>
      <c r="O614" s="113" t="s">
        <v>4006</v>
      </c>
      <c r="P614" s="57" t="s">
        <v>4007</v>
      </c>
      <c r="Q614" s="132">
        <v>9.2499999999999999E-2</v>
      </c>
      <c r="R614" s="132">
        <v>8.2500000000000004E-2</v>
      </c>
      <c r="S614" s="63" t="s">
        <v>262</v>
      </c>
      <c r="T614" s="67" t="s">
        <v>4008</v>
      </c>
      <c r="U614" s="67" t="s">
        <v>4009</v>
      </c>
      <c r="V614" s="113" t="s">
        <v>106</v>
      </c>
      <c r="W614" s="222">
        <v>95452</v>
      </c>
      <c r="X614" s="141" t="s">
        <v>4010</v>
      </c>
      <c r="Z614" s="236"/>
      <c r="AA614" s="113" t="s">
        <v>4011</v>
      </c>
      <c r="AB614" s="130"/>
      <c r="AC614" s="202"/>
      <c r="AD614" s="200"/>
      <c r="AE614" s="113"/>
      <c r="AF614" s="113"/>
      <c r="AG614" s="113"/>
      <c r="AH614" s="113"/>
      <c r="AI614" s="130"/>
      <c r="AK614" s="53" t="s">
        <v>4012</v>
      </c>
      <c r="AL614" s="287" t="s">
        <v>149</v>
      </c>
      <c r="AN614" s="288" t="s">
        <v>198</v>
      </c>
      <c r="AS614" s="207" t="s">
        <v>132</v>
      </c>
      <c r="AT614" s="116" t="s">
        <v>4013</v>
      </c>
      <c r="AU614" s="67" t="s">
        <v>4008</v>
      </c>
      <c r="AV614" s="251"/>
      <c r="AW614" s="67" t="s">
        <v>4009</v>
      </c>
      <c r="AX614" s="113" t="s">
        <v>106</v>
      </c>
      <c r="AY614" s="222">
        <v>95452</v>
      </c>
      <c r="AZ614" s="199" t="s">
        <v>4006</v>
      </c>
    </row>
    <row r="615" spans="1:53" ht="14.15" customHeight="1" x14ac:dyDescent="0.4">
      <c r="A615" s="257" t="s">
        <v>4014</v>
      </c>
      <c r="B615" s="67" t="s">
        <v>244</v>
      </c>
      <c r="C615" s="224" t="s">
        <v>4015</v>
      </c>
      <c r="D615" s="115"/>
      <c r="E615" s="120" t="s">
        <v>173</v>
      </c>
      <c r="F615" s="82" t="s">
        <v>174</v>
      </c>
      <c r="G615" s="84"/>
      <c r="H615" s="90"/>
      <c r="I615" s="91"/>
      <c r="J615" s="97"/>
      <c r="K615" s="102">
        <v>45908</v>
      </c>
      <c r="L615" s="327"/>
      <c r="M615" s="106"/>
      <c r="N615" s="130" t="s">
        <v>4016</v>
      </c>
      <c r="O615" s="130" t="s">
        <v>4017</v>
      </c>
      <c r="P615" s="57"/>
      <c r="Q615" s="132">
        <v>8.2500000000000004E-2</v>
      </c>
      <c r="R615" s="132"/>
      <c r="S615" s="63" t="s">
        <v>759</v>
      </c>
      <c r="T615" s="67" t="s">
        <v>4018</v>
      </c>
      <c r="U615" s="67" t="s">
        <v>2896</v>
      </c>
      <c r="V615" s="113" t="s">
        <v>106</v>
      </c>
      <c r="W615" s="222">
        <v>94920</v>
      </c>
      <c r="X615" s="141" t="s">
        <v>4019</v>
      </c>
      <c r="Y615" s="141" t="s">
        <v>4019</v>
      </c>
      <c r="Z615" s="141" t="s">
        <v>4019</v>
      </c>
      <c r="AA615" s="200"/>
      <c r="AB615" s="130"/>
      <c r="AC615" s="202"/>
      <c r="AD615" s="200"/>
      <c r="AE615" s="113"/>
      <c r="AF615" s="113"/>
      <c r="AG615" s="113"/>
      <c r="AH615" s="113"/>
      <c r="AI615" s="130"/>
      <c r="AK615" s="57"/>
      <c r="AL615" s="287" t="s">
        <v>251</v>
      </c>
      <c r="AN615" s="288" t="s">
        <v>198</v>
      </c>
      <c r="AO615" s="288">
        <v>62245</v>
      </c>
      <c r="AS615" s="207"/>
      <c r="AU615" s="67" t="s">
        <v>4018</v>
      </c>
      <c r="AV615" s="251"/>
      <c r="AW615" s="67" t="s">
        <v>2896</v>
      </c>
      <c r="AX615" s="113" t="s">
        <v>106</v>
      </c>
      <c r="AY615" s="222">
        <v>94920</v>
      </c>
      <c r="AZ615" s="57" t="s">
        <v>4017</v>
      </c>
      <c r="BA615" s="317"/>
    </row>
    <row r="616" spans="1:53" ht="14.15" customHeight="1" x14ac:dyDescent="0.4">
      <c r="A616" s="257" t="s">
        <v>4020</v>
      </c>
      <c r="B616" s="67" t="s">
        <v>98</v>
      </c>
      <c r="C616" s="224" t="s">
        <v>99</v>
      </c>
      <c r="D616" s="113"/>
      <c r="E616" s="120" t="s">
        <v>100</v>
      </c>
      <c r="F616" s="82"/>
      <c r="G616" s="84"/>
      <c r="H616" s="90" t="s">
        <v>100</v>
      </c>
      <c r="I616" s="91"/>
      <c r="J616" s="97"/>
      <c r="K616" s="102"/>
      <c r="L616" s="327"/>
      <c r="M616" s="106">
        <v>43718</v>
      </c>
      <c r="N616" s="113" t="s">
        <v>4021</v>
      </c>
      <c r="O616" s="113" t="s">
        <v>4022</v>
      </c>
      <c r="P616" s="57"/>
      <c r="Q616" s="132">
        <v>8.6249999999999993E-2</v>
      </c>
      <c r="R616" s="132">
        <v>8.7499999999999994E-2</v>
      </c>
      <c r="S616" s="63" t="s">
        <v>103</v>
      </c>
      <c r="T616" s="67" t="s">
        <v>4023</v>
      </c>
      <c r="U616" s="67" t="s">
        <v>105</v>
      </c>
      <c r="V616" s="113" t="s">
        <v>106</v>
      </c>
      <c r="W616" s="222">
        <v>94105</v>
      </c>
      <c r="X616" s="141" t="s">
        <v>4024</v>
      </c>
      <c r="Y616" s="143"/>
      <c r="Z616" s="143"/>
      <c r="AA616" s="200"/>
      <c r="AB616" s="130"/>
      <c r="AC616" s="202"/>
      <c r="AD616" s="200"/>
      <c r="AE616" s="113"/>
      <c r="AF616" s="113"/>
      <c r="AG616" s="113"/>
      <c r="AH616" s="113"/>
      <c r="AI616" s="130"/>
      <c r="AJ616" s="130"/>
      <c r="AK616" s="57"/>
      <c r="AS616" s="207" t="s">
        <v>132</v>
      </c>
      <c r="AT616" s="116" t="s">
        <v>133</v>
      </c>
      <c r="AU616" s="67" t="s">
        <v>4025</v>
      </c>
      <c r="AV616" s="251"/>
      <c r="AW616" s="67" t="s">
        <v>105</v>
      </c>
      <c r="AX616" s="113" t="s">
        <v>106</v>
      </c>
      <c r="AY616" s="222">
        <v>94105</v>
      </c>
      <c r="AZ616" s="199" t="s">
        <v>4022</v>
      </c>
    </row>
    <row r="617" spans="1:53" ht="14.15" customHeight="1" x14ac:dyDescent="0.4">
      <c r="A617" s="257" t="s">
        <v>4026</v>
      </c>
      <c r="B617" s="67" t="s">
        <v>98</v>
      </c>
      <c r="C617" s="224" t="s">
        <v>99</v>
      </c>
      <c r="D617" s="115"/>
      <c r="E617" s="120" t="s">
        <v>100</v>
      </c>
      <c r="F617" s="82"/>
      <c r="G617" s="84"/>
      <c r="H617" s="90" t="s">
        <v>100</v>
      </c>
      <c r="I617" s="91"/>
      <c r="J617" s="97"/>
      <c r="K617" s="102">
        <v>44550</v>
      </c>
      <c r="L617" s="327"/>
      <c r="M617" s="106"/>
      <c r="N617" s="113" t="s">
        <v>4027</v>
      </c>
      <c r="O617" s="113" t="s">
        <v>4028</v>
      </c>
      <c r="P617" s="57"/>
      <c r="Q617" s="132">
        <v>8.7499999999999994E-2</v>
      </c>
      <c r="R617" s="132"/>
      <c r="S617" s="63" t="s">
        <v>309</v>
      </c>
      <c r="T617" s="67" t="s">
        <v>4029</v>
      </c>
      <c r="U617" s="67" t="s">
        <v>311</v>
      </c>
      <c r="V617" s="113" t="s">
        <v>106</v>
      </c>
      <c r="W617" s="222">
        <v>95821</v>
      </c>
      <c r="X617" s="139" t="s">
        <v>4030</v>
      </c>
      <c r="Y617" s="139" t="s">
        <v>4031</v>
      </c>
      <c r="Z617" s="139" t="s">
        <v>4032</v>
      </c>
      <c r="AA617" s="238" t="s">
        <v>4033</v>
      </c>
      <c r="AB617" s="130"/>
      <c r="AC617" s="202"/>
      <c r="AD617" s="200"/>
      <c r="AE617" s="113"/>
      <c r="AF617" s="113"/>
      <c r="AG617" s="113"/>
      <c r="AH617" s="113"/>
      <c r="AI617" s="130"/>
      <c r="AK617" s="57"/>
      <c r="AL617" s="287" t="s">
        <v>149</v>
      </c>
      <c r="AM617" s="288">
        <v>13305</v>
      </c>
      <c r="AS617" s="207" t="s">
        <v>132</v>
      </c>
      <c r="AT617" s="116" t="s">
        <v>133</v>
      </c>
      <c r="AU617" s="67" t="s">
        <v>4029</v>
      </c>
      <c r="AV617" s="251"/>
      <c r="AW617" s="67" t="s">
        <v>311</v>
      </c>
      <c r="AX617" s="113" t="s">
        <v>106</v>
      </c>
      <c r="AY617" s="222">
        <v>95821</v>
      </c>
      <c r="AZ617" s="199" t="s">
        <v>4028</v>
      </c>
      <c r="BA617" s="317"/>
    </row>
    <row r="618" spans="1:53" ht="14.15" customHeight="1" x14ac:dyDescent="0.4">
      <c r="A618" s="257" t="s">
        <v>4034</v>
      </c>
      <c r="B618" s="67" t="s">
        <v>434</v>
      </c>
      <c r="C618" s="224" t="s">
        <v>254</v>
      </c>
      <c r="D618" s="113"/>
      <c r="E618" s="120" t="s">
        <v>1166</v>
      </c>
      <c r="F618" s="82" t="s">
        <v>174</v>
      </c>
      <c r="G618" s="84"/>
      <c r="H618" s="90" t="s">
        <v>276</v>
      </c>
      <c r="I618" s="91" t="s">
        <v>434</v>
      </c>
      <c r="J618" s="97"/>
      <c r="K618" s="102"/>
      <c r="L618" s="327"/>
      <c r="M618" s="106">
        <v>44888</v>
      </c>
      <c r="N618" s="113" t="s">
        <v>4035</v>
      </c>
      <c r="O618" s="113" t="s">
        <v>4036</v>
      </c>
      <c r="P618" s="57" t="s">
        <v>4037</v>
      </c>
      <c r="Q618" s="132">
        <v>9.2499999999999999E-2</v>
      </c>
      <c r="R618" s="132">
        <v>0.09</v>
      </c>
      <c r="S618" s="63" t="s">
        <v>536</v>
      </c>
      <c r="T618" s="67" t="s">
        <v>4038</v>
      </c>
      <c r="U618" s="67" t="s">
        <v>538</v>
      </c>
      <c r="V618" s="113" t="s">
        <v>106</v>
      </c>
      <c r="W618" s="222">
        <v>94960</v>
      </c>
      <c r="X618" s="141" t="s">
        <v>4039</v>
      </c>
      <c r="Y618" s="139" t="s">
        <v>4039</v>
      </c>
      <c r="Z618" s="139" t="s">
        <v>4039</v>
      </c>
      <c r="AA618" s="200" t="s">
        <v>4040</v>
      </c>
      <c r="AB618" s="130"/>
      <c r="AC618" s="202"/>
      <c r="AD618" s="200"/>
      <c r="AE618" s="113"/>
      <c r="AF618" s="113"/>
      <c r="AG618" s="113"/>
      <c r="AH618" s="113"/>
      <c r="AI618" s="130" t="s">
        <v>4041</v>
      </c>
      <c r="AK618" s="57"/>
      <c r="AL618" s="287" t="s">
        <v>289</v>
      </c>
      <c r="AS618" s="207" t="s">
        <v>132</v>
      </c>
      <c r="AT618" s="116" t="s">
        <v>133</v>
      </c>
      <c r="AU618" s="67" t="s">
        <v>4042</v>
      </c>
      <c r="AV618" s="251"/>
      <c r="AW618" s="67" t="s">
        <v>823</v>
      </c>
      <c r="AX618" s="113" t="s">
        <v>106</v>
      </c>
      <c r="AY618" s="222">
        <v>94941</v>
      </c>
      <c r="AZ618" s="199" t="s">
        <v>4043</v>
      </c>
    </row>
    <row r="619" spans="1:53" ht="14.15" customHeight="1" x14ac:dyDescent="0.25">
      <c r="A619" s="257" t="s">
        <v>4044</v>
      </c>
      <c r="B619" s="67" t="s">
        <v>98</v>
      </c>
      <c r="C619" s="68" t="s">
        <v>119</v>
      </c>
      <c r="E619" s="118" t="s">
        <v>100</v>
      </c>
      <c r="F619" s="80"/>
      <c r="G619" s="81"/>
      <c r="H619" s="87" t="s">
        <v>100</v>
      </c>
      <c r="I619" s="86"/>
      <c r="J619" s="96"/>
      <c r="K619" s="100">
        <v>45672</v>
      </c>
      <c r="L619" s="328"/>
      <c r="M619" s="104">
        <v>45492</v>
      </c>
      <c r="N619" s="128" t="s">
        <v>4045</v>
      </c>
      <c r="O619" s="128" t="s">
        <v>4046</v>
      </c>
      <c r="P619" s="59" t="s">
        <v>4047</v>
      </c>
      <c r="Q619" s="132">
        <v>8.6249999999999993E-2</v>
      </c>
      <c r="R619" s="132">
        <v>8.7499999999999994E-2</v>
      </c>
      <c r="S619" s="63" t="s">
        <v>103</v>
      </c>
      <c r="T619" s="67" t="s">
        <v>4048</v>
      </c>
      <c r="U619" s="67" t="s">
        <v>105</v>
      </c>
      <c r="V619" s="79" t="s">
        <v>106</v>
      </c>
      <c r="W619" s="76">
        <v>94134</v>
      </c>
      <c r="X619" s="141" t="s">
        <v>4049</v>
      </c>
      <c r="Y619" s="139" t="s">
        <v>4049</v>
      </c>
      <c r="Z619" s="226" t="s">
        <v>4049</v>
      </c>
      <c r="AI619" s="135" t="s">
        <v>4050</v>
      </c>
      <c r="AJ619" s="135" t="s">
        <v>116</v>
      </c>
      <c r="AQ619" s="288">
        <v>1478</v>
      </c>
      <c r="AS619" s="207" t="s">
        <v>132</v>
      </c>
      <c r="AT619" s="116" t="s">
        <v>133</v>
      </c>
      <c r="AU619" s="67" t="str">
        <f>PROPER(AV619)</f>
        <v>2480 San Bruno Ave</v>
      </c>
      <c r="AV619" s="66" t="s">
        <v>4051</v>
      </c>
      <c r="AW619" s="67" t="s">
        <v>105</v>
      </c>
      <c r="AX619" s="79" t="s">
        <v>106</v>
      </c>
      <c r="AY619" s="76">
        <v>94134</v>
      </c>
      <c r="AZ619" s="77" t="s">
        <v>4046</v>
      </c>
    </row>
    <row r="620" spans="1:53" ht="14.15" customHeight="1" x14ac:dyDescent="0.4">
      <c r="A620" s="257" t="s">
        <v>4052</v>
      </c>
      <c r="B620" s="67" t="s">
        <v>98</v>
      </c>
      <c r="C620" s="68" t="s">
        <v>99</v>
      </c>
      <c r="E620" s="120" t="s">
        <v>100</v>
      </c>
      <c r="F620" s="82"/>
      <c r="G620" s="84"/>
      <c r="H620" s="90" t="s">
        <v>100</v>
      </c>
      <c r="I620" s="91"/>
      <c r="J620" s="97"/>
      <c r="K620" s="102">
        <v>45300</v>
      </c>
      <c r="L620" s="327"/>
      <c r="M620" s="106"/>
      <c r="N620" s="128" t="s">
        <v>4053</v>
      </c>
      <c r="O620" s="128" t="s">
        <v>4054</v>
      </c>
      <c r="Q620" s="131">
        <v>8.6249999999999993E-2</v>
      </c>
      <c r="S620" s="63" t="s">
        <v>103</v>
      </c>
      <c r="T620" s="67" t="s">
        <v>4055</v>
      </c>
      <c r="U620" s="67" t="s">
        <v>105</v>
      </c>
      <c r="V620" s="79" t="s">
        <v>106</v>
      </c>
      <c r="W620" s="76">
        <v>94133</v>
      </c>
      <c r="AL620" s="287" t="s">
        <v>3126</v>
      </c>
      <c r="AS620" s="207"/>
      <c r="AU620" s="67" t="s">
        <v>4055</v>
      </c>
      <c r="AW620" s="67" t="s">
        <v>105</v>
      </c>
      <c r="AX620" s="79" t="s">
        <v>106</v>
      </c>
      <c r="AY620" s="76">
        <v>94133</v>
      </c>
      <c r="AZ620" s="77" t="s">
        <v>4054</v>
      </c>
    </row>
    <row r="621" spans="1:53" ht="14.15" customHeight="1" x14ac:dyDescent="0.25">
      <c r="A621" s="257" t="s">
        <v>4056</v>
      </c>
      <c r="B621" s="67" t="s">
        <v>98</v>
      </c>
      <c r="C621" s="68" t="s">
        <v>99</v>
      </c>
      <c r="E621" s="118" t="s">
        <v>100</v>
      </c>
      <c r="F621" s="80"/>
      <c r="G621" s="81"/>
      <c r="H621" s="87" t="s">
        <v>100</v>
      </c>
      <c r="I621" s="86"/>
      <c r="J621" s="96"/>
      <c r="K621" s="100">
        <v>44477</v>
      </c>
      <c r="L621" s="328"/>
      <c r="M621" s="104"/>
      <c r="N621" s="128" t="s">
        <v>4057</v>
      </c>
      <c r="O621" s="77" t="s">
        <v>4058</v>
      </c>
      <c r="P621" s="343"/>
      <c r="Q621" s="132">
        <v>9.2499999999999999E-2</v>
      </c>
      <c r="R621" s="132">
        <v>8.5000000000000006E-2</v>
      </c>
      <c r="S621" s="63" t="s">
        <v>4059</v>
      </c>
      <c r="T621" s="67" t="s">
        <v>4060</v>
      </c>
      <c r="U621" s="67" t="s">
        <v>4061</v>
      </c>
      <c r="V621" s="79" t="s">
        <v>106</v>
      </c>
      <c r="W621" s="76">
        <v>95023</v>
      </c>
      <c r="X621" s="141" t="s">
        <v>4062</v>
      </c>
      <c r="Y621" s="141" t="s">
        <v>4062</v>
      </c>
      <c r="Z621" s="146" t="s">
        <v>4062</v>
      </c>
      <c r="AI621" s="135" t="s">
        <v>4063</v>
      </c>
      <c r="AL621" s="287" t="s">
        <v>289</v>
      </c>
      <c r="AM621" s="288">
        <v>13305</v>
      </c>
      <c r="AO621" s="288">
        <v>67240</v>
      </c>
      <c r="AS621" s="207" t="s">
        <v>132</v>
      </c>
      <c r="AT621" s="116" t="s">
        <v>1469</v>
      </c>
      <c r="AU621" s="67" t="s">
        <v>4060</v>
      </c>
      <c r="AV621" s="66" t="s">
        <v>4051</v>
      </c>
      <c r="AW621" s="67" t="s">
        <v>4061</v>
      </c>
      <c r="AX621" s="79" t="s">
        <v>106</v>
      </c>
      <c r="AY621" s="76">
        <v>95023</v>
      </c>
      <c r="AZ621" s="77" t="s">
        <v>4058</v>
      </c>
      <c r="BA621" s="207"/>
    </row>
    <row r="622" spans="1:53" ht="14.15" customHeight="1" x14ac:dyDescent="0.25">
      <c r="A622" s="257" t="s">
        <v>4064</v>
      </c>
      <c r="B622" s="67" t="s">
        <v>98</v>
      </c>
      <c r="C622" s="68" t="s">
        <v>99</v>
      </c>
      <c r="D622" s="79" t="s">
        <v>4065</v>
      </c>
      <c r="E622" s="118" t="s">
        <v>100</v>
      </c>
      <c r="F622" s="80"/>
      <c r="G622" s="81"/>
      <c r="H622" s="87" t="s">
        <v>100</v>
      </c>
      <c r="I622" s="86"/>
      <c r="J622" s="96"/>
      <c r="K622" s="100">
        <v>44616</v>
      </c>
      <c r="L622" s="328"/>
      <c r="M622" s="104">
        <v>43292</v>
      </c>
      <c r="N622" s="128" t="s">
        <v>4066</v>
      </c>
      <c r="O622" s="128" t="s">
        <v>4067</v>
      </c>
      <c r="Q622" s="132">
        <v>0.1075</v>
      </c>
      <c r="R622" s="132">
        <v>0.1</v>
      </c>
      <c r="S622" s="63" t="s">
        <v>2279</v>
      </c>
      <c r="T622" s="67" t="s">
        <v>4068</v>
      </c>
      <c r="U622" s="67" t="s">
        <v>1274</v>
      </c>
      <c r="V622" s="79" t="s">
        <v>106</v>
      </c>
      <c r="W622" s="76">
        <v>94577</v>
      </c>
      <c r="X622" s="141" t="s">
        <v>4069</v>
      </c>
      <c r="Y622" s="139" t="s">
        <v>4069</v>
      </c>
      <c r="Z622" s="139" t="s">
        <v>4069</v>
      </c>
      <c r="AL622" s="289">
        <v>63544</v>
      </c>
      <c r="AM622" s="289"/>
      <c r="AN622" s="289"/>
      <c r="AO622" s="289"/>
      <c r="AP622" s="289"/>
      <c r="AQ622" s="289"/>
      <c r="AR622" s="289"/>
      <c r="AS622" s="207" t="s">
        <v>132</v>
      </c>
      <c r="AT622" s="116" t="s">
        <v>1469</v>
      </c>
      <c r="AU622" s="67" t="s">
        <v>4068</v>
      </c>
      <c r="AW622" s="67" t="s">
        <v>1274</v>
      </c>
      <c r="AX622" s="79" t="s">
        <v>106</v>
      </c>
      <c r="AY622" s="76">
        <v>94577</v>
      </c>
      <c r="AZ622" s="77" t="s">
        <v>4067</v>
      </c>
      <c r="BA622" s="207"/>
    </row>
    <row r="623" spans="1:53" ht="14.15" customHeight="1" x14ac:dyDescent="0.25">
      <c r="A623" s="257" t="s">
        <v>4070</v>
      </c>
      <c r="B623" s="67" t="s">
        <v>4071</v>
      </c>
      <c r="C623" s="68" t="s">
        <v>109</v>
      </c>
      <c r="D623" s="79" t="s">
        <v>4072</v>
      </c>
      <c r="E623" s="118" t="s">
        <v>100</v>
      </c>
      <c r="F623" s="80"/>
      <c r="G623" s="81"/>
      <c r="H623" s="87" t="s">
        <v>100</v>
      </c>
      <c r="I623" s="86"/>
      <c r="J623" s="96"/>
      <c r="K623" s="100">
        <v>45072</v>
      </c>
      <c r="L623" s="328"/>
      <c r="M623" s="104">
        <v>45971</v>
      </c>
      <c r="N623" s="128" t="s">
        <v>4073</v>
      </c>
      <c r="O623" s="128" t="s">
        <v>4074</v>
      </c>
      <c r="Q623" s="132">
        <v>0.10249999999999999</v>
      </c>
      <c r="R623" s="132"/>
      <c r="S623" s="63" t="s">
        <v>113</v>
      </c>
      <c r="T623" s="67" t="s">
        <v>4075</v>
      </c>
      <c r="U623" s="67" t="s">
        <v>115</v>
      </c>
      <c r="V623" s="79" t="s">
        <v>106</v>
      </c>
      <c r="W623" s="76">
        <v>94612</v>
      </c>
      <c r="Y623" s="143"/>
      <c r="AL623" s="289"/>
      <c r="AM623" s="289"/>
      <c r="AN623" s="289"/>
      <c r="AO623" s="289"/>
      <c r="AP623" s="289"/>
      <c r="AQ623" s="289"/>
      <c r="AR623" s="289"/>
      <c r="AS623" s="207" t="s">
        <v>132</v>
      </c>
      <c r="AT623" s="116" t="s">
        <v>1469</v>
      </c>
      <c r="AU623" s="67" t="s">
        <v>4075</v>
      </c>
      <c r="AW623" s="67" t="s">
        <v>115</v>
      </c>
      <c r="AX623" s="79" t="s">
        <v>106</v>
      </c>
      <c r="AY623" s="76">
        <v>94612</v>
      </c>
      <c r="AZ623" s="77" t="s">
        <v>4074</v>
      </c>
      <c r="BA623" s="207"/>
    </row>
    <row r="624" spans="1:53" ht="14.15" customHeight="1" x14ac:dyDescent="0.4">
      <c r="A624" s="257" t="s">
        <v>4076</v>
      </c>
      <c r="B624" s="67" t="s">
        <v>98</v>
      </c>
      <c r="C624" s="224" t="s">
        <v>254</v>
      </c>
      <c r="D624" s="113"/>
      <c r="E624" s="120" t="s">
        <v>100</v>
      </c>
      <c r="F624" s="82"/>
      <c r="G624" s="84"/>
      <c r="H624" s="90" t="s">
        <v>100</v>
      </c>
      <c r="I624" s="91"/>
      <c r="J624" s="97"/>
      <c r="K624" s="102">
        <v>45911</v>
      </c>
      <c r="L624" s="327"/>
      <c r="M624" s="106"/>
      <c r="N624" s="113" t="s">
        <v>4077</v>
      </c>
      <c r="O624" s="113" t="s">
        <v>4078</v>
      </c>
      <c r="P624" s="57"/>
      <c r="Q624" s="132">
        <v>9.2499999999999999E-2</v>
      </c>
      <c r="R624" s="132">
        <v>9.2499999999999999E-2</v>
      </c>
      <c r="S624" s="63" t="s">
        <v>226</v>
      </c>
      <c r="T624" s="67" t="s">
        <v>4079</v>
      </c>
      <c r="U624" s="67" t="s">
        <v>228</v>
      </c>
      <c r="V624" s="113" t="s">
        <v>106</v>
      </c>
      <c r="W624" s="222">
        <v>94901</v>
      </c>
      <c r="X624" s="141" t="s">
        <v>6331</v>
      </c>
      <c r="Y624" s="143"/>
      <c r="Z624" s="143"/>
      <c r="AA624" s="200"/>
      <c r="AB624" s="130"/>
      <c r="AC624" s="202"/>
      <c r="AD624" s="200"/>
      <c r="AE624" s="113"/>
      <c r="AF624" s="113"/>
      <c r="AG624" s="113"/>
      <c r="AH624" s="113"/>
      <c r="AI624" s="130" t="s">
        <v>0</v>
      </c>
      <c r="AJ624" s="135" t="s">
        <v>116</v>
      </c>
      <c r="AK624" s="57"/>
      <c r="AL624" s="289">
        <v>54230</v>
      </c>
      <c r="AM624" s="289">
        <v>13305</v>
      </c>
      <c r="AN624" s="289">
        <v>15303</v>
      </c>
      <c r="AO624" s="289">
        <v>62245</v>
      </c>
      <c r="AP624" s="289"/>
      <c r="AQ624" s="289"/>
      <c r="AR624" s="289"/>
      <c r="AS624" s="207" t="s">
        <v>132</v>
      </c>
      <c r="AT624" s="116" t="s">
        <v>1469</v>
      </c>
      <c r="AU624" s="67" t="s">
        <v>4079</v>
      </c>
      <c r="AV624" s="251"/>
      <c r="AW624" s="67" t="s">
        <v>228</v>
      </c>
      <c r="AX624" s="113" t="s">
        <v>106</v>
      </c>
      <c r="AY624" s="222">
        <v>94901</v>
      </c>
      <c r="AZ624" s="199" t="s">
        <v>4078</v>
      </c>
      <c r="BA624" s="207"/>
    </row>
    <row r="625" spans="1:53" s="210" customFormat="1" ht="14.25" customHeight="1" x14ac:dyDescent="0.4">
      <c r="A625" s="256" t="s">
        <v>4080</v>
      </c>
      <c r="B625" s="67" t="s">
        <v>269</v>
      </c>
      <c r="C625" s="109" t="s">
        <v>109</v>
      </c>
      <c r="D625" s="113"/>
      <c r="E625" s="120" t="s">
        <v>100</v>
      </c>
      <c r="F625" s="82"/>
      <c r="G625" s="84"/>
      <c r="H625" s="90" t="s">
        <v>100</v>
      </c>
      <c r="I625" s="91"/>
      <c r="J625" s="97"/>
      <c r="K625" s="102">
        <v>45273</v>
      </c>
      <c r="L625" s="327"/>
      <c r="M625" s="106">
        <v>44965</v>
      </c>
      <c r="N625" s="113" t="s">
        <v>1738</v>
      </c>
      <c r="O625" s="113" t="s">
        <v>4081</v>
      </c>
      <c r="P625" s="57" t="s">
        <v>4082</v>
      </c>
      <c r="Q625" s="132">
        <v>9.1249999999999998E-2</v>
      </c>
      <c r="R625" s="132"/>
      <c r="S625" s="63" t="s">
        <v>177</v>
      </c>
      <c r="T625" s="67" t="s">
        <v>4083</v>
      </c>
      <c r="U625" s="67" t="s">
        <v>476</v>
      </c>
      <c r="V625" s="113" t="s">
        <v>106</v>
      </c>
      <c r="W625" s="222">
        <v>94301</v>
      </c>
      <c r="X625" s="240" t="s">
        <v>4084</v>
      </c>
      <c r="Y625" s="239" t="s">
        <v>4084</v>
      </c>
      <c r="Z625" s="239" t="s">
        <v>4084</v>
      </c>
      <c r="AA625" s="200"/>
      <c r="AB625" s="130"/>
      <c r="AC625" s="202"/>
      <c r="AD625" s="200"/>
      <c r="AE625" s="113"/>
      <c r="AF625" s="113"/>
      <c r="AG625" s="113"/>
      <c r="AH625" s="113"/>
      <c r="AI625" s="130"/>
      <c r="AJ625" s="135"/>
      <c r="AK625" s="57"/>
      <c r="AL625" s="290"/>
      <c r="AM625" s="290"/>
      <c r="AN625" s="290"/>
      <c r="AO625" s="290"/>
      <c r="AP625" s="290"/>
      <c r="AQ625" s="290"/>
      <c r="AR625" s="290"/>
      <c r="AS625" s="207" t="s">
        <v>132</v>
      </c>
      <c r="AT625" s="116" t="s">
        <v>1469</v>
      </c>
      <c r="AU625" s="67" t="s">
        <v>4083</v>
      </c>
      <c r="AV625" s="251"/>
      <c r="AW625" s="67" t="s">
        <v>476</v>
      </c>
      <c r="AX625" s="113" t="s">
        <v>106</v>
      </c>
      <c r="AY625" s="222">
        <v>94301</v>
      </c>
      <c r="AZ625" s="199" t="s">
        <v>4081</v>
      </c>
      <c r="BA625" s="317"/>
    </row>
    <row r="626" spans="1:53" ht="14.15" customHeight="1" x14ac:dyDescent="0.4">
      <c r="A626" s="257" t="s">
        <v>4085</v>
      </c>
      <c r="B626" s="67" t="s">
        <v>269</v>
      </c>
      <c r="C626" s="68" t="s">
        <v>109</v>
      </c>
      <c r="D626" s="113"/>
      <c r="E626" s="120" t="s">
        <v>100</v>
      </c>
      <c r="F626" s="82"/>
      <c r="G626" s="84"/>
      <c r="H626" s="90" t="s">
        <v>100</v>
      </c>
      <c r="I626" s="91"/>
      <c r="J626" s="97"/>
      <c r="K626" s="102"/>
      <c r="L626" s="327"/>
      <c r="M626" s="106">
        <v>44249</v>
      </c>
      <c r="N626" s="113" t="s">
        <v>468</v>
      </c>
      <c r="O626" s="113" t="s">
        <v>4081</v>
      </c>
      <c r="P626" s="57"/>
      <c r="Q626" s="132">
        <v>9.1249999999999998E-2</v>
      </c>
      <c r="R626" s="132"/>
      <c r="S626" s="63" t="s">
        <v>177</v>
      </c>
      <c r="T626" s="67" t="s">
        <v>4086</v>
      </c>
      <c r="U626" s="67" t="s">
        <v>476</v>
      </c>
      <c r="V626" s="113" t="s">
        <v>106</v>
      </c>
      <c r="W626" s="222">
        <v>94306</v>
      </c>
      <c r="X626" s="141" t="s">
        <v>4084</v>
      </c>
      <c r="Y626" s="239" t="s">
        <v>4084</v>
      </c>
      <c r="Z626" s="239" t="s">
        <v>4084</v>
      </c>
      <c r="AA626" s="200"/>
      <c r="AB626" s="130"/>
      <c r="AC626" s="202"/>
      <c r="AD626" s="200"/>
      <c r="AE626" s="113"/>
      <c r="AF626" s="113"/>
      <c r="AG626" s="113"/>
      <c r="AH626" s="113"/>
      <c r="AI626" s="130"/>
      <c r="AK626" s="57"/>
      <c r="AL626" s="290"/>
      <c r="AM626" s="290"/>
      <c r="AN626" s="290"/>
      <c r="AO626" s="290"/>
      <c r="AP626" s="290"/>
      <c r="AQ626" s="290"/>
      <c r="AR626" s="290"/>
      <c r="AS626" s="207" t="s">
        <v>132</v>
      </c>
      <c r="AT626" s="116" t="s">
        <v>1469</v>
      </c>
      <c r="AU626" s="67" t="s">
        <v>4086</v>
      </c>
      <c r="AV626" s="251"/>
      <c r="AW626" s="67" t="s">
        <v>476</v>
      </c>
      <c r="AX626" s="113" t="s">
        <v>106</v>
      </c>
      <c r="AY626" s="222">
        <v>94306</v>
      </c>
      <c r="AZ626" s="199" t="s">
        <v>4081</v>
      </c>
      <c r="BA626" s="317"/>
    </row>
    <row r="627" spans="1:53" ht="14.15" customHeight="1" x14ac:dyDescent="0.4">
      <c r="A627" s="257" t="s">
        <v>4087</v>
      </c>
      <c r="B627" s="67" t="s">
        <v>269</v>
      </c>
      <c r="C627" s="68" t="s">
        <v>109</v>
      </c>
      <c r="D627" s="113"/>
      <c r="E627" s="120" t="s">
        <v>100</v>
      </c>
      <c r="F627" s="82"/>
      <c r="G627" s="84"/>
      <c r="H627" s="90" t="s">
        <v>100</v>
      </c>
      <c r="I627" s="91"/>
      <c r="J627" s="97"/>
      <c r="K627" s="102"/>
      <c r="L627" s="327"/>
      <c r="M627" s="106">
        <v>45861</v>
      </c>
      <c r="N627" s="113" t="s">
        <v>2695</v>
      </c>
      <c r="O627" s="113" t="s">
        <v>4088</v>
      </c>
      <c r="P627" s="57"/>
      <c r="Q627" s="132">
        <v>9.8750000000000004E-2</v>
      </c>
      <c r="R627" s="132">
        <v>0.09</v>
      </c>
      <c r="S627" s="63" t="s">
        <v>522</v>
      </c>
      <c r="T627" s="67" t="s">
        <v>4089</v>
      </c>
      <c r="U627" s="67" t="s">
        <v>524</v>
      </c>
      <c r="V627" s="113" t="s">
        <v>106</v>
      </c>
      <c r="W627" s="222">
        <v>94062</v>
      </c>
      <c r="X627" s="240" t="s">
        <v>4090</v>
      </c>
      <c r="Y627" s="239" t="s">
        <v>4084</v>
      </c>
      <c r="Z627" s="239" t="s">
        <v>4084</v>
      </c>
      <c r="AA627" s="200" t="s">
        <v>1738</v>
      </c>
      <c r="AB627" s="130" t="s">
        <v>4091</v>
      </c>
      <c r="AC627" s="202"/>
      <c r="AD627" s="200"/>
      <c r="AE627" s="113"/>
      <c r="AF627" s="113"/>
      <c r="AG627" s="113"/>
      <c r="AH627" s="113"/>
      <c r="AI627" s="130"/>
      <c r="AK627" s="57"/>
      <c r="AL627" s="290"/>
      <c r="AM627" s="290"/>
      <c r="AN627" s="290"/>
      <c r="AO627" s="290"/>
      <c r="AP627" s="290"/>
      <c r="AQ627" s="290"/>
      <c r="AR627" s="290"/>
      <c r="AS627" s="207" t="s">
        <v>132</v>
      </c>
      <c r="AT627" s="116" t="s">
        <v>1469</v>
      </c>
      <c r="AU627" s="67" t="s">
        <v>4089</v>
      </c>
      <c r="AV627" s="251"/>
      <c r="AW627" s="67" t="s">
        <v>524</v>
      </c>
      <c r="AX627" s="113" t="s">
        <v>106</v>
      </c>
      <c r="AY627" s="222">
        <v>94062</v>
      </c>
      <c r="AZ627" s="199" t="s">
        <v>4088</v>
      </c>
      <c r="BA627" s="317"/>
    </row>
    <row r="628" spans="1:53" ht="14.15" customHeight="1" x14ac:dyDescent="0.4">
      <c r="A628" s="257" t="s">
        <v>4092</v>
      </c>
      <c r="B628" s="67" t="s">
        <v>98</v>
      </c>
      <c r="C628" s="224" t="s">
        <v>119</v>
      </c>
      <c r="D628" s="115"/>
      <c r="E628" s="120" t="s">
        <v>100</v>
      </c>
      <c r="F628" s="82"/>
      <c r="G628" s="84"/>
      <c r="H628" s="90" t="s">
        <v>100</v>
      </c>
      <c r="I628" s="91"/>
      <c r="J628" s="97"/>
      <c r="K628" s="102">
        <v>45916</v>
      </c>
      <c r="L628" s="327"/>
      <c r="M628" s="106"/>
      <c r="N628" s="113" t="s">
        <v>4093</v>
      </c>
      <c r="O628" s="113" t="s">
        <v>4094</v>
      </c>
      <c r="P628" s="57"/>
      <c r="Q628" s="132">
        <v>8.6249999999999993E-2</v>
      </c>
      <c r="R628" s="132"/>
      <c r="S628" s="63" t="s">
        <v>103</v>
      </c>
      <c r="T628" s="67" t="s">
        <v>4095</v>
      </c>
      <c r="U628" s="67" t="s">
        <v>105</v>
      </c>
      <c r="V628" s="113" t="s">
        <v>106</v>
      </c>
      <c r="W628" s="222">
        <v>94127</v>
      </c>
      <c r="X628" s="141"/>
      <c r="Z628" s="236"/>
      <c r="AA628" s="200"/>
      <c r="AB628" s="130"/>
      <c r="AC628" s="202"/>
      <c r="AD628" s="200"/>
      <c r="AE628" s="113"/>
      <c r="AF628" s="113"/>
      <c r="AG628" s="113"/>
      <c r="AH628" s="113"/>
      <c r="AI628" s="130"/>
      <c r="AK628" s="57"/>
      <c r="AL628" s="287">
        <v>44150</v>
      </c>
      <c r="AS628" s="207"/>
      <c r="AU628" s="67" t="s">
        <v>4095</v>
      </c>
      <c r="AV628" s="251"/>
      <c r="AW628" s="67" t="s">
        <v>105</v>
      </c>
      <c r="AX628" s="113" t="s">
        <v>106</v>
      </c>
      <c r="AY628" s="222">
        <v>94127</v>
      </c>
      <c r="AZ628" s="199" t="s">
        <v>4094</v>
      </c>
      <c r="BA628" s="317"/>
    </row>
    <row r="629" spans="1:53" ht="14.15" customHeight="1" x14ac:dyDescent="0.4">
      <c r="A629" s="257" t="s">
        <v>4096</v>
      </c>
      <c r="B629" s="67" t="s">
        <v>108</v>
      </c>
      <c r="C629" s="68" t="s">
        <v>109</v>
      </c>
      <c r="D629" s="113" t="s">
        <v>4097</v>
      </c>
      <c r="E629" s="120" t="s">
        <v>100</v>
      </c>
      <c r="F629" s="82"/>
      <c r="G629" s="84"/>
      <c r="H629" s="90" t="s">
        <v>100</v>
      </c>
      <c r="I629" s="91"/>
      <c r="J629" s="97"/>
      <c r="K629" s="102">
        <v>42802</v>
      </c>
      <c r="L629" s="327"/>
      <c r="M629" s="106">
        <v>43872</v>
      </c>
      <c r="N629" s="113" t="s">
        <v>4098</v>
      </c>
      <c r="O629" s="113" t="s">
        <v>4099</v>
      </c>
      <c r="P629" s="57" t="s">
        <v>4100</v>
      </c>
      <c r="Q629" s="132">
        <v>9.1249999999999998E-2</v>
      </c>
      <c r="R629" s="132">
        <v>8.7499999999999994E-2</v>
      </c>
      <c r="S629" s="63" t="s">
        <v>177</v>
      </c>
      <c r="T629" s="67" t="s">
        <v>4101</v>
      </c>
      <c r="U629" s="67" t="s">
        <v>2595</v>
      </c>
      <c r="V629" s="113" t="s">
        <v>106</v>
      </c>
      <c r="W629" s="222">
        <v>95050</v>
      </c>
      <c r="X629" s="142"/>
      <c r="Y629" s="205"/>
      <c r="Z629" s="143"/>
      <c r="AA629" s="200"/>
      <c r="AB629" s="130"/>
      <c r="AC629" s="202"/>
      <c r="AD629" s="200"/>
      <c r="AE629" s="113"/>
      <c r="AF629" s="113"/>
      <c r="AG629" s="113"/>
      <c r="AH629" s="113"/>
      <c r="AI629" s="130"/>
      <c r="AK629" s="57"/>
      <c r="AL629" s="287">
        <v>15157</v>
      </c>
      <c r="AS629" s="207" t="s">
        <v>132</v>
      </c>
      <c r="AT629" s="116" t="s">
        <v>1469</v>
      </c>
      <c r="AU629" s="67" t="s">
        <v>4101</v>
      </c>
      <c r="AV629" s="251"/>
      <c r="AW629" s="67" t="s">
        <v>2595</v>
      </c>
      <c r="AX629" s="113" t="s">
        <v>106</v>
      </c>
      <c r="AY629" s="222">
        <v>95050</v>
      </c>
      <c r="AZ629" s="199" t="s">
        <v>4102</v>
      </c>
    </row>
    <row r="630" spans="1:53" ht="14.15" customHeight="1" x14ac:dyDescent="0.4">
      <c r="A630" s="257" t="s">
        <v>4103</v>
      </c>
      <c r="B630" s="67" t="s">
        <v>98</v>
      </c>
      <c r="C630" s="225" t="s">
        <v>435</v>
      </c>
      <c r="D630" s="112"/>
      <c r="E630" s="119" t="s">
        <v>100</v>
      </c>
      <c r="F630" s="83"/>
      <c r="G630" s="209"/>
      <c r="H630" s="88" t="s">
        <v>100</v>
      </c>
      <c r="I630" s="89"/>
      <c r="J630" s="98"/>
      <c r="K630" s="101">
        <v>43865</v>
      </c>
      <c r="L630" s="329"/>
      <c r="M630" s="105">
        <v>44027</v>
      </c>
      <c r="N630" s="112" t="s">
        <v>4104</v>
      </c>
      <c r="O630" s="112" t="s">
        <v>4105</v>
      </c>
      <c r="P630" s="198" t="s">
        <v>4106</v>
      </c>
      <c r="Q630" s="132">
        <v>9.2499999999999999E-2</v>
      </c>
      <c r="R630" s="132">
        <v>0.08</v>
      </c>
      <c r="S630" s="63" t="s">
        <v>4107</v>
      </c>
      <c r="T630" s="198" t="s">
        <v>4108</v>
      </c>
      <c r="U630" s="198" t="s">
        <v>4109</v>
      </c>
      <c r="V630" s="112" t="s">
        <v>106</v>
      </c>
      <c r="W630" s="205">
        <v>90740</v>
      </c>
      <c r="X630" s="141" t="s">
        <v>4110</v>
      </c>
      <c r="Y630" s="205"/>
      <c r="Z630" s="139" t="s">
        <v>4110</v>
      </c>
      <c r="AA630" s="203" t="s">
        <v>4111</v>
      </c>
      <c r="AB630" s="205"/>
      <c r="AC630" s="206" t="s">
        <v>4112</v>
      </c>
      <c r="AD630" s="203"/>
      <c r="AE630" s="205" t="s">
        <v>4113</v>
      </c>
      <c r="AF630" s="205"/>
      <c r="AG630" s="205"/>
      <c r="AH630" s="205"/>
      <c r="AI630" s="205" t="s">
        <v>4114</v>
      </c>
      <c r="AJ630" s="135" t="s">
        <v>116</v>
      </c>
      <c r="AK630" s="318"/>
      <c r="AR630" s="288" t="s">
        <v>4115</v>
      </c>
      <c r="AS630" s="207" t="s">
        <v>132</v>
      </c>
      <c r="AT630" s="116" t="s">
        <v>1469</v>
      </c>
      <c r="AU630" s="198" t="s">
        <v>4116</v>
      </c>
      <c r="AV630" s="39"/>
      <c r="AW630" s="198" t="s">
        <v>4117</v>
      </c>
      <c r="AX630" s="112" t="s">
        <v>106</v>
      </c>
      <c r="AY630" s="205">
        <v>90813</v>
      </c>
      <c r="AZ630" s="198" t="s">
        <v>4106</v>
      </c>
    </row>
    <row r="631" spans="1:53" ht="14.15" customHeight="1" x14ac:dyDescent="0.4">
      <c r="A631" s="257" t="s">
        <v>4118</v>
      </c>
      <c r="B631" s="67" t="s">
        <v>244</v>
      </c>
      <c r="C631" s="224" t="s">
        <v>878</v>
      </c>
      <c r="D631" s="115"/>
      <c r="E631" s="120" t="s">
        <v>173</v>
      </c>
      <c r="F631" s="82" t="s">
        <v>174</v>
      </c>
      <c r="G631" s="84"/>
      <c r="H631" s="90"/>
      <c r="I631" s="91"/>
      <c r="J631" s="97"/>
      <c r="K631" s="102">
        <v>45931</v>
      </c>
      <c r="L631" s="327"/>
      <c r="M631" s="106"/>
      <c r="N631" s="113" t="s">
        <v>4119</v>
      </c>
      <c r="O631" s="130" t="s">
        <v>4120</v>
      </c>
      <c r="P631" s="57"/>
      <c r="Q631" s="132">
        <v>9.2600000000000002E-2</v>
      </c>
      <c r="R631" s="132"/>
      <c r="S631" s="63" t="s">
        <v>4121</v>
      </c>
      <c r="T631" s="67" t="s">
        <v>4122</v>
      </c>
      <c r="U631" s="67" t="s">
        <v>4121</v>
      </c>
      <c r="V631" s="113" t="s">
        <v>106</v>
      </c>
      <c r="W631" s="222">
        <v>95030</v>
      </c>
      <c r="X631" s="141" t="s">
        <v>4123</v>
      </c>
      <c r="Y631" s="141" t="s">
        <v>4123</v>
      </c>
      <c r="Z631" s="141" t="s">
        <v>4123</v>
      </c>
      <c r="AA631" s="200"/>
      <c r="AB631" s="130"/>
      <c r="AC631" s="202"/>
      <c r="AD631" s="200"/>
      <c r="AE631" s="113"/>
      <c r="AF631" s="113"/>
      <c r="AG631" s="113"/>
      <c r="AH631" s="113"/>
      <c r="AI631" s="130"/>
      <c r="AK631" s="57"/>
      <c r="AO631" s="288">
        <v>62245</v>
      </c>
      <c r="AS631" s="207"/>
      <c r="AU631" s="67" t="s">
        <v>4122</v>
      </c>
      <c r="AV631" s="251"/>
      <c r="AW631" s="67" t="s">
        <v>4121</v>
      </c>
      <c r="AX631" s="113" t="s">
        <v>106</v>
      </c>
      <c r="AY631" s="222">
        <v>95030</v>
      </c>
      <c r="AZ631" s="199" t="s">
        <v>4120</v>
      </c>
      <c r="BA631" s="317"/>
    </row>
    <row r="632" spans="1:53" ht="14.15" customHeight="1" x14ac:dyDescent="0.4">
      <c r="A632" s="257" t="s">
        <v>4124</v>
      </c>
      <c r="B632" s="67" t="s">
        <v>118</v>
      </c>
      <c r="C632" s="224"/>
      <c r="D632" s="115"/>
      <c r="E632" s="120" t="s">
        <v>100</v>
      </c>
      <c r="F632" s="82"/>
      <c r="G632" s="84"/>
      <c r="H632" s="90" t="s">
        <v>100</v>
      </c>
      <c r="I632" s="91"/>
      <c r="J632" s="97"/>
      <c r="K632" s="102">
        <v>45876</v>
      </c>
      <c r="L632" s="327"/>
      <c r="M632" s="106">
        <v>44510</v>
      </c>
      <c r="N632" s="113" t="s">
        <v>4125</v>
      </c>
      <c r="O632" s="113" t="s">
        <v>4126</v>
      </c>
      <c r="P632" s="336" t="s">
        <v>4127</v>
      </c>
      <c r="Q632" s="132">
        <v>9.2499999999999999E-2</v>
      </c>
      <c r="R632" s="132"/>
      <c r="S632" s="63" t="s">
        <v>507</v>
      </c>
      <c r="T632" s="67" t="s">
        <v>4128</v>
      </c>
      <c r="U632" s="67" t="s">
        <v>509</v>
      </c>
      <c r="V632" s="113" t="s">
        <v>106</v>
      </c>
      <c r="W632" s="222">
        <v>94965</v>
      </c>
      <c r="X632" s="141"/>
      <c r="Z632" s="236"/>
      <c r="AA632" s="200"/>
      <c r="AB632" s="130"/>
      <c r="AC632" s="202"/>
      <c r="AD632" s="200"/>
      <c r="AE632" s="113"/>
      <c r="AF632" s="113"/>
      <c r="AG632" s="113"/>
      <c r="AH632" s="113"/>
      <c r="AI632" s="130"/>
      <c r="AK632" s="57"/>
      <c r="AS632" s="207"/>
      <c r="AU632" s="67" t="s">
        <v>4128</v>
      </c>
      <c r="AV632" s="251"/>
      <c r="AW632" s="67" t="s">
        <v>509</v>
      </c>
      <c r="AX632" s="113" t="s">
        <v>106</v>
      </c>
      <c r="AY632" s="222">
        <v>94965</v>
      </c>
      <c r="AZ632" s="199" t="s">
        <v>4126</v>
      </c>
      <c r="BA632" s="317"/>
    </row>
    <row r="633" spans="1:53" ht="14.25" customHeight="1" x14ac:dyDescent="0.4">
      <c r="A633" s="257" t="s">
        <v>4129</v>
      </c>
      <c r="B633" s="67" t="s">
        <v>98</v>
      </c>
      <c r="C633" s="225" t="s">
        <v>563</v>
      </c>
      <c r="D633" s="112" t="s">
        <v>4130</v>
      </c>
      <c r="E633" s="119" t="s">
        <v>100</v>
      </c>
      <c r="F633" s="83"/>
      <c r="G633" s="209"/>
      <c r="H633" s="88" t="s">
        <v>100</v>
      </c>
      <c r="I633" s="89"/>
      <c r="J633" s="98"/>
      <c r="K633" s="101">
        <v>45876</v>
      </c>
      <c r="L633" s="329"/>
      <c r="M633" s="105"/>
      <c r="N633" s="112" t="s">
        <v>4131</v>
      </c>
      <c r="O633" s="112" t="s">
        <v>4132</v>
      </c>
      <c r="P633" s="198"/>
      <c r="Q633" s="132">
        <v>9.2499999999999999E-2</v>
      </c>
      <c r="R633" s="132">
        <v>0.09</v>
      </c>
      <c r="S633" s="63" t="s">
        <v>507</v>
      </c>
      <c r="T633" s="198" t="s">
        <v>4133</v>
      </c>
      <c r="U633" s="198" t="s">
        <v>509</v>
      </c>
      <c r="V633" s="112" t="s">
        <v>106</v>
      </c>
      <c r="W633" s="205">
        <v>94965</v>
      </c>
      <c r="X633" s="141" t="s">
        <v>4134</v>
      </c>
      <c r="Y633" s="318"/>
      <c r="Z633" s="205"/>
      <c r="AA633" s="203"/>
      <c r="AB633" s="205"/>
      <c r="AC633" s="206"/>
      <c r="AD633" s="203"/>
      <c r="AE633" s="205"/>
      <c r="AF633" s="205"/>
      <c r="AG633" s="205"/>
      <c r="AH633" s="205"/>
      <c r="AI633" s="205" t="s">
        <v>0</v>
      </c>
      <c r="AJ633" s="135" t="s">
        <v>116</v>
      </c>
      <c r="AK633" s="318"/>
      <c r="AL633" s="287" t="s">
        <v>149</v>
      </c>
      <c r="AM633" s="288">
        <v>18333</v>
      </c>
      <c r="AO633" s="288">
        <v>62245</v>
      </c>
      <c r="AS633" s="207" t="s">
        <v>132</v>
      </c>
      <c r="AT633" s="116" t="s">
        <v>1469</v>
      </c>
      <c r="AU633" s="198" t="s">
        <v>4133</v>
      </c>
      <c r="AV633" s="39"/>
      <c r="AW633" s="198" t="s">
        <v>509</v>
      </c>
      <c r="AX633" s="112" t="s">
        <v>106</v>
      </c>
      <c r="AY633" s="205">
        <v>94965</v>
      </c>
      <c r="AZ633" s="198" t="s">
        <v>4132</v>
      </c>
    </row>
    <row r="634" spans="1:53" ht="12.75" customHeight="1" x14ac:dyDescent="0.4">
      <c r="A634" s="257" t="s">
        <v>4135</v>
      </c>
      <c r="B634" s="67" t="s">
        <v>98</v>
      </c>
      <c r="C634" s="225" t="s">
        <v>254</v>
      </c>
      <c r="D634" s="112" t="s">
        <v>2374</v>
      </c>
      <c r="E634" s="119" t="s">
        <v>100</v>
      </c>
      <c r="F634" s="83"/>
      <c r="G634" s="209"/>
      <c r="H634" s="88" t="s">
        <v>100</v>
      </c>
      <c r="I634" s="89"/>
      <c r="J634" s="98"/>
      <c r="K634" s="101">
        <v>45560</v>
      </c>
      <c r="L634" s="329"/>
      <c r="M634" s="105">
        <v>43760</v>
      </c>
      <c r="N634" s="112" t="s">
        <v>1746</v>
      </c>
      <c r="O634" s="112" t="s">
        <v>4136</v>
      </c>
      <c r="P634" s="198"/>
      <c r="Q634" s="132">
        <v>9.2499999999999999E-2</v>
      </c>
      <c r="R634" s="132"/>
      <c r="S634" s="63" t="s">
        <v>507</v>
      </c>
      <c r="T634" s="198" t="s">
        <v>4137</v>
      </c>
      <c r="U634" s="198" t="s">
        <v>509</v>
      </c>
      <c r="V634" s="112" t="s">
        <v>106</v>
      </c>
      <c r="W634" s="205">
        <v>94965</v>
      </c>
      <c r="X634" s="141"/>
      <c r="Y634" s="205"/>
      <c r="Z634" s="205"/>
      <c r="AA634" s="203"/>
      <c r="AB634" s="205"/>
      <c r="AC634" s="206"/>
      <c r="AD634" s="203"/>
      <c r="AE634" s="205"/>
      <c r="AF634" s="205"/>
      <c r="AG634" s="205"/>
      <c r="AH634" s="205"/>
      <c r="AI634" s="205"/>
      <c r="AK634" s="318"/>
      <c r="AL634" s="287">
        <v>54230</v>
      </c>
      <c r="AM634" s="288">
        <v>13305</v>
      </c>
      <c r="AO634" s="288">
        <v>62245</v>
      </c>
      <c r="AS634" s="207" t="s">
        <v>132</v>
      </c>
      <c r="AT634" s="116" t="s">
        <v>1469</v>
      </c>
      <c r="AU634" s="198" t="s">
        <v>4137</v>
      </c>
      <c r="AV634" s="39"/>
      <c r="AW634" s="198" t="s">
        <v>509</v>
      </c>
      <c r="AX634" s="112" t="s">
        <v>106</v>
      </c>
      <c r="AY634" s="205">
        <v>94965</v>
      </c>
      <c r="AZ634" s="198" t="s">
        <v>4136</v>
      </c>
    </row>
    <row r="635" spans="1:53" ht="13.5" customHeight="1" x14ac:dyDescent="0.4">
      <c r="A635" s="257" t="s">
        <v>4138</v>
      </c>
      <c r="B635" s="67" t="s">
        <v>98</v>
      </c>
      <c r="C635" s="225" t="s">
        <v>563</v>
      </c>
      <c r="D635" s="112"/>
      <c r="E635" s="119" t="s">
        <v>100</v>
      </c>
      <c r="F635" s="83"/>
      <c r="G635" s="209"/>
      <c r="H635" s="88" t="s">
        <v>100</v>
      </c>
      <c r="I635" s="89"/>
      <c r="J635" s="98"/>
      <c r="K635" s="101">
        <v>44705</v>
      </c>
      <c r="L635" s="329"/>
      <c r="M635" s="105">
        <v>43741</v>
      </c>
      <c r="N635" s="112" t="s">
        <v>4139</v>
      </c>
      <c r="O635" s="112" t="s">
        <v>4140</v>
      </c>
      <c r="P635" s="198"/>
      <c r="Q635" s="132">
        <v>9.2499999999999999E-2</v>
      </c>
      <c r="R635" s="132">
        <v>0.09</v>
      </c>
      <c r="S635" s="63" t="s">
        <v>507</v>
      </c>
      <c r="T635" s="198" t="s">
        <v>4141</v>
      </c>
      <c r="U635" s="198" t="s">
        <v>509</v>
      </c>
      <c r="V635" s="112" t="s">
        <v>106</v>
      </c>
      <c r="W635" s="205">
        <v>94965</v>
      </c>
      <c r="X635" s="293"/>
      <c r="Y635" s="318"/>
      <c r="Z635" s="205"/>
      <c r="AA635" s="203" t="s">
        <v>4142</v>
      </c>
      <c r="AB635" s="205"/>
      <c r="AC635" s="206" t="s">
        <v>4143</v>
      </c>
      <c r="AD635" s="203"/>
      <c r="AE635" s="205"/>
      <c r="AF635" s="205"/>
      <c r="AG635" s="205"/>
      <c r="AH635" s="205"/>
      <c r="AI635" s="205" t="s">
        <v>4144</v>
      </c>
      <c r="AJ635" s="135" t="s">
        <v>116</v>
      </c>
      <c r="AK635" s="318"/>
      <c r="AL635" s="287" t="s">
        <v>289</v>
      </c>
      <c r="AM635" s="288">
        <v>13305</v>
      </c>
      <c r="AN635" s="288" t="s">
        <v>198</v>
      </c>
      <c r="AO635" s="288">
        <v>62245</v>
      </c>
      <c r="AS635" s="207" t="s">
        <v>132</v>
      </c>
      <c r="AT635" s="116" t="s">
        <v>1469</v>
      </c>
      <c r="AU635" s="198" t="s">
        <v>4141</v>
      </c>
      <c r="AV635" s="39"/>
      <c r="AW635" s="198" t="s">
        <v>509</v>
      </c>
      <c r="AX635" s="112" t="s">
        <v>106</v>
      </c>
      <c r="AY635" s="205">
        <v>94965</v>
      </c>
      <c r="AZ635" s="198" t="s">
        <v>4140</v>
      </c>
    </row>
    <row r="636" spans="1:53" ht="14.15" customHeight="1" x14ac:dyDescent="0.4">
      <c r="A636" s="257" t="s">
        <v>4145</v>
      </c>
      <c r="B636" s="67" t="s">
        <v>1295</v>
      </c>
      <c r="C636" s="224" t="s">
        <v>435</v>
      </c>
      <c r="D636" s="113"/>
      <c r="E636" s="120" t="s">
        <v>100</v>
      </c>
      <c r="F636" s="82"/>
      <c r="G636" s="84"/>
      <c r="H636" s="90" t="s">
        <v>100</v>
      </c>
      <c r="I636" s="91"/>
      <c r="J636" s="97"/>
      <c r="K636" s="102">
        <v>45033</v>
      </c>
      <c r="L636" s="327"/>
      <c r="M636" s="106">
        <v>43749</v>
      </c>
      <c r="N636" s="113" t="s">
        <v>4146</v>
      </c>
      <c r="O636" s="113" t="s">
        <v>4147</v>
      </c>
      <c r="P636" s="57" t="s">
        <v>4148</v>
      </c>
      <c r="Q636" s="132">
        <v>9.8750000000000004E-2</v>
      </c>
      <c r="R636" s="132">
        <v>0.09</v>
      </c>
      <c r="S636" s="63" t="s">
        <v>1685</v>
      </c>
      <c r="T636" s="67" t="s">
        <v>4149</v>
      </c>
      <c r="U636" s="67" t="s">
        <v>1687</v>
      </c>
      <c r="V636" s="113" t="s">
        <v>106</v>
      </c>
      <c r="W636" s="222">
        <v>94044</v>
      </c>
      <c r="X636" s="141" t="s">
        <v>4150</v>
      </c>
      <c r="Y636" s="205"/>
      <c r="Z636" s="139" t="s">
        <v>4151</v>
      </c>
      <c r="AA636" s="200" t="s">
        <v>615</v>
      </c>
      <c r="AB636" s="130" t="s">
        <v>4152</v>
      </c>
      <c r="AC636" s="202" t="s">
        <v>2302</v>
      </c>
      <c r="AD636" s="200"/>
      <c r="AE636" s="113"/>
      <c r="AF636" s="113"/>
      <c r="AG636" s="113"/>
      <c r="AH636" s="113"/>
      <c r="AI636" s="130" t="s">
        <v>4153</v>
      </c>
      <c r="AJ636" s="135" t="s">
        <v>116</v>
      </c>
      <c r="AK636" s="57"/>
      <c r="AL636" s="289" t="s">
        <v>289</v>
      </c>
      <c r="AM636" s="289">
        <v>13305</v>
      </c>
      <c r="AN636" s="289"/>
      <c r="AO636" s="289"/>
      <c r="AP636" s="289"/>
      <c r="AQ636" s="289"/>
      <c r="AR636" s="289"/>
      <c r="AS636" s="207" t="s">
        <v>132</v>
      </c>
      <c r="AT636" s="245" t="s">
        <v>1469</v>
      </c>
      <c r="AU636" s="67" t="str">
        <f>PROPER(AV636)</f>
        <v>4625 Coast Hwy 1</v>
      </c>
      <c r="AV636" s="251" t="s">
        <v>4154</v>
      </c>
      <c r="AW636" s="67" t="s">
        <v>1687</v>
      </c>
      <c r="AX636" s="113" t="s">
        <v>106</v>
      </c>
      <c r="AY636" s="222">
        <v>94044</v>
      </c>
      <c r="AZ636" s="199" t="s">
        <v>4147</v>
      </c>
      <c r="BA636" s="207"/>
    </row>
    <row r="637" spans="1:53" s="251" customFormat="1" ht="14.15" customHeight="1" x14ac:dyDescent="0.4">
      <c r="A637" s="257" t="s">
        <v>4155</v>
      </c>
      <c r="B637" s="67" t="s">
        <v>244</v>
      </c>
      <c r="C637" s="224" t="s">
        <v>99</v>
      </c>
      <c r="D637" s="115"/>
      <c r="E637" s="120" t="s">
        <v>173</v>
      </c>
      <c r="F637" s="82" t="s">
        <v>174</v>
      </c>
      <c r="G637" s="84"/>
      <c r="H637" s="90"/>
      <c r="I637" s="91"/>
      <c r="J637" s="97"/>
      <c r="K637" s="102">
        <v>45232</v>
      </c>
      <c r="L637" s="327"/>
      <c r="M637" s="106"/>
      <c r="N637" s="130" t="s">
        <v>4156</v>
      </c>
      <c r="O637" s="130" t="s">
        <v>4157</v>
      </c>
      <c r="P637" s="57" t="s">
        <v>4158</v>
      </c>
      <c r="Q637" s="132">
        <v>8.6249999999999993E-2</v>
      </c>
      <c r="R637" s="132"/>
      <c r="S637" s="63" t="s">
        <v>103</v>
      </c>
      <c r="T637" s="67" t="s">
        <v>4159</v>
      </c>
      <c r="U637" s="67" t="s">
        <v>105</v>
      </c>
      <c r="V637" s="113" t="s">
        <v>106</v>
      </c>
      <c r="W637" s="222">
        <v>94122</v>
      </c>
      <c r="X637" s="141" t="s">
        <v>4160</v>
      </c>
      <c r="Y637" s="141" t="s">
        <v>4161</v>
      </c>
      <c r="Z637" s="141" t="s">
        <v>4162</v>
      </c>
      <c r="AA637" s="200" t="s">
        <v>4163</v>
      </c>
      <c r="AB637" s="130" t="s">
        <v>4164</v>
      </c>
      <c r="AC637" s="202"/>
      <c r="AD637" s="200"/>
      <c r="AE637" s="113"/>
      <c r="AF637" s="113"/>
      <c r="AG637" s="113"/>
      <c r="AH637" s="113"/>
      <c r="AI637" s="130"/>
      <c r="AJ637" s="135"/>
      <c r="AK637" s="57"/>
      <c r="AL637" s="287" t="s">
        <v>251</v>
      </c>
      <c r="AM637" s="288">
        <v>13305</v>
      </c>
      <c r="AN637" s="288"/>
      <c r="AO637" s="288">
        <v>62245</v>
      </c>
      <c r="AP637" s="288"/>
      <c r="AQ637" s="288"/>
      <c r="AR637" s="288"/>
      <c r="AS637" s="207"/>
      <c r="AT637" s="116"/>
      <c r="AU637" s="67" t="s">
        <v>4159</v>
      </c>
      <c r="AW637" s="67" t="s">
        <v>105</v>
      </c>
      <c r="AX637" s="113" t="s">
        <v>106</v>
      </c>
      <c r="AY637" s="222">
        <v>94122</v>
      </c>
      <c r="AZ637" s="57" t="s">
        <v>4157</v>
      </c>
      <c r="BA637" s="317"/>
    </row>
    <row r="638" spans="1:53" ht="14.15" customHeight="1" x14ac:dyDescent="0.4">
      <c r="A638" s="257" t="s">
        <v>4165</v>
      </c>
      <c r="B638" s="67" t="s">
        <v>174</v>
      </c>
      <c r="C638" s="68" t="s">
        <v>254</v>
      </c>
      <c r="E638" s="120" t="s">
        <v>1166</v>
      </c>
      <c r="F638" s="82" t="s">
        <v>174</v>
      </c>
      <c r="G638" s="84"/>
      <c r="H638" s="90"/>
      <c r="I638" s="91"/>
      <c r="J638" s="97"/>
      <c r="K638" s="102">
        <v>45202</v>
      </c>
      <c r="L638" s="327"/>
      <c r="M638" s="106">
        <v>45159</v>
      </c>
      <c r="N638" s="128" t="s">
        <v>4166</v>
      </c>
      <c r="O638" s="128" t="s">
        <v>4167</v>
      </c>
      <c r="Q638" s="131">
        <v>8.2500000000000004E-2</v>
      </c>
      <c r="S638" s="63" t="s">
        <v>759</v>
      </c>
      <c r="T638" s="67" t="s">
        <v>4168</v>
      </c>
      <c r="U638" s="67" t="s">
        <v>2896</v>
      </c>
      <c r="V638" s="79" t="s">
        <v>106</v>
      </c>
      <c r="W638" s="76">
        <v>94920</v>
      </c>
      <c r="AS638" s="207"/>
      <c r="AU638" s="67" t="s">
        <v>4168</v>
      </c>
      <c r="AW638" s="67" t="s">
        <v>2896</v>
      </c>
      <c r="AX638" s="79" t="s">
        <v>3610</v>
      </c>
      <c r="AY638" s="76">
        <v>94920</v>
      </c>
      <c r="AZ638" s="77" t="s">
        <v>4167</v>
      </c>
    </row>
    <row r="639" spans="1:53" ht="14.15" customHeight="1" x14ac:dyDescent="0.4">
      <c r="A639" s="257" t="s">
        <v>4169</v>
      </c>
      <c r="B639" s="67" t="s">
        <v>2399</v>
      </c>
      <c r="C639" s="225" t="s">
        <v>119</v>
      </c>
      <c r="D639" s="112"/>
      <c r="E639" s="120" t="s">
        <v>100</v>
      </c>
      <c r="F639" s="82"/>
      <c r="G639" s="84"/>
      <c r="H639" s="88" t="s">
        <v>100</v>
      </c>
      <c r="I639" s="89"/>
      <c r="J639" s="98"/>
      <c r="K639" s="101">
        <v>44930</v>
      </c>
      <c r="L639" s="329"/>
      <c r="M639" s="105">
        <v>43707</v>
      </c>
      <c r="N639" s="112" t="s">
        <v>4170</v>
      </c>
      <c r="O639" s="112" t="s">
        <v>4171</v>
      </c>
      <c r="P639" s="198"/>
      <c r="Q639" s="132">
        <v>8.6249999999999993E-2</v>
      </c>
      <c r="R639" s="132">
        <v>8.7499999999999994E-2</v>
      </c>
      <c r="S639" s="63" t="s">
        <v>103</v>
      </c>
      <c r="T639" s="198" t="s">
        <v>4172</v>
      </c>
      <c r="U639" s="198" t="s">
        <v>105</v>
      </c>
      <c r="V639" s="112" t="s">
        <v>106</v>
      </c>
      <c r="W639" s="205">
        <v>94109</v>
      </c>
      <c r="X639" s="141" t="s">
        <v>4173</v>
      </c>
      <c r="Z639" s="205"/>
      <c r="AA639" s="203"/>
      <c r="AB639" s="205"/>
      <c r="AC639" s="206"/>
      <c r="AD639" s="203"/>
      <c r="AE639" s="205"/>
      <c r="AF639" s="205"/>
      <c r="AG639" s="205"/>
      <c r="AH639" s="205"/>
      <c r="AI639" s="205" t="s">
        <v>0</v>
      </c>
      <c r="AJ639" s="135" t="s">
        <v>116</v>
      </c>
      <c r="AK639" s="318"/>
      <c r="AL639" s="287" t="s">
        <v>149</v>
      </c>
      <c r="AN639" s="288" t="s">
        <v>198</v>
      </c>
      <c r="AO639" s="288">
        <v>62245</v>
      </c>
      <c r="AS639" s="207" t="s">
        <v>132</v>
      </c>
      <c r="AT639" s="116" t="s">
        <v>1469</v>
      </c>
      <c r="AU639" s="198" t="s">
        <v>4172</v>
      </c>
      <c r="AV639" s="39"/>
      <c r="AW639" s="198" t="s">
        <v>105</v>
      </c>
      <c r="AX639" s="112" t="s">
        <v>106</v>
      </c>
      <c r="AY639" s="205">
        <v>94109</v>
      </c>
      <c r="AZ639" s="198" t="s">
        <v>4171</v>
      </c>
    </row>
    <row r="640" spans="1:53" ht="14.15" customHeight="1" x14ac:dyDescent="0.4">
      <c r="A640" s="257" t="s">
        <v>4174</v>
      </c>
      <c r="B640" s="67" t="s">
        <v>269</v>
      </c>
      <c r="C640" s="224" t="s">
        <v>119</v>
      </c>
      <c r="D640" s="115"/>
      <c r="E640" s="120" t="s">
        <v>100</v>
      </c>
      <c r="F640" s="249" t="s">
        <v>2755</v>
      </c>
      <c r="G640" s="81"/>
      <c r="H640" s="90" t="s">
        <v>100</v>
      </c>
      <c r="I640" s="91"/>
      <c r="J640" s="97"/>
      <c r="K640" s="102">
        <v>45212</v>
      </c>
      <c r="L640" s="327"/>
      <c r="M640" s="106">
        <v>45835</v>
      </c>
      <c r="N640" s="113" t="s">
        <v>4175</v>
      </c>
      <c r="O640" s="113" t="s">
        <v>4176</v>
      </c>
      <c r="P640" s="57" t="s">
        <v>4177</v>
      </c>
      <c r="Q640" s="132">
        <v>8.6249999999999993E-2</v>
      </c>
      <c r="R640" s="132"/>
      <c r="S640" s="63" t="s">
        <v>103</v>
      </c>
      <c r="T640" s="67" t="s">
        <v>4178</v>
      </c>
      <c r="U640" s="67" t="s">
        <v>105</v>
      </c>
      <c r="V640" s="113" t="s">
        <v>106</v>
      </c>
      <c r="W640" s="222">
        <v>94114</v>
      </c>
      <c r="X640" s="141" t="s">
        <v>4179</v>
      </c>
      <c r="Y640" s="205"/>
      <c r="Z640" s="236"/>
      <c r="AA640" s="200"/>
      <c r="AB640" s="130"/>
      <c r="AC640" s="202"/>
      <c r="AD640" s="200"/>
      <c r="AE640" s="113"/>
      <c r="AF640" s="113"/>
      <c r="AG640" s="113"/>
      <c r="AH640" s="113"/>
      <c r="AI640" s="130"/>
      <c r="AK640" s="57"/>
      <c r="AL640" s="287" t="s">
        <v>149</v>
      </c>
      <c r="AS640" s="207" t="s">
        <v>132</v>
      </c>
      <c r="AT640" s="116" t="s">
        <v>1469</v>
      </c>
      <c r="AU640" s="67" t="s">
        <v>4180</v>
      </c>
      <c r="AV640" s="251"/>
      <c r="AW640" s="67" t="s">
        <v>105</v>
      </c>
      <c r="AX640" s="113" t="s">
        <v>106</v>
      </c>
      <c r="AY640" s="222">
        <v>94114</v>
      </c>
      <c r="AZ640" s="199" t="s">
        <v>4176</v>
      </c>
      <c r="BA640" s="317"/>
    </row>
    <row r="641" spans="1:53" ht="14.15" customHeight="1" x14ac:dyDescent="0.4">
      <c r="A641" s="257" t="s">
        <v>4181</v>
      </c>
      <c r="B641" s="67" t="s">
        <v>244</v>
      </c>
      <c r="C641" s="224" t="s">
        <v>763</v>
      </c>
      <c r="D641" s="115"/>
      <c r="E641" s="120" t="s">
        <v>173</v>
      </c>
      <c r="F641" s="82" t="s">
        <v>174</v>
      </c>
      <c r="G641" s="84"/>
      <c r="H641" s="90"/>
      <c r="I641" s="91"/>
      <c r="J641" s="97"/>
      <c r="K641" s="102"/>
      <c r="L641" s="327"/>
      <c r="M641" s="106"/>
      <c r="N641" s="130" t="s">
        <v>4182</v>
      </c>
      <c r="O641" s="130" t="s">
        <v>4183</v>
      </c>
      <c r="P641" s="57"/>
      <c r="Q641" s="132">
        <v>8.6249999999999993E-2</v>
      </c>
      <c r="R641" s="132"/>
      <c r="S641" s="63" t="s">
        <v>103</v>
      </c>
      <c r="T641" s="57" t="s">
        <v>4184</v>
      </c>
      <c r="U641" s="67" t="s">
        <v>105</v>
      </c>
      <c r="V641" s="113" t="s">
        <v>106</v>
      </c>
      <c r="W641" s="222">
        <v>94132</v>
      </c>
      <c r="X641" s="141" t="s">
        <v>4185</v>
      </c>
      <c r="Y641" s="141" t="s">
        <v>4185</v>
      </c>
      <c r="Z641" s="141" t="s">
        <v>4185</v>
      </c>
      <c r="AA641" s="200"/>
      <c r="AB641" s="130"/>
      <c r="AC641" s="202"/>
      <c r="AD641" s="200"/>
      <c r="AE641" s="113"/>
      <c r="AF641" s="113"/>
      <c r="AG641" s="113"/>
      <c r="AH641" s="113"/>
      <c r="AI641" s="130"/>
      <c r="AK641" s="57"/>
      <c r="AS641" s="207"/>
      <c r="AU641" s="67" t="s">
        <v>4184</v>
      </c>
      <c r="AV641" s="251"/>
      <c r="AW641" s="67" t="s">
        <v>105</v>
      </c>
      <c r="AX641" s="113" t="s">
        <v>106</v>
      </c>
      <c r="AY641" s="222">
        <v>94132</v>
      </c>
      <c r="AZ641" s="57" t="s">
        <v>4183</v>
      </c>
      <c r="BA641" s="317"/>
    </row>
    <row r="642" spans="1:53" ht="14.15" customHeight="1" x14ac:dyDescent="0.4">
      <c r="A642" s="257" t="s">
        <v>4186</v>
      </c>
      <c r="B642" s="67" t="s">
        <v>269</v>
      </c>
      <c r="C642" s="224" t="s">
        <v>1128</v>
      </c>
      <c r="D642" s="115"/>
      <c r="E642" s="120" t="s">
        <v>100</v>
      </c>
      <c r="F642" s="80"/>
      <c r="G642" s="84"/>
      <c r="H642" s="90" t="s">
        <v>100</v>
      </c>
      <c r="I642" s="86"/>
      <c r="J642" s="97"/>
      <c r="K642" s="102">
        <v>45011</v>
      </c>
      <c r="L642" s="327"/>
      <c r="M642" s="106">
        <v>43566</v>
      </c>
      <c r="N642" s="113" t="s">
        <v>4187</v>
      </c>
      <c r="O642" s="199" t="s">
        <v>4188</v>
      </c>
      <c r="P642" s="57"/>
      <c r="Q642" s="132">
        <v>9.7500000000000003E-2</v>
      </c>
      <c r="R642" s="132"/>
      <c r="S642" s="63" t="s">
        <v>205</v>
      </c>
      <c r="T642" s="67" t="s">
        <v>4189</v>
      </c>
      <c r="U642" s="67" t="s">
        <v>1327</v>
      </c>
      <c r="V642" s="113" t="s">
        <v>106</v>
      </c>
      <c r="W642" s="222">
        <v>94583</v>
      </c>
      <c r="X642" s="141" t="s">
        <v>4190</v>
      </c>
      <c r="Y642" s="141" t="s">
        <v>4190</v>
      </c>
      <c r="Z642" s="141" t="s">
        <v>4190</v>
      </c>
      <c r="AA642" s="200"/>
      <c r="AB642" s="130"/>
      <c r="AC642" s="202"/>
      <c r="AD642" s="200"/>
      <c r="AE642" s="113"/>
      <c r="AF642" s="113"/>
      <c r="AG642" s="113"/>
      <c r="AH642" s="113"/>
      <c r="AI642" s="130"/>
      <c r="AK642" s="57"/>
      <c r="AL642" s="287" t="s">
        <v>289</v>
      </c>
      <c r="AS642" s="207" t="s">
        <v>132</v>
      </c>
      <c r="AT642" s="116" t="s">
        <v>1469</v>
      </c>
      <c r="AU642" s="67" t="s">
        <v>4189</v>
      </c>
      <c r="AV642" s="251"/>
      <c r="AW642" s="67" t="s">
        <v>1327</v>
      </c>
      <c r="AX642" s="113" t="s">
        <v>106</v>
      </c>
      <c r="AY642" s="222">
        <v>94583</v>
      </c>
      <c r="AZ642" s="199" t="s">
        <v>4188</v>
      </c>
      <c r="BA642" s="317"/>
    </row>
    <row r="643" spans="1:53" ht="14.15" customHeight="1" x14ac:dyDescent="0.4">
      <c r="A643" s="257" t="s">
        <v>4191</v>
      </c>
      <c r="B643" s="67" t="s">
        <v>244</v>
      </c>
      <c r="C643" s="225"/>
      <c r="D643" s="112"/>
      <c r="E643" s="120" t="s">
        <v>173</v>
      </c>
      <c r="F643" s="82" t="s">
        <v>174</v>
      </c>
      <c r="G643" s="209"/>
      <c r="H643" s="88"/>
      <c r="I643" s="89"/>
      <c r="J643" s="98"/>
      <c r="K643" s="101">
        <v>45107</v>
      </c>
      <c r="L643" s="329"/>
      <c r="M643" s="105"/>
      <c r="N643" s="112" t="s">
        <v>4192</v>
      </c>
      <c r="O643" s="112" t="s">
        <v>4193</v>
      </c>
      <c r="P643" s="198" t="s">
        <v>0</v>
      </c>
      <c r="Q643" s="132">
        <v>9.2499999999999999E-2</v>
      </c>
      <c r="R643" s="132">
        <v>9.2499999999999999E-2</v>
      </c>
      <c r="S643" s="63" t="s">
        <v>226</v>
      </c>
      <c r="T643" s="198" t="s">
        <v>4194</v>
      </c>
      <c r="U643" s="198" t="s">
        <v>228</v>
      </c>
      <c r="V643" s="112" t="s">
        <v>106</v>
      </c>
      <c r="W643" s="205">
        <v>94903</v>
      </c>
      <c r="X643" s="142"/>
      <c r="Z643" s="143"/>
      <c r="AA643" s="203" t="s">
        <v>0</v>
      </c>
      <c r="AB643" s="205" t="s">
        <v>0</v>
      </c>
      <c r="AC643" s="206"/>
      <c r="AD643" s="203"/>
      <c r="AE643" s="205"/>
      <c r="AF643" s="205"/>
      <c r="AG643" s="205"/>
      <c r="AH643" s="205"/>
      <c r="AI643" s="205"/>
      <c r="AK643" s="318"/>
      <c r="AL643" s="290"/>
      <c r="AM643" s="290">
        <v>15741</v>
      </c>
      <c r="AN643" s="290"/>
      <c r="AO643" s="290"/>
      <c r="AP643" s="290"/>
      <c r="AQ643" s="290"/>
      <c r="AR643" s="290"/>
      <c r="AS643" s="207" t="s">
        <v>132</v>
      </c>
      <c r="AT643" s="116" t="s">
        <v>4195</v>
      </c>
      <c r="AU643" s="198" t="s">
        <v>4194</v>
      </c>
      <c r="AV643" s="39">
        <v>196</v>
      </c>
      <c r="AW643" s="198" t="s">
        <v>228</v>
      </c>
      <c r="AX643" s="112" t="s">
        <v>106</v>
      </c>
      <c r="AY643" s="205">
        <v>94903</v>
      </c>
      <c r="AZ643" s="198" t="s">
        <v>4193</v>
      </c>
      <c r="BA643" s="317"/>
    </row>
    <row r="644" spans="1:53" ht="14.15" customHeight="1" x14ac:dyDescent="0.4">
      <c r="A644" s="257" t="s">
        <v>4196</v>
      </c>
      <c r="B644" s="67" t="s">
        <v>269</v>
      </c>
      <c r="C644" s="224" t="s">
        <v>1262</v>
      </c>
      <c r="D644" s="115"/>
      <c r="E644" s="120" t="s">
        <v>100</v>
      </c>
      <c r="F644" s="82"/>
      <c r="G644" s="84"/>
      <c r="H644" s="90" t="s">
        <v>100</v>
      </c>
      <c r="I644" s="91"/>
      <c r="J644" s="97"/>
      <c r="K644" s="102"/>
      <c r="L644" s="327"/>
      <c r="M644" s="106">
        <v>44806</v>
      </c>
      <c r="N644" s="113" t="s">
        <v>4197</v>
      </c>
      <c r="O644" s="113"/>
      <c r="P644" s="57" t="s">
        <v>4198</v>
      </c>
      <c r="Q644" s="132">
        <v>9.2499999999999999E-2</v>
      </c>
      <c r="R644" s="132"/>
      <c r="S644" s="63" t="s">
        <v>4199</v>
      </c>
      <c r="T644" s="67" t="s">
        <v>4200</v>
      </c>
      <c r="U644" s="67" t="s">
        <v>4201</v>
      </c>
      <c r="V644" s="113" t="s">
        <v>106</v>
      </c>
      <c r="W644" s="222">
        <v>94565</v>
      </c>
      <c r="X644" s="141"/>
      <c r="Z644" s="236"/>
      <c r="AA644" s="200"/>
      <c r="AB644" s="130"/>
      <c r="AC644" s="202"/>
      <c r="AD644" s="200"/>
      <c r="AE644" s="113"/>
      <c r="AF644" s="113"/>
      <c r="AG644" s="113"/>
      <c r="AH644" s="113"/>
      <c r="AI644" s="130"/>
      <c r="AK644" s="57"/>
      <c r="AS644" s="207"/>
      <c r="AT644" s="116" t="s">
        <v>116</v>
      </c>
      <c r="AU644" s="67" t="s">
        <v>4200</v>
      </c>
      <c r="AV644" s="251"/>
      <c r="AW644" s="67" t="s">
        <v>4201</v>
      </c>
      <c r="AX644" s="113" t="s">
        <v>106</v>
      </c>
      <c r="AY644" s="222">
        <v>94565</v>
      </c>
      <c r="AZ644" s="199" t="s">
        <v>4198</v>
      </c>
      <c r="BA644" s="317"/>
    </row>
    <row r="645" spans="1:53" ht="14.15" customHeight="1" x14ac:dyDescent="0.4">
      <c r="A645" s="257" t="s">
        <v>4202</v>
      </c>
      <c r="B645" s="67" t="s">
        <v>244</v>
      </c>
      <c r="C645" s="224" t="s">
        <v>563</v>
      </c>
      <c r="D645" s="113"/>
      <c r="E645" s="120" t="s">
        <v>173</v>
      </c>
      <c r="F645" s="82" t="s">
        <v>174</v>
      </c>
      <c r="G645" s="84"/>
      <c r="H645" s="90" t="s">
        <v>276</v>
      </c>
      <c r="I645" s="91" t="s">
        <v>434</v>
      </c>
      <c r="J645" s="97"/>
      <c r="K645" s="102">
        <v>44803</v>
      </c>
      <c r="L645" s="327"/>
      <c r="M645" s="106">
        <v>44740</v>
      </c>
      <c r="N645" s="113" t="s">
        <v>4203</v>
      </c>
      <c r="O645" s="113" t="s">
        <v>4204</v>
      </c>
      <c r="P645" s="57"/>
      <c r="Q645" s="132">
        <v>9.2499999999999999E-2</v>
      </c>
      <c r="R645" s="132">
        <v>8.6199999999999999E-2</v>
      </c>
      <c r="S645" s="63" t="s">
        <v>2127</v>
      </c>
      <c r="T645" s="67" t="s">
        <v>4205</v>
      </c>
      <c r="U645" s="67" t="s">
        <v>4206</v>
      </c>
      <c r="V645" s="113" t="s">
        <v>106</v>
      </c>
      <c r="W645" s="222">
        <v>95437</v>
      </c>
      <c r="X645" s="141" t="s">
        <v>4207</v>
      </c>
      <c r="Z645" s="236"/>
      <c r="AA645" s="200" t="s">
        <v>4208</v>
      </c>
      <c r="AB645" s="130"/>
      <c r="AC645" s="202" t="s">
        <v>2662</v>
      </c>
      <c r="AD645" s="200"/>
      <c r="AE645" s="113"/>
      <c r="AF645" s="113"/>
      <c r="AG645" s="113"/>
      <c r="AH645" s="113"/>
      <c r="AI645" s="130" t="s">
        <v>4209</v>
      </c>
      <c r="AJ645" s="135" t="s">
        <v>116</v>
      </c>
      <c r="AK645" s="57"/>
      <c r="AL645" s="290" t="s">
        <v>289</v>
      </c>
      <c r="AM645" s="290">
        <v>13305</v>
      </c>
      <c r="AN645" s="290">
        <v>15741</v>
      </c>
      <c r="AO645" s="290">
        <v>62245</v>
      </c>
      <c r="AP645" s="290"/>
      <c r="AQ645" s="290"/>
      <c r="AR645" s="290"/>
      <c r="AS645" s="207" t="s">
        <v>132</v>
      </c>
      <c r="AT645" s="116" t="s">
        <v>1469</v>
      </c>
      <c r="AU645" s="67" t="s">
        <v>4210</v>
      </c>
      <c r="AV645" s="251" t="s">
        <v>4211</v>
      </c>
      <c r="AW645" s="67" t="s">
        <v>4206</v>
      </c>
      <c r="AX645" s="113" t="s">
        <v>106</v>
      </c>
      <c r="AY645" s="222">
        <v>95437</v>
      </c>
      <c r="AZ645" s="199" t="s">
        <v>4212</v>
      </c>
      <c r="BA645" s="317"/>
    </row>
    <row r="646" spans="1:53" ht="14.15" customHeight="1" x14ac:dyDescent="0.4">
      <c r="A646" s="257" t="s">
        <v>6378</v>
      </c>
      <c r="B646" s="67" t="s">
        <v>98</v>
      </c>
      <c r="C646" s="224" t="s">
        <v>99</v>
      </c>
      <c r="D646" s="115"/>
      <c r="E646" s="120" t="s">
        <v>100</v>
      </c>
      <c r="F646" s="80"/>
      <c r="G646" s="84"/>
      <c r="H646" s="90" t="s">
        <v>100</v>
      </c>
      <c r="I646" s="86"/>
      <c r="J646" s="97"/>
      <c r="K646" s="102">
        <v>45957</v>
      </c>
      <c r="L646" s="327"/>
      <c r="M646" s="106"/>
      <c r="N646" s="113" t="s">
        <v>6379</v>
      </c>
      <c r="O646" s="113" t="s">
        <v>6380</v>
      </c>
      <c r="P646" s="57"/>
      <c r="Q646" s="132">
        <v>0.10249999999999999</v>
      </c>
      <c r="R646" s="132"/>
      <c r="S646" s="63" t="s">
        <v>6381</v>
      </c>
      <c r="T646" s="67" t="s">
        <v>6382</v>
      </c>
      <c r="U646" s="67" t="s">
        <v>115</v>
      </c>
      <c r="V646" s="113" t="s">
        <v>106</v>
      </c>
      <c r="W646" s="222">
        <v>94610</v>
      </c>
      <c r="X646" s="141" t="s">
        <v>6383</v>
      </c>
      <c r="Y646" s="141" t="s">
        <v>6383</v>
      </c>
      <c r="Z646" s="141" t="s">
        <v>6383</v>
      </c>
      <c r="AA646" s="200" t="s">
        <v>6384</v>
      </c>
      <c r="AB646" s="130" t="s">
        <v>6380</v>
      </c>
      <c r="AC646" s="202" t="s">
        <v>6385</v>
      </c>
      <c r="AD646" s="200" t="s">
        <v>6380</v>
      </c>
      <c r="AE646" s="113"/>
      <c r="AF646" s="113"/>
      <c r="AG646" s="113"/>
      <c r="AH646" s="113"/>
      <c r="AI646" s="130"/>
      <c r="AK646" s="57"/>
      <c r="AL646" s="287" t="s">
        <v>251</v>
      </c>
      <c r="AO646" s="288">
        <v>62245</v>
      </c>
      <c r="AS646" s="207"/>
      <c r="AU646" s="67" t="s">
        <v>6382</v>
      </c>
      <c r="AV646" s="251"/>
      <c r="AW646" s="67" t="s">
        <v>115</v>
      </c>
      <c r="AX646" s="113" t="s">
        <v>106</v>
      </c>
      <c r="AY646" s="222">
        <v>94610</v>
      </c>
      <c r="AZ646" s="199" t="s">
        <v>6380</v>
      </c>
      <c r="BA646" s="317"/>
    </row>
    <row r="647" spans="1:53" ht="14.15" customHeight="1" x14ac:dyDescent="0.4">
      <c r="A647" s="257" t="s">
        <v>4213</v>
      </c>
      <c r="B647" s="67" t="s">
        <v>98</v>
      </c>
      <c r="C647" s="224" t="s">
        <v>99</v>
      </c>
      <c r="D647" s="113"/>
      <c r="E647" s="120" t="s">
        <v>100</v>
      </c>
      <c r="F647" s="82"/>
      <c r="G647" s="84"/>
      <c r="H647" s="90" t="s">
        <v>100</v>
      </c>
      <c r="I647" s="91"/>
      <c r="J647" s="97"/>
      <c r="K647" s="102">
        <v>44959</v>
      </c>
      <c r="L647" s="327"/>
      <c r="M647" s="106"/>
      <c r="N647" s="113" t="s">
        <v>4214</v>
      </c>
      <c r="O647" s="113" t="s">
        <v>4215</v>
      </c>
      <c r="P647" s="57"/>
      <c r="Q647" s="132">
        <v>8.7499999999999994E-2</v>
      </c>
      <c r="R647" s="132">
        <v>8.5000000000000006E-2</v>
      </c>
      <c r="S647" s="63" t="s">
        <v>309</v>
      </c>
      <c r="T647" s="67" t="s">
        <v>4216</v>
      </c>
      <c r="U647" s="67" t="s">
        <v>311</v>
      </c>
      <c r="V647" s="113" t="s">
        <v>106</v>
      </c>
      <c r="W647" s="222">
        <v>95821</v>
      </c>
      <c r="X647" s="139" t="s">
        <v>4217</v>
      </c>
      <c r="Z647" s="236"/>
      <c r="AA647" s="200"/>
      <c r="AB647" s="130"/>
      <c r="AC647" s="202"/>
      <c r="AD647" s="200"/>
      <c r="AE647" s="113"/>
      <c r="AF647" s="113"/>
      <c r="AG647" s="113"/>
      <c r="AH647" s="113"/>
      <c r="AI647" s="130" t="s">
        <v>4218</v>
      </c>
      <c r="AK647" s="57"/>
      <c r="AL647" s="290" t="s">
        <v>289</v>
      </c>
      <c r="AM647" s="290">
        <v>15303</v>
      </c>
      <c r="AN647" s="290">
        <v>15741</v>
      </c>
      <c r="AO647" s="290"/>
      <c r="AP647" s="290"/>
      <c r="AQ647" s="290"/>
      <c r="AR647" s="290"/>
      <c r="AS647" s="207" t="s">
        <v>132</v>
      </c>
      <c r="AT647" s="116" t="s">
        <v>1469</v>
      </c>
      <c r="AU647" s="67" t="s">
        <v>4216</v>
      </c>
      <c r="AV647" s="251"/>
      <c r="AW647" s="67" t="s">
        <v>311</v>
      </c>
      <c r="AX647" s="113" t="s">
        <v>106</v>
      </c>
      <c r="AY647" s="222">
        <v>95821</v>
      </c>
      <c r="AZ647" s="199" t="s">
        <v>4215</v>
      </c>
      <c r="BA647" s="317"/>
    </row>
    <row r="648" spans="1:53" ht="14.15" customHeight="1" x14ac:dyDescent="0.4">
      <c r="A648" s="257" t="s">
        <v>4219</v>
      </c>
      <c r="B648" s="67" t="s">
        <v>98</v>
      </c>
      <c r="C648" s="224" t="s">
        <v>563</v>
      </c>
      <c r="D648" s="113"/>
      <c r="E648" s="120" t="s">
        <v>100</v>
      </c>
      <c r="F648" s="82"/>
      <c r="G648" s="84"/>
      <c r="H648" s="90" t="s">
        <v>100</v>
      </c>
      <c r="I648" s="91"/>
      <c r="J648" s="97"/>
      <c r="K648" s="102">
        <v>44707</v>
      </c>
      <c r="L648" s="327"/>
      <c r="M648" s="106"/>
      <c r="N648" s="113" t="s">
        <v>4220</v>
      </c>
      <c r="O648" s="113" t="s">
        <v>4221</v>
      </c>
      <c r="P648" s="57"/>
      <c r="Q648" s="132">
        <v>9.7500000000000003E-2</v>
      </c>
      <c r="R648" s="132">
        <v>0.09</v>
      </c>
      <c r="S648" s="63" t="s">
        <v>1397</v>
      </c>
      <c r="T648" s="67" t="s">
        <v>4222</v>
      </c>
      <c r="U648" s="67" t="s">
        <v>1399</v>
      </c>
      <c r="V648" s="113" t="s">
        <v>106</v>
      </c>
      <c r="W648" s="222">
        <v>90049</v>
      </c>
      <c r="Z648" s="236"/>
      <c r="AA648" s="200"/>
      <c r="AB648" s="130"/>
      <c r="AC648" s="202"/>
      <c r="AD648" s="200"/>
      <c r="AE648" s="113"/>
      <c r="AF648" s="113"/>
      <c r="AG648" s="113"/>
      <c r="AH648" s="113"/>
      <c r="AI648" s="130" t="s">
        <v>4223</v>
      </c>
      <c r="AK648" s="57"/>
      <c r="AL648" s="290" t="s">
        <v>289</v>
      </c>
      <c r="AM648" s="290">
        <v>13305</v>
      </c>
      <c r="AN648" s="290">
        <v>15185</v>
      </c>
      <c r="AO648" s="290">
        <v>62245</v>
      </c>
      <c r="AP648" s="290"/>
      <c r="AQ648" s="290"/>
      <c r="AR648" s="290">
        <v>15303</v>
      </c>
      <c r="AS648" s="207" t="s">
        <v>132</v>
      </c>
      <c r="AT648" s="116" t="s">
        <v>1469</v>
      </c>
      <c r="AU648" s="67" t="s">
        <v>4222</v>
      </c>
      <c r="AV648" s="251"/>
      <c r="AW648" s="67" t="s">
        <v>1399</v>
      </c>
      <c r="AX648" s="113" t="s">
        <v>106</v>
      </c>
      <c r="AY648" s="222">
        <v>90049</v>
      </c>
      <c r="AZ648" s="199" t="s">
        <v>4224</v>
      </c>
      <c r="BA648" s="317"/>
    </row>
    <row r="649" spans="1:53" ht="14.15" customHeight="1" x14ac:dyDescent="0.4">
      <c r="A649" s="257" t="s">
        <v>4225</v>
      </c>
      <c r="B649" s="67" t="s">
        <v>174</v>
      </c>
      <c r="C649" s="68" t="s">
        <v>99</v>
      </c>
      <c r="E649" s="120" t="s">
        <v>1648</v>
      </c>
      <c r="F649" s="82" t="s">
        <v>174</v>
      </c>
      <c r="G649" s="84"/>
      <c r="H649" s="90" t="s">
        <v>100</v>
      </c>
      <c r="I649" s="91"/>
      <c r="J649" s="97"/>
      <c r="K649" s="102">
        <v>45231</v>
      </c>
      <c r="L649" s="327"/>
      <c r="M649" s="106"/>
      <c r="N649" s="128" t="s">
        <v>4226</v>
      </c>
      <c r="O649" s="128" t="s">
        <v>4227</v>
      </c>
      <c r="Q649" s="131">
        <v>8.7499999999999994E-2</v>
      </c>
      <c r="S649" s="63" t="s">
        <v>1492</v>
      </c>
      <c r="T649" s="67" t="s">
        <v>4228</v>
      </c>
      <c r="U649" s="67" t="s">
        <v>1492</v>
      </c>
      <c r="V649" s="79" t="s">
        <v>106</v>
      </c>
      <c r="W649" s="76">
        <v>94559</v>
      </c>
      <c r="X649" s="141" t="s">
        <v>4229</v>
      </c>
      <c r="Z649" s="226" t="s">
        <v>4230</v>
      </c>
      <c r="AA649" s="79" t="s">
        <v>4231</v>
      </c>
      <c r="AB649" s="135" t="s">
        <v>4232</v>
      </c>
      <c r="AL649" s="287" t="s">
        <v>251</v>
      </c>
      <c r="AM649" s="288">
        <v>13305</v>
      </c>
      <c r="AO649" s="288">
        <v>62245</v>
      </c>
      <c r="AS649" s="207"/>
      <c r="AU649" s="67" t="s">
        <v>4233</v>
      </c>
      <c r="AW649" s="67" t="s">
        <v>105</v>
      </c>
      <c r="AX649" s="79" t="s">
        <v>106</v>
      </c>
      <c r="AY649" s="76">
        <v>94110</v>
      </c>
    </row>
    <row r="650" spans="1:53" ht="14.15" customHeight="1" x14ac:dyDescent="0.4">
      <c r="A650" s="257" t="s">
        <v>4234</v>
      </c>
      <c r="B650" s="67" t="s">
        <v>98</v>
      </c>
      <c r="C650" s="224" t="s">
        <v>99</v>
      </c>
      <c r="D650" s="115"/>
      <c r="E650" s="120" t="s">
        <v>100</v>
      </c>
      <c r="F650" s="82"/>
      <c r="G650" s="84"/>
      <c r="H650" s="90" t="s">
        <v>100</v>
      </c>
      <c r="I650" s="91"/>
      <c r="J650" s="97"/>
      <c r="K650" s="102">
        <v>44322</v>
      </c>
      <c r="L650" s="327"/>
      <c r="M650" s="106"/>
      <c r="N650" s="113" t="s">
        <v>4235</v>
      </c>
      <c r="O650" s="113" t="s">
        <v>4236</v>
      </c>
      <c r="P650" s="57"/>
      <c r="Q650" s="132">
        <v>8.2500000000000004E-2</v>
      </c>
      <c r="R650" s="132"/>
      <c r="S650" s="63" t="s">
        <v>759</v>
      </c>
      <c r="T650" s="67" t="s">
        <v>4237</v>
      </c>
      <c r="U650" s="67" t="s">
        <v>761</v>
      </c>
      <c r="V650" s="113" t="s">
        <v>106</v>
      </c>
      <c r="W650" s="222">
        <v>94924</v>
      </c>
      <c r="X650" s="141"/>
      <c r="Y650" s="319"/>
      <c r="Z650" s="236"/>
      <c r="AA650" s="200"/>
      <c r="AB650" s="130"/>
      <c r="AC650" s="202"/>
      <c r="AD650" s="200"/>
      <c r="AE650" s="113"/>
      <c r="AF650" s="113"/>
      <c r="AG650" s="113"/>
      <c r="AH650" s="113"/>
      <c r="AI650" s="130"/>
      <c r="AK650" s="57"/>
      <c r="AO650" s="288">
        <v>62245</v>
      </c>
      <c r="AS650" s="207"/>
      <c r="AU650" s="67" t="s">
        <v>4237</v>
      </c>
      <c r="AV650" s="251"/>
      <c r="AW650" s="67" t="s">
        <v>761</v>
      </c>
      <c r="AX650" s="113" t="s">
        <v>106</v>
      </c>
      <c r="AY650" s="222">
        <v>94924</v>
      </c>
      <c r="AZ650" s="199" t="s">
        <v>4236</v>
      </c>
      <c r="BA650" s="317"/>
    </row>
    <row r="651" spans="1:53" ht="14.15" customHeight="1" x14ac:dyDescent="0.4">
      <c r="A651" s="257" t="s">
        <v>4238</v>
      </c>
      <c r="B651" s="67" t="s">
        <v>125</v>
      </c>
      <c r="C651" s="224" t="s">
        <v>99</v>
      </c>
      <c r="D651" s="115" t="s">
        <v>161</v>
      </c>
      <c r="E651" s="120"/>
      <c r="F651" s="82"/>
      <c r="G651" s="84"/>
      <c r="H651" s="90"/>
      <c r="I651" s="91"/>
      <c r="J651" s="97"/>
      <c r="K651" s="102"/>
      <c r="L651" s="327"/>
      <c r="M651" s="106">
        <v>44484</v>
      </c>
      <c r="N651" s="113" t="s">
        <v>4239</v>
      </c>
      <c r="O651" s="113" t="s">
        <v>4240</v>
      </c>
      <c r="P651" s="57"/>
      <c r="Q651" s="132">
        <v>9.2499999999999999E-2</v>
      </c>
      <c r="R651" s="132"/>
      <c r="S651" s="63" t="s">
        <v>303</v>
      </c>
      <c r="T651" s="67" t="s">
        <v>4241</v>
      </c>
      <c r="U651" s="67" t="s">
        <v>1533</v>
      </c>
      <c r="V651" s="113" t="s">
        <v>106</v>
      </c>
      <c r="W651" s="222">
        <v>94589</v>
      </c>
      <c r="X651" s="229"/>
      <c r="Z651" s="236"/>
      <c r="AA651" s="200"/>
      <c r="AB651" s="130"/>
      <c r="AC651" s="202"/>
      <c r="AD651" s="200"/>
      <c r="AE651" s="113"/>
      <c r="AF651" s="113"/>
      <c r="AG651" s="113"/>
      <c r="AH651" s="113"/>
      <c r="AI651" s="130"/>
      <c r="AK651" s="57"/>
      <c r="AS651" s="207"/>
      <c r="AU651" s="67" t="s">
        <v>4241</v>
      </c>
      <c r="AV651" s="251"/>
      <c r="AW651" s="67" t="s">
        <v>1533</v>
      </c>
      <c r="AX651" s="113" t="s">
        <v>106</v>
      </c>
      <c r="AY651" s="222">
        <v>94589</v>
      </c>
      <c r="AZ651" s="199" t="s">
        <v>4240</v>
      </c>
      <c r="BA651" s="317"/>
    </row>
    <row r="652" spans="1:53" ht="14.15" customHeight="1" x14ac:dyDescent="0.25">
      <c r="A652" s="257" t="s">
        <v>4242</v>
      </c>
      <c r="B652" s="67" t="s">
        <v>98</v>
      </c>
      <c r="C652" s="68" t="s">
        <v>563</v>
      </c>
      <c r="D652" s="79" t="s">
        <v>4243</v>
      </c>
      <c r="E652" s="118" t="s">
        <v>100</v>
      </c>
      <c r="F652" s="80"/>
      <c r="G652" s="81"/>
      <c r="H652" s="87" t="s">
        <v>100</v>
      </c>
      <c r="I652" s="86"/>
      <c r="J652" s="96"/>
      <c r="K652" s="100">
        <v>45832</v>
      </c>
      <c r="L652" s="328"/>
      <c r="M652" s="104">
        <v>44789</v>
      </c>
      <c r="N652" s="128" t="s">
        <v>1354</v>
      </c>
      <c r="O652" s="128" t="s">
        <v>4244</v>
      </c>
      <c r="P652" s="59" t="s">
        <v>4245</v>
      </c>
      <c r="Q652" s="132">
        <v>9.2499999999999999E-2</v>
      </c>
      <c r="R652" s="132">
        <v>9.2499999999999999E-2</v>
      </c>
      <c r="S652" s="63" t="s">
        <v>226</v>
      </c>
      <c r="T652" s="67" t="s">
        <v>6397</v>
      </c>
      <c r="U652" s="67" t="s">
        <v>228</v>
      </c>
      <c r="V652" s="79" t="s">
        <v>106</v>
      </c>
      <c r="W652" s="76">
        <v>94901</v>
      </c>
      <c r="X652" s="141" t="s">
        <v>4246</v>
      </c>
      <c r="Y652" s="141" t="s">
        <v>4246</v>
      </c>
      <c r="Z652" s="226" t="s">
        <v>4247</v>
      </c>
      <c r="AA652" s="79" t="s">
        <v>4248</v>
      </c>
      <c r="AB652" s="135" t="s">
        <v>4249</v>
      </c>
      <c r="AC652" s="136" t="s">
        <v>4250</v>
      </c>
      <c r="AD652" s="79" t="s">
        <v>4251</v>
      </c>
      <c r="AE652" s="128" t="s">
        <v>6387</v>
      </c>
      <c r="AF652" s="128" t="s">
        <v>6388</v>
      </c>
      <c r="AL652" s="289" t="s">
        <v>289</v>
      </c>
      <c r="AM652" s="289">
        <v>13305</v>
      </c>
      <c r="AN652" s="289" t="s">
        <v>290</v>
      </c>
      <c r="AO652" s="289">
        <v>62245</v>
      </c>
      <c r="AP652" s="289"/>
      <c r="AQ652" s="289"/>
      <c r="AR652" s="289"/>
      <c r="AS652" s="207" t="s">
        <v>132</v>
      </c>
      <c r="AT652" s="116" t="s">
        <v>132</v>
      </c>
      <c r="AU652" s="67" t="s">
        <v>6397</v>
      </c>
      <c r="AW652" s="67" t="s">
        <v>228</v>
      </c>
      <c r="AX652" s="79" t="s">
        <v>106</v>
      </c>
      <c r="AY652" s="76">
        <v>94901</v>
      </c>
      <c r="AZ652" s="77" t="s">
        <v>4244</v>
      </c>
      <c r="BA652" s="207"/>
    </row>
    <row r="653" spans="1:53" ht="14.15" customHeight="1" x14ac:dyDescent="0.4">
      <c r="A653" s="257" t="s">
        <v>4252</v>
      </c>
      <c r="B653" s="67" t="s">
        <v>98</v>
      </c>
      <c r="C653" s="224" t="s">
        <v>563</v>
      </c>
      <c r="D653" s="115"/>
      <c r="E653" s="120" t="s">
        <v>100</v>
      </c>
      <c r="F653" s="82"/>
      <c r="G653" s="84"/>
      <c r="H653" s="90" t="s">
        <v>100</v>
      </c>
      <c r="I653" s="91"/>
      <c r="J653" s="97"/>
      <c r="K653" s="102">
        <v>45930</v>
      </c>
      <c r="L653" s="327"/>
      <c r="M653" s="106"/>
      <c r="N653" s="113" t="s">
        <v>4253</v>
      </c>
      <c r="O653" s="113" t="s">
        <v>4245</v>
      </c>
      <c r="P653" s="57"/>
      <c r="Q653" s="132">
        <v>9.2499999999999999E-2</v>
      </c>
      <c r="R653" s="132"/>
      <c r="S653" s="63" t="s">
        <v>226</v>
      </c>
      <c r="T653" s="67" t="s">
        <v>4254</v>
      </c>
      <c r="U653" s="67" t="s">
        <v>228</v>
      </c>
      <c r="V653" s="113" t="s">
        <v>106</v>
      </c>
      <c r="W653" s="222">
        <v>94903</v>
      </c>
      <c r="X653" s="229" t="s">
        <v>6396</v>
      </c>
      <c r="Y653" s="319" t="s">
        <v>6396</v>
      </c>
      <c r="Z653" s="319" t="s">
        <v>6396</v>
      </c>
      <c r="AA653" s="200"/>
      <c r="AB653" s="130"/>
      <c r="AC653" s="202"/>
      <c r="AD653" s="200"/>
      <c r="AE653" s="113"/>
      <c r="AF653" s="113"/>
      <c r="AG653" s="113"/>
      <c r="AH653" s="113"/>
      <c r="AI653" s="130"/>
      <c r="AK653" s="57"/>
      <c r="AL653" s="287" t="s">
        <v>149</v>
      </c>
      <c r="AM653" s="288">
        <v>13305</v>
      </c>
      <c r="AN653" s="288" t="s">
        <v>198</v>
      </c>
      <c r="AO653" s="288">
        <v>62245</v>
      </c>
      <c r="AS653" s="207"/>
      <c r="AT653" s="116" t="s">
        <v>4255</v>
      </c>
      <c r="AU653" s="67" t="s">
        <v>6397</v>
      </c>
      <c r="AV653" s="251"/>
      <c r="AW653" s="67" t="s">
        <v>228</v>
      </c>
      <c r="AX653" s="113" t="s">
        <v>106</v>
      </c>
      <c r="AY653" s="222">
        <v>94901</v>
      </c>
      <c r="AZ653" s="199" t="s">
        <v>4245</v>
      </c>
      <c r="BA653" s="317"/>
    </row>
    <row r="654" spans="1:53" ht="14.15" customHeight="1" x14ac:dyDescent="0.25">
      <c r="A654" s="257" t="s">
        <v>4256</v>
      </c>
      <c r="B654" s="67" t="s">
        <v>125</v>
      </c>
      <c r="C654" s="68" t="s">
        <v>99</v>
      </c>
      <c r="E654" s="118" t="s">
        <v>100</v>
      </c>
      <c r="F654" s="80"/>
      <c r="G654" s="81"/>
      <c r="H654" s="87" t="s">
        <v>100</v>
      </c>
      <c r="I654" s="86"/>
      <c r="J654" s="96"/>
      <c r="K654" s="100"/>
      <c r="L654" s="328"/>
      <c r="M654" s="104">
        <v>44454</v>
      </c>
      <c r="N654" s="128" t="s">
        <v>2624</v>
      </c>
      <c r="O654" s="128" t="s">
        <v>4257</v>
      </c>
      <c r="Q654" s="132">
        <v>0.1</v>
      </c>
      <c r="R654" s="132">
        <v>8.7499999999999994E-2</v>
      </c>
      <c r="S654" s="63" t="s">
        <v>186</v>
      </c>
      <c r="T654" s="67" t="s">
        <v>4258</v>
      </c>
      <c r="U654" s="67" t="s">
        <v>188</v>
      </c>
      <c r="V654" s="79" t="s">
        <v>106</v>
      </c>
      <c r="W654" s="76">
        <v>95405</v>
      </c>
      <c r="X654" s="139" t="s">
        <v>4259</v>
      </c>
      <c r="Y654" s="139" t="s">
        <v>4259</v>
      </c>
      <c r="Z654" s="139" t="s">
        <v>4259</v>
      </c>
      <c r="AS654" s="207" t="s">
        <v>132</v>
      </c>
      <c r="AT654" s="116" t="s">
        <v>132</v>
      </c>
      <c r="AU654" s="67" t="s">
        <v>4258</v>
      </c>
      <c r="AW654" s="67" t="s">
        <v>188</v>
      </c>
      <c r="AX654" s="79" t="s">
        <v>106</v>
      </c>
      <c r="AY654" s="76">
        <v>95405</v>
      </c>
      <c r="AZ654" s="77" t="s">
        <v>4257</v>
      </c>
    </row>
    <row r="655" spans="1:53" ht="14.15" customHeight="1" x14ac:dyDescent="0.4">
      <c r="A655" s="257" t="s">
        <v>4260</v>
      </c>
      <c r="B655" s="67" t="s">
        <v>1706</v>
      </c>
      <c r="C655" s="224" t="s">
        <v>99</v>
      </c>
      <c r="D655" s="115" t="s">
        <v>4261</v>
      </c>
      <c r="E655" s="120" t="s">
        <v>100</v>
      </c>
      <c r="F655" s="82"/>
      <c r="G655" s="84"/>
      <c r="H655" s="90" t="s">
        <v>100</v>
      </c>
      <c r="I655" s="91"/>
      <c r="J655" s="97"/>
      <c r="K655" s="102">
        <v>44417</v>
      </c>
      <c r="L655" s="327"/>
      <c r="M655" s="106">
        <v>44742</v>
      </c>
      <c r="N655" s="113" t="s">
        <v>3776</v>
      </c>
      <c r="O655" s="113" t="s">
        <v>4262</v>
      </c>
      <c r="P655" s="57" t="s">
        <v>4263</v>
      </c>
      <c r="Q655" s="132">
        <v>0.1</v>
      </c>
      <c r="R655" s="132"/>
      <c r="S655" s="63" t="s">
        <v>186</v>
      </c>
      <c r="T655" s="67" t="s">
        <v>4264</v>
      </c>
      <c r="U655" s="67" t="s">
        <v>188</v>
      </c>
      <c r="V655" s="113" t="s">
        <v>106</v>
      </c>
      <c r="W655" s="222">
        <v>95403</v>
      </c>
      <c r="X655" s="141" t="s">
        <v>4265</v>
      </c>
      <c r="Z655" s="319"/>
      <c r="AA655" s="200"/>
      <c r="AB655" s="130"/>
      <c r="AC655" s="202"/>
      <c r="AD655" s="200"/>
      <c r="AE655" s="113"/>
      <c r="AF655" s="113"/>
      <c r="AG655" s="113"/>
      <c r="AH655" s="113"/>
      <c r="AI655" s="130"/>
      <c r="AK655" s="57"/>
      <c r="AS655" s="207"/>
      <c r="AT655" s="116" t="s">
        <v>589</v>
      </c>
      <c r="AU655" s="67" t="s">
        <v>4264</v>
      </c>
      <c r="AV655" s="251"/>
      <c r="AW655" s="67" t="s">
        <v>188</v>
      </c>
      <c r="AX655" s="113" t="s">
        <v>106</v>
      </c>
      <c r="AY655" s="222">
        <v>95403</v>
      </c>
      <c r="AZ655" s="199" t="s">
        <v>4262</v>
      </c>
      <c r="BA655" s="317"/>
    </row>
    <row r="656" spans="1:53" ht="14.15" customHeight="1" x14ac:dyDescent="0.4">
      <c r="A656" s="257" t="s">
        <v>4266</v>
      </c>
      <c r="B656" s="67" t="s">
        <v>1706</v>
      </c>
      <c r="C656" s="224" t="s">
        <v>99</v>
      </c>
      <c r="D656" s="113" t="s">
        <v>4267</v>
      </c>
      <c r="E656" s="120" t="s">
        <v>100</v>
      </c>
      <c r="F656" s="82"/>
      <c r="G656" s="84"/>
      <c r="H656" s="90" t="s">
        <v>100</v>
      </c>
      <c r="I656" s="91"/>
      <c r="J656" s="97"/>
      <c r="K656" s="102"/>
      <c r="L656" s="327"/>
      <c r="M656" s="106">
        <v>46006</v>
      </c>
      <c r="N656" s="113" t="s">
        <v>4268</v>
      </c>
      <c r="O656" s="113" t="s">
        <v>4269</v>
      </c>
      <c r="P656" s="57"/>
      <c r="Q656" s="132">
        <v>9.2499999999999999E-2</v>
      </c>
      <c r="R656" s="132"/>
      <c r="S656" s="63" t="s">
        <v>226</v>
      </c>
      <c r="T656" s="67" t="s">
        <v>4270</v>
      </c>
      <c r="U656" s="67" t="s">
        <v>228</v>
      </c>
      <c r="V656" s="113" t="s">
        <v>106</v>
      </c>
      <c r="W656" s="222">
        <v>94903</v>
      </c>
      <c r="Y656" s="76"/>
      <c r="Z656" s="236"/>
      <c r="AA656" s="200"/>
      <c r="AB656" s="130"/>
      <c r="AC656" s="202"/>
      <c r="AD656" s="200"/>
      <c r="AE656" s="113"/>
      <c r="AF656" s="113"/>
      <c r="AG656" s="113"/>
      <c r="AH656" s="113"/>
      <c r="AI656" s="130"/>
      <c r="AK656" s="57"/>
      <c r="AS656" s="207"/>
      <c r="AV656" s="251"/>
      <c r="AX656" s="113"/>
      <c r="AY656" s="222"/>
      <c r="AZ656" s="199"/>
    </row>
    <row r="657" spans="1:53" ht="14.15" customHeight="1" x14ac:dyDescent="0.4">
      <c r="A657" s="257" t="s">
        <v>4271</v>
      </c>
      <c r="B657" s="67" t="s">
        <v>125</v>
      </c>
      <c r="C657" s="224" t="s">
        <v>99</v>
      </c>
      <c r="D657" s="113" t="s">
        <v>4272</v>
      </c>
      <c r="E657" s="120" t="s">
        <v>100</v>
      </c>
      <c r="F657" s="82"/>
      <c r="G657" s="84"/>
      <c r="H657" s="90" t="s">
        <v>100</v>
      </c>
      <c r="I657" s="91"/>
      <c r="J657" s="97"/>
      <c r="K657" s="102">
        <v>44286</v>
      </c>
      <c r="L657" s="327"/>
      <c r="M657" s="106"/>
      <c r="N657" s="113" t="s">
        <v>4273</v>
      </c>
      <c r="O657" s="113" t="s">
        <v>4274</v>
      </c>
      <c r="P657" s="57"/>
      <c r="Q657" s="132">
        <v>0.1</v>
      </c>
      <c r="R657" s="132">
        <v>8.7499999999999994E-2</v>
      </c>
      <c r="S657" s="63" t="s">
        <v>186</v>
      </c>
      <c r="T657" s="67" t="s">
        <v>4275</v>
      </c>
      <c r="U657" s="67" t="s">
        <v>188</v>
      </c>
      <c r="V657" s="113" t="s">
        <v>106</v>
      </c>
      <c r="W657" s="222">
        <v>95407</v>
      </c>
      <c r="Y657" s="167"/>
      <c r="Z657" s="236"/>
      <c r="AA657" s="200"/>
      <c r="AB657" s="130"/>
      <c r="AC657" s="202"/>
      <c r="AD657" s="200"/>
      <c r="AE657" s="113"/>
      <c r="AF657" s="113"/>
      <c r="AG657" s="113"/>
      <c r="AH657" s="113"/>
      <c r="AI657" s="130" t="s">
        <v>0</v>
      </c>
      <c r="AJ657" s="135" t="s">
        <v>116</v>
      </c>
      <c r="AK657" s="57"/>
      <c r="AL657" s="287">
        <v>15185</v>
      </c>
      <c r="AS657" s="207" t="s">
        <v>132</v>
      </c>
      <c r="AT657" s="116" t="s">
        <v>132</v>
      </c>
      <c r="AU657" s="67" t="s">
        <v>4275</v>
      </c>
      <c r="AV657" s="251"/>
      <c r="AW657" s="67" t="s">
        <v>188</v>
      </c>
      <c r="AX657" s="113" t="s">
        <v>106</v>
      </c>
      <c r="AY657" s="222">
        <v>95407</v>
      </c>
      <c r="AZ657" s="199" t="s">
        <v>4274</v>
      </c>
    </row>
    <row r="658" spans="1:53" ht="14.15" customHeight="1" x14ac:dyDescent="0.4">
      <c r="A658" s="257" t="s">
        <v>4276</v>
      </c>
      <c r="B658" s="67" t="s">
        <v>1706</v>
      </c>
      <c r="C658" s="224" t="s">
        <v>99</v>
      </c>
      <c r="D658" s="113" t="s">
        <v>4277</v>
      </c>
      <c r="E658" s="120" t="s">
        <v>3970</v>
      </c>
      <c r="F658" s="82">
        <v>45565</v>
      </c>
      <c r="G658" s="84"/>
      <c r="H658" s="90" t="s">
        <v>3970</v>
      </c>
      <c r="I658" s="91">
        <v>45565</v>
      </c>
      <c r="J658" s="97"/>
      <c r="K658" s="102"/>
      <c r="L658" s="327"/>
      <c r="M658" s="106"/>
      <c r="N658" s="113" t="s">
        <v>4278</v>
      </c>
      <c r="O658" s="199" t="s">
        <v>4279</v>
      </c>
      <c r="P658" s="57"/>
      <c r="Q658" s="132">
        <v>0.10249999999999999</v>
      </c>
      <c r="R658" s="132"/>
      <c r="S658" s="63" t="s">
        <v>6342</v>
      </c>
      <c r="T658" s="67" t="s">
        <v>4280</v>
      </c>
      <c r="U658" s="67" t="s">
        <v>869</v>
      </c>
      <c r="V658" s="113" t="s">
        <v>106</v>
      </c>
      <c r="W658" s="222">
        <v>95476</v>
      </c>
      <c r="X658" s="141"/>
      <c r="Y658" s="141"/>
      <c r="Z658" s="141"/>
      <c r="AA658" s="200"/>
      <c r="AB658" s="130"/>
      <c r="AC658" s="202"/>
      <c r="AD658" s="200"/>
      <c r="AE658" s="113"/>
      <c r="AF658" s="113"/>
      <c r="AG658" s="113"/>
      <c r="AH658" s="113"/>
      <c r="AI658" s="130"/>
      <c r="AK658" s="57"/>
      <c r="AL658" s="290"/>
      <c r="AM658" s="290"/>
      <c r="AN658" s="290"/>
      <c r="AO658" s="290"/>
      <c r="AP658" s="290"/>
      <c r="AQ658" s="290"/>
      <c r="AR658" s="290"/>
      <c r="AS658" s="207"/>
      <c r="AT658" s="116" t="s">
        <v>258</v>
      </c>
      <c r="AU658" s="67" t="s">
        <v>4280</v>
      </c>
      <c r="AV658" s="251"/>
      <c r="AW658" s="67" t="s">
        <v>869</v>
      </c>
      <c r="AX658" s="113" t="s">
        <v>106</v>
      </c>
      <c r="AY658" s="222">
        <v>95476</v>
      </c>
      <c r="AZ658" s="199" t="s">
        <v>4279</v>
      </c>
      <c r="BA658" s="317"/>
    </row>
    <row r="659" spans="1:53" ht="14.15" customHeight="1" x14ac:dyDescent="0.4">
      <c r="A659" s="257" t="s">
        <v>4281</v>
      </c>
      <c r="B659" s="67" t="s">
        <v>98</v>
      </c>
      <c r="C659" s="224" t="s">
        <v>99</v>
      </c>
      <c r="D659" s="115" t="s">
        <v>2399</v>
      </c>
      <c r="E659" s="120" t="s">
        <v>100</v>
      </c>
      <c r="F659" s="82"/>
      <c r="G659" s="84"/>
      <c r="H659" s="90" t="s">
        <v>100</v>
      </c>
      <c r="I659" s="91"/>
      <c r="J659" s="97"/>
      <c r="K659" s="102">
        <v>45888</v>
      </c>
      <c r="L659" s="327"/>
      <c r="M659" s="106">
        <v>44015</v>
      </c>
      <c r="N659" s="113" t="s">
        <v>4282</v>
      </c>
      <c r="O659" s="113" t="s">
        <v>4283</v>
      </c>
      <c r="P659" s="57" t="s">
        <v>4284</v>
      </c>
      <c r="Q659" s="132">
        <v>0.09</v>
      </c>
      <c r="R659" s="132"/>
      <c r="S659" s="63" t="s">
        <v>875</v>
      </c>
      <c r="T659" s="67" t="s">
        <v>4285</v>
      </c>
      <c r="U659" s="67" t="s">
        <v>875</v>
      </c>
      <c r="V659" s="113" t="s">
        <v>106</v>
      </c>
      <c r="W659" s="222">
        <v>94930</v>
      </c>
      <c r="X659" s="139" t="s">
        <v>4286</v>
      </c>
      <c r="Y659" s="139" t="s">
        <v>4287</v>
      </c>
      <c r="Z659" s="139" t="s">
        <v>4287</v>
      </c>
      <c r="AA659" s="200" t="s">
        <v>4288</v>
      </c>
      <c r="AB659" s="130" t="s">
        <v>4289</v>
      </c>
      <c r="AC659" s="202"/>
      <c r="AD659" s="200"/>
      <c r="AE659" s="113"/>
      <c r="AF659" s="113"/>
      <c r="AG659" s="113"/>
      <c r="AH659" s="113"/>
      <c r="AI659" s="130"/>
      <c r="AK659" s="57"/>
      <c r="AL659" s="287" t="s">
        <v>149</v>
      </c>
      <c r="AM659" s="288">
        <v>13305</v>
      </c>
      <c r="AO659" s="288">
        <v>62245</v>
      </c>
      <c r="AS659" s="207" t="s">
        <v>132</v>
      </c>
      <c r="AT659" s="116" t="s">
        <v>132</v>
      </c>
      <c r="AU659" s="67" t="s">
        <v>4285</v>
      </c>
      <c r="AV659" s="251"/>
      <c r="AW659" s="67" t="s">
        <v>875</v>
      </c>
      <c r="AX659" s="113" t="s">
        <v>106</v>
      </c>
      <c r="AY659" s="222">
        <v>94930</v>
      </c>
      <c r="AZ659" s="199" t="s">
        <v>4283</v>
      </c>
      <c r="BA659" s="317"/>
    </row>
    <row r="660" spans="1:53" ht="14.15" customHeight="1" x14ac:dyDescent="0.4">
      <c r="A660" s="257" t="s">
        <v>4290</v>
      </c>
      <c r="B660" s="67" t="s">
        <v>125</v>
      </c>
      <c r="C660" s="224" t="s">
        <v>109</v>
      </c>
      <c r="D660" s="113" t="s">
        <v>4291</v>
      </c>
      <c r="E660" s="120" t="s">
        <v>100</v>
      </c>
      <c r="F660" s="82"/>
      <c r="G660" s="84"/>
      <c r="H660" s="90" t="s">
        <v>100</v>
      </c>
      <c r="I660" s="91"/>
      <c r="J660" s="97"/>
      <c r="K660" s="102">
        <v>44872</v>
      </c>
      <c r="L660" s="327"/>
      <c r="M660" s="106">
        <v>45788</v>
      </c>
      <c r="N660" s="113" t="s">
        <v>4292</v>
      </c>
      <c r="O660" s="199" t="s">
        <v>4293</v>
      </c>
      <c r="P660" s="57"/>
      <c r="Q660" s="132">
        <v>9.2499999999999999E-2</v>
      </c>
      <c r="R660" s="132"/>
      <c r="S660" s="63" t="s">
        <v>303</v>
      </c>
      <c r="T660" s="67" t="s">
        <v>4294</v>
      </c>
      <c r="U660" s="67" t="s">
        <v>1533</v>
      </c>
      <c r="V660" s="113" t="s">
        <v>106</v>
      </c>
      <c r="W660" s="222">
        <v>94590</v>
      </c>
      <c r="X660" s="229" t="s">
        <v>4295</v>
      </c>
      <c r="Y660" s="312" t="s">
        <v>4296</v>
      </c>
      <c r="Z660" s="139" t="s">
        <v>4296</v>
      </c>
      <c r="AA660" s="200" t="s">
        <v>4297</v>
      </c>
      <c r="AB660" s="130"/>
      <c r="AC660" s="202"/>
      <c r="AD660" s="200"/>
      <c r="AE660" s="113"/>
      <c r="AF660" s="113"/>
      <c r="AG660" s="113"/>
      <c r="AH660" s="113"/>
      <c r="AI660" s="130"/>
      <c r="AK660" s="57"/>
      <c r="AQ660" s="288">
        <v>1493</v>
      </c>
      <c r="AR660" s="288">
        <v>1681</v>
      </c>
      <c r="AS660" s="207" t="s">
        <v>132</v>
      </c>
      <c r="AT660" s="116" t="s">
        <v>132</v>
      </c>
      <c r="AU660" s="67" t="s">
        <v>4294</v>
      </c>
      <c r="AV660" s="251"/>
      <c r="AW660" s="67" t="s">
        <v>1533</v>
      </c>
      <c r="AX660" s="113" t="s">
        <v>106</v>
      </c>
      <c r="AY660" s="222">
        <v>94590</v>
      </c>
      <c r="AZ660" s="199" t="s">
        <v>4293</v>
      </c>
    </row>
    <row r="661" spans="1:53" ht="14.15" customHeight="1" x14ac:dyDescent="0.4">
      <c r="A661" s="257" t="s">
        <v>4298</v>
      </c>
      <c r="B661" s="67" t="s">
        <v>98</v>
      </c>
      <c r="C661" s="224" t="s">
        <v>99</v>
      </c>
      <c r="D661" s="115"/>
      <c r="E661" s="120" t="s">
        <v>100</v>
      </c>
      <c r="F661" s="82"/>
      <c r="G661" s="84"/>
      <c r="H661" s="90" t="s">
        <v>100</v>
      </c>
      <c r="I661" s="91"/>
      <c r="J661" s="97"/>
      <c r="K661" s="102">
        <v>44802</v>
      </c>
      <c r="L661" s="327"/>
      <c r="M661" s="106"/>
      <c r="N661" s="113" t="s">
        <v>4299</v>
      </c>
      <c r="O661" s="199" t="s">
        <v>4300</v>
      </c>
      <c r="P661" s="57"/>
      <c r="Q661" s="132">
        <v>9.2499999999999999E-2</v>
      </c>
      <c r="R661" s="132"/>
      <c r="S661" s="63" t="s">
        <v>420</v>
      </c>
      <c r="T661" s="67" t="s">
        <v>4301</v>
      </c>
      <c r="U661" s="67" t="s">
        <v>420</v>
      </c>
      <c r="V661" s="113" t="s">
        <v>106</v>
      </c>
      <c r="W661" s="222">
        <v>94949</v>
      </c>
      <c r="X661" s="141"/>
      <c r="Z661" s="236"/>
      <c r="AA661" s="200"/>
      <c r="AB661" s="130"/>
      <c r="AC661" s="202"/>
      <c r="AD661" s="200"/>
      <c r="AE661" s="113"/>
      <c r="AF661" s="113"/>
      <c r="AG661" s="113"/>
      <c r="AH661" s="113"/>
      <c r="AI661" s="130"/>
      <c r="AK661" s="57"/>
      <c r="AO661" s="288">
        <v>62245</v>
      </c>
      <c r="AS661" s="207"/>
      <c r="AT661" s="116" t="s">
        <v>1176</v>
      </c>
      <c r="AU661" s="67" t="s">
        <v>4302</v>
      </c>
      <c r="AV661" s="251"/>
      <c r="AW661" s="67" t="s">
        <v>420</v>
      </c>
      <c r="AX661" s="113" t="s">
        <v>106</v>
      </c>
      <c r="AY661" s="222">
        <v>94949</v>
      </c>
      <c r="AZ661" s="199" t="s">
        <v>4303</v>
      </c>
      <c r="BA661" s="317"/>
    </row>
    <row r="662" spans="1:53" ht="14.15" customHeight="1" x14ac:dyDescent="0.4">
      <c r="A662" s="257" t="s">
        <v>4304</v>
      </c>
      <c r="B662" s="67" t="s">
        <v>98</v>
      </c>
      <c r="C662" s="224" t="s">
        <v>99</v>
      </c>
      <c r="D662" s="113"/>
      <c r="E662" s="120" t="s">
        <v>100</v>
      </c>
      <c r="F662" s="82"/>
      <c r="G662" s="84"/>
      <c r="H662" s="90" t="s">
        <v>100</v>
      </c>
      <c r="I662" s="91"/>
      <c r="J662" s="97"/>
      <c r="K662" s="102">
        <v>44900</v>
      </c>
      <c r="L662" s="327"/>
      <c r="M662" s="106"/>
      <c r="N662" s="113" t="s">
        <v>4305</v>
      </c>
      <c r="O662" s="199" t="s">
        <v>4306</v>
      </c>
      <c r="P662" s="57" t="s">
        <v>4307</v>
      </c>
      <c r="Q662" s="132">
        <v>8.6249999999999993E-2</v>
      </c>
      <c r="R662" s="132">
        <v>8.7499999999999994E-2</v>
      </c>
      <c r="S662" s="63" t="s">
        <v>103</v>
      </c>
      <c r="T662" s="67" t="s">
        <v>4308</v>
      </c>
      <c r="U662" s="67" t="s">
        <v>105</v>
      </c>
      <c r="V662" s="113" t="s">
        <v>106</v>
      </c>
      <c r="W662" s="222">
        <v>94111</v>
      </c>
      <c r="X662" s="139" t="s">
        <v>4309</v>
      </c>
      <c r="Y662" s="139" t="s">
        <v>4310</v>
      </c>
      <c r="Z662" s="139" t="s">
        <v>4310</v>
      </c>
      <c r="AA662" s="200" t="s">
        <v>4311</v>
      </c>
      <c r="AB662" s="130"/>
      <c r="AC662" s="202"/>
      <c r="AD662" s="200"/>
      <c r="AE662" s="113"/>
      <c r="AF662" s="113"/>
      <c r="AG662" s="113"/>
      <c r="AH662" s="113"/>
      <c r="AI662" s="130"/>
      <c r="AK662" s="57"/>
      <c r="AN662" s="288">
        <v>15185</v>
      </c>
      <c r="AO662" s="288">
        <v>40283</v>
      </c>
      <c r="AS662" s="207" t="s">
        <v>132</v>
      </c>
      <c r="AT662" s="116" t="s">
        <v>132</v>
      </c>
      <c r="AU662" s="67" t="s">
        <v>4312</v>
      </c>
      <c r="AV662" s="251">
        <v>0</v>
      </c>
      <c r="AW662" s="67" t="s">
        <v>105</v>
      </c>
      <c r="AX662" s="113" t="s">
        <v>106</v>
      </c>
      <c r="AY662" s="222">
        <v>94111</v>
      </c>
      <c r="AZ662" s="199" t="s">
        <v>4313</v>
      </c>
    </row>
    <row r="663" spans="1:53" ht="12.75" customHeight="1" x14ac:dyDescent="0.4">
      <c r="A663" s="257" t="s">
        <v>4314</v>
      </c>
      <c r="B663" s="67" t="s">
        <v>1295</v>
      </c>
      <c r="C663" s="68" t="s">
        <v>563</v>
      </c>
      <c r="E663" s="120" t="s">
        <v>1166</v>
      </c>
      <c r="F663" s="80">
        <v>45519</v>
      </c>
      <c r="G663" s="84">
        <v>75</v>
      </c>
      <c r="H663" s="90" t="s">
        <v>100</v>
      </c>
      <c r="I663" s="91"/>
      <c r="J663" s="97"/>
      <c r="K663" s="102"/>
      <c r="L663" s="327"/>
      <c r="M663" s="106"/>
      <c r="N663" s="128" t="s">
        <v>4315</v>
      </c>
      <c r="O663" s="77" t="s">
        <v>4316</v>
      </c>
      <c r="Q663" s="131">
        <v>9.8750000000000004E-2</v>
      </c>
      <c r="S663" s="63" t="s">
        <v>4317</v>
      </c>
      <c r="T663" s="67" t="s">
        <v>4318</v>
      </c>
      <c r="U663" s="67" t="s">
        <v>4319</v>
      </c>
      <c r="V663" s="79" t="s">
        <v>106</v>
      </c>
      <c r="W663" s="76">
        <v>94005</v>
      </c>
      <c r="X663" s="141" t="s">
        <v>4320</v>
      </c>
      <c r="Y663" s="319"/>
      <c r="AS663" s="207"/>
      <c r="AU663" s="67" t="s">
        <v>4321</v>
      </c>
      <c r="AW663" s="67" t="s">
        <v>148</v>
      </c>
      <c r="AX663" s="79" t="s">
        <v>106</v>
      </c>
      <c r="AY663" s="76">
        <v>95138</v>
      </c>
    </row>
    <row r="664" spans="1:53" ht="14.15" customHeight="1" x14ac:dyDescent="0.4">
      <c r="A664" s="257" t="s">
        <v>4322</v>
      </c>
      <c r="B664" s="67" t="s">
        <v>4323</v>
      </c>
      <c r="C664" s="224" t="s">
        <v>563</v>
      </c>
      <c r="D664" s="113" t="s">
        <v>4324</v>
      </c>
      <c r="E664" s="120" t="s">
        <v>1166</v>
      </c>
      <c r="F664" s="80">
        <v>45519</v>
      </c>
      <c r="G664" s="84">
        <v>75</v>
      </c>
      <c r="H664" s="90" t="s">
        <v>100</v>
      </c>
      <c r="I664" s="91"/>
      <c r="J664" s="97"/>
      <c r="K664" s="102">
        <v>44314</v>
      </c>
      <c r="L664" s="327"/>
      <c r="M664" s="106">
        <v>44973</v>
      </c>
      <c r="N664" s="113" t="s">
        <v>4325</v>
      </c>
      <c r="O664" s="199" t="s">
        <v>4326</v>
      </c>
      <c r="P664" s="57" t="s">
        <v>4327</v>
      </c>
      <c r="Q664" s="132">
        <v>9.1249999999999998E-2</v>
      </c>
      <c r="R664" s="132">
        <v>8.7499999999999994E-2</v>
      </c>
      <c r="S664" s="63" t="s">
        <v>177</v>
      </c>
      <c r="T664" s="67" t="s">
        <v>4328</v>
      </c>
      <c r="U664" s="67" t="s">
        <v>179</v>
      </c>
      <c r="V664" s="113" t="s">
        <v>106</v>
      </c>
      <c r="W664" s="222">
        <v>94043</v>
      </c>
      <c r="X664" s="141" t="s">
        <v>4329</v>
      </c>
      <c r="Y664" s="139" t="s">
        <v>4330</v>
      </c>
      <c r="Z664" s="141" t="s">
        <v>4331</v>
      </c>
      <c r="AA664" s="200" t="s">
        <v>4332</v>
      </c>
      <c r="AB664" s="130" t="s">
        <v>4333</v>
      </c>
      <c r="AC664" s="202" t="s">
        <v>4334</v>
      </c>
      <c r="AD664" s="200" t="s">
        <v>4335</v>
      </c>
      <c r="AE664" s="113" t="s">
        <v>4336</v>
      </c>
      <c r="AF664" s="113" t="s">
        <v>4337</v>
      </c>
      <c r="AG664" s="113" t="s">
        <v>4338</v>
      </c>
      <c r="AH664" s="113" t="s">
        <v>4339</v>
      </c>
      <c r="AI664" s="130" t="s">
        <v>4340</v>
      </c>
      <c r="AJ664" s="130" t="s">
        <v>4341</v>
      </c>
      <c r="AK664" s="53" t="s">
        <v>4342</v>
      </c>
      <c r="AL664" s="287" t="s">
        <v>289</v>
      </c>
      <c r="AM664" s="288">
        <v>13305</v>
      </c>
      <c r="AO664" s="288">
        <v>62245</v>
      </c>
      <c r="AS664" s="207" t="s">
        <v>132</v>
      </c>
      <c r="AT664" s="116" t="s">
        <v>132</v>
      </c>
      <c r="AU664" s="67" t="s">
        <v>4343</v>
      </c>
      <c r="AV664" s="251" t="s">
        <v>4344</v>
      </c>
      <c r="AW664" s="67" t="s">
        <v>398</v>
      </c>
      <c r="AX664" s="113" t="s">
        <v>106</v>
      </c>
      <c r="AY664" s="222">
        <v>94588</v>
      </c>
      <c r="AZ664" s="199" t="s">
        <v>4345</v>
      </c>
      <c r="BA664" s="207"/>
    </row>
    <row r="665" spans="1:53" ht="14.15" customHeight="1" x14ac:dyDescent="0.4">
      <c r="A665" s="257" t="s">
        <v>4346</v>
      </c>
      <c r="B665" s="67" t="s">
        <v>2374</v>
      </c>
      <c r="C665" s="224" t="s">
        <v>254</v>
      </c>
      <c r="D665" s="115"/>
      <c r="E665" s="120" t="s">
        <v>100</v>
      </c>
      <c r="F665" s="82"/>
      <c r="G665" s="84"/>
      <c r="H665" s="90" t="s">
        <v>100</v>
      </c>
      <c r="I665" s="91"/>
      <c r="J665" s="97"/>
      <c r="K665" s="102"/>
      <c r="L665" s="327"/>
      <c r="M665" s="106">
        <v>44566</v>
      </c>
      <c r="N665" s="113" t="s">
        <v>4347</v>
      </c>
      <c r="O665" s="199" t="s">
        <v>4348</v>
      </c>
      <c r="P665" s="57" t="s">
        <v>4349</v>
      </c>
      <c r="Q665" s="132">
        <v>8.6249999999999993E-2</v>
      </c>
      <c r="R665" s="132"/>
      <c r="S665" s="63" t="s">
        <v>103</v>
      </c>
      <c r="T665" s="67" t="s">
        <v>4350</v>
      </c>
      <c r="U665" s="67" t="s">
        <v>105</v>
      </c>
      <c r="V665" s="113" t="s">
        <v>106</v>
      </c>
      <c r="W665" s="222">
        <v>94107</v>
      </c>
      <c r="X665" s="141"/>
      <c r="Z665" s="236"/>
      <c r="AA665" s="200"/>
      <c r="AB665" s="130"/>
      <c r="AC665" s="202"/>
      <c r="AD665" s="200"/>
      <c r="AE665" s="113"/>
      <c r="AF665" s="113"/>
      <c r="AG665" s="113"/>
      <c r="AH665" s="113"/>
      <c r="AI665" s="130"/>
      <c r="AK665" s="57"/>
      <c r="AS665" s="207"/>
      <c r="AU665" s="67" t="s">
        <v>4350</v>
      </c>
      <c r="AV665" s="251"/>
      <c r="AW665" s="67" t="s">
        <v>105</v>
      </c>
      <c r="AX665" s="113" t="s">
        <v>106</v>
      </c>
      <c r="AY665" s="222">
        <v>94107</v>
      </c>
      <c r="AZ665" s="199" t="s">
        <v>4348</v>
      </c>
      <c r="BA665" s="317"/>
    </row>
    <row r="666" spans="1:53" ht="14.15" customHeight="1" x14ac:dyDescent="0.4">
      <c r="A666" s="257" t="s">
        <v>4351</v>
      </c>
      <c r="B666" s="67" t="s">
        <v>125</v>
      </c>
      <c r="C666" s="224" t="s">
        <v>99</v>
      </c>
      <c r="D666" s="115" t="s">
        <v>2131</v>
      </c>
      <c r="E666" s="120" t="s">
        <v>100</v>
      </c>
      <c r="F666" s="82"/>
      <c r="G666" s="84"/>
      <c r="H666" s="90" t="s">
        <v>100</v>
      </c>
      <c r="I666" s="91"/>
      <c r="J666" s="97"/>
      <c r="K666" s="102"/>
      <c r="L666" s="327"/>
      <c r="M666" s="106">
        <v>44565</v>
      </c>
      <c r="N666" s="113" t="s">
        <v>1242</v>
      </c>
      <c r="O666" s="199" t="s">
        <v>1243</v>
      </c>
      <c r="P666" s="57"/>
      <c r="Q666" s="132">
        <v>9.2499999999999999E-2</v>
      </c>
      <c r="R666" s="132"/>
      <c r="S666" s="63" t="s">
        <v>303</v>
      </c>
      <c r="T666" s="67" t="s">
        <v>4352</v>
      </c>
      <c r="U666" s="67" t="s">
        <v>1533</v>
      </c>
      <c r="V666" s="113" t="s">
        <v>106</v>
      </c>
      <c r="W666" s="222">
        <v>94591</v>
      </c>
      <c r="X666" s="141"/>
      <c r="Z666" s="236"/>
      <c r="AA666" s="200"/>
      <c r="AB666" s="130"/>
      <c r="AC666" s="202"/>
      <c r="AD666" s="200"/>
      <c r="AE666" s="113"/>
      <c r="AF666" s="113"/>
      <c r="AG666" s="113"/>
      <c r="AH666" s="113"/>
      <c r="AI666" s="130"/>
      <c r="AK666" s="57"/>
      <c r="AS666" s="207"/>
      <c r="AU666" s="67" t="s">
        <v>4352</v>
      </c>
      <c r="AV666" s="251"/>
      <c r="AW666" s="67" t="s">
        <v>1533</v>
      </c>
      <c r="AX666" s="113" t="s">
        <v>106</v>
      </c>
      <c r="AY666" s="222">
        <v>94591</v>
      </c>
      <c r="AZ666" s="199" t="s">
        <v>1243</v>
      </c>
      <c r="BA666" s="317"/>
    </row>
    <row r="667" spans="1:53" ht="14.15" customHeight="1" x14ac:dyDescent="0.4">
      <c r="A667" s="257" t="s">
        <v>4353</v>
      </c>
      <c r="B667" s="67" t="s">
        <v>244</v>
      </c>
      <c r="C667" s="224" t="s">
        <v>763</v>
      </c>
      <c r="D667" s="115"/>
      <c r="E667" s="120" t="s">
        <v>173</v>
      </c>
      <c r="F667" s="82" t="s">
        <v>174</v>
      </c>
      <c r="G667" s="84"/>
      <c r="H667" s="90"/>
      <c r="I667" s="91"/>
      <c r="J667" s="97"/>
      <c r="K667" s="102"/>
      <c r="L667" s="327"/>
      <c r="M667" s="106"/>
      <c r="N667" s="130" t="s">
        <v>764</v>
      </c>
      <c r="O667" s="57" t="s">
        <v>4354</v>
      </c>
      <c r="P667" s="57"/>
      <c r="Q667" s="132">
        <v>8.6249999999999993E-2</v>
      </c>
      <c r="R667" s="132"/>
      <c r="S667" s="63" t="s">
        <v>103</v>
      </c>
      <c r="T667" s="67" t="s">
        <v>4355</v>
      </c>
      <c r="U667" s="67" t="s">
        <v>105</v>
      </c>
      <c r="V667" s="113" t="s">
        <v>106</v>
      </c>
      <c r="W667" s="222">
        <v>94123</v>
      </c>
      <c r="X667" s="141" t="s">
        <v>4356</v>
      </c>
      <c r="Y667" s="141" t="s">
        <v>4356</v>
      </c>
      <c r="Z667" s="141" t="s">
        <v>4356</v>
      </c>
      <c r="AA667" s="200"/>
      <c r="AB667" s="130"/>
      <c r="AC667" s="202"/>
      <c r="AD667" s="200"/>
      <c r="AE667" s="113"/>
      <c r="AF667" s="113"/>
      <c r="AG667" s="113"/>
      <c r="AH667" s="113"/>
      <c r="AI667" s="130"/>
      <c r="AK667" s="57"/>
      <c r="AS667" s="207"/>
      <c r="AU667" s="67" t="s">
        <v>4355</v>
      </c>
      <c r="AV667" s="251"/>
      <c r="AW667" s="67" t="s">
        <v>2156</v>
      </c>
      <c r="AX667" s="113" t="s">
        <v>106</v>
      </c>
      <c r="AY667" s="222">
        <v>94123</v>
      </c>
      <c r="AZ667" s="57" t="s">
        <v>4354</v>
      </c>
      <c r="BA667" s="317"/>
    </row>
    <row r="668" spans="1:53" ht="14.15" customHeight="1" x14ac:dyDescent="0.4">
      <c r="A668" s="257" t="s">
        <v>4357</v>
      </c>
      <c r="B668" s="67" t="s">
        <v>244</v>
      </c>
      <c r="C668" s="224" t="s">
        <v>763</v>
      </c>
      <c r="D668" s="115"/>
      <c r="E668" s="120" t="s">
        <v>173</v>
      </c>
      <c r="F668" s="82" t="s">
        <v>174</v>
      </c>
      <c r="G668" s="84"/>
      <c r="H668" s="90"/>
      <c r="I668" s="91"/>
      <c r="J668" s="97"/>
      <c r="K668" s="102"/>
      <c r="L668" s="327"/>
      <c r="M668" s="106"/>
      <c r="N668" s="130" t="s">
        <v>764</v>
      </c>
      <c r="O668" s="57" t="s">
        <v>4358</v>
      </c>
      <c r="P668" s="57"/>
      <c r="Q668" s="132">
        <v>8.6249999999999993E-2</v>
      </c>
      <c r="R668" s="132"/>
      <c r="S668" s="63" t="s">
        <v>103</v>
      </c>
      <c r="T668" s="67" t="s">
        <v>4359</v>
      </c>
      <c r="U668" s="67" t="s">
        <v>105</v>
      </c>
      <c r="V668" s="113" t="s">
        <v>106</v>
      </c>
      <c r="W668" s="222">
        <v>94127</v>
      </c>
      <c r="X668" s="141" t="s">
        <v>4360</v>
      </c>
      <c r="Y668" s="141" t="s">
        <v>4360</v>
      </c>
      <c r="Z668" s="141" t="s">
        <v>4360</v>
      </c>
      <c r="AA668" s="200"/>
      <c r="AB668" s="130"/>
      <c r="AC668" s="202"/>
      <c r="AD668" s="200"/>
      <c r="AE668" s="113"/>
      <c r="AF668" s="113"/>
      <c r="AG668" s="113"/>
      <c r="AH668" s="113"/>
      <c r="AI668" s="130"/>
      <c r="AK668" s="57"/>
      <c r="AS668" s="207"/>
      <c r="AU668" s="67" t="s">
        <v>4359</v>
      </c>
      <c r="AV668" s="251"/>
      <c r="AW668" s="67" t="s">
        <v>2156</v>
      </c>
      <c r="AX668" s="113" t="s">
        <v>106</v>
      </c>
      <c r="AY668" s="222">
        <v>94127</v>
      </c>
      <c r="AZ668" s="57" t="s">
        <v>4358</v>
      </c>
      <c r="BA668" s="317"/>
    </row>
    <row r="669" spans="1:53" ht="14.15" customHeight="1" x14ac:dyDescent="0.4">
      <c r="A669" s="257" t="s">
        <v>4361</v>
      </c>
      <c r="B669" s="67" t="s">
        <v>269</v>
      </c>
      <c r="C669" s="224" t="s">
        <v>119</v>
      </c>
      <c r="D669" s="113"/>
      <c r="E669" s="120" t="s">
        <v>100</v>
      </c>
      <c r="F669" s="82"/>
      <c r="G669" s="84"/>
      <c r="H669" s="90" t="s">
        <v>100</v>
      </c>
      <c r="I669" s="91"/>
      <c r="J669" s="97"/>
      <c r="K669" s="102">
        <v>44713</v>
      </c>
      <c r="L669" s="327"/>
      <c r="M669" s="106">
        <v>45079</v>
      </c>
      <c r="N669" s="113" t="s">
        <v>1253</v>
      </c>
      <c r="O669" s="199" t="s">
        <v>4362</v>
      </c>
      <c r="P669" s="57" t="s">
        <v>4363</v>
      </c>
      <c r="Q669" s="132">
        <v>8.6249999999999993E-2</v>
      </c>
      <c r="R669" s="132">
        <v>8.7499999999999994E-2</v>
      </c>
      <c r="S669" s="63" t="s">
        <v>103</v>
      </c>
      <c r="T669" s="66" t="s">
        <v>4364</v>
      </c>
      <c r="U669" s="67" t="s">
        <v>105</v>
      </c>
      <c r="V669" s="113" t="s">
        <v>106</v>
      </c>
      <c r="W669" s="222">
        <v>94110</v>
      </c>
      <c r="X669" s="141" t="s">
        <v>4365</v>
      </c>
      <c r="Y669" s="139" t="s">
        <v>1258</v>
      </c>
      <c r="Z669" s="139" t="s">
        <v>1258</v>
      </c>
      <c r="AA669" s="200"/>
      <c r="AB669" s="130"/>
      <c r="AC669" s="202"/>
      <c r="AD669" s="200"/>
      <c r="AE669" s="113"/>
      <c r="AF669" s="113"/>
      <c r="AG669" s="113"/>
      <c r="AH669" s="113"/>
      <c r="AI669" s="130" t="s">
        <v>0</v>
      </c>
      <c r="AJ669" s="135" t="s">
        <v>116</v>
      </c>
      <c r="AK669" s="57"/>
      <c r="AL669" s="287" t="s">
        <v>149</v>
      </c>
      <c r="AM669" s="288">
        <v>15741</v>
      </c>
      <c r="AN669" s="288">
        <v>15303</v>
      </c>
      <c r="AS669" s="207" t="s">
        <v>132</v>
      </c>
      <c r="AT669" s="116" t="s">
        <v>1253</v>
      </c>
      <c r="AU669" s="67" t="s">
        <v>1259</v>
      </c>
      <c r="AV669" s="251" t="s">
        <v>4366</v>
      </c>
      <c r="AW669" s="67" t="s">
        <v>420</v>
      </c>
      <c r="AX669" s="113" t="s">
        <v>106</v>
      </c>
      <c r="AY669" s="222">
        <v>94945</v>
      </c>
      <c r="AZ669" s="199" t="s">
        <v>1260</v>
      </c>
    </row>
    <row r="670" spans="1:53" ht="14.15" customHeight="1" x14ac:dyDescent="0.25">
      <c r="A670" s="257" t="s">
        <v>4367</v>
      </c>
      <c r="B670" s="67" t="s">
        <v>98</v>
      </c>
      <c r="C670" s="68" t="s">
        <v>99</v>
      </c>
      <c r="E670" s="118" t="s">
        <v>100</v>
      </c>
      <c r="F670" s="80"/>
      <c r="G670" s="81"/>
      <c r="H670" s="87" t="s">
        <v>100</v>
      </c>
      <c r="I670" s="86"/>
      <c r="J670" s="96"/>
      <c r="K670" s="100"/>
      <c r="L670" s="328"/>
      <c r="M670" s="104">
        <v>43801</v>
      </c>
      <c r="N670" s="128" t="s">
        <v>4368</v>
      </c>
      <c r="O670" s="77" t="s">
        <v>4369</v>
      </c>
      <c r="P670" s="59" t="s">
        <v>4370</v>
      </c>
      <c r="Q670" s="132">
        <v>9.8750000000000004E-2</v>
      </c>
      <c r="R670" s="132">
        <v>8.7499999999999994E-2</v>
      </c>
      <c r="S670" s="63" t="s">
        <v>4371</v>
      </c>
      <c r="T670" s="67" t="s">
        <v>4372</v>
      </c>
      <c r="U670" s="67" t="s">
        <v>4371</v>
      </c>
      <c r="V670" s="79" t="s">
        <v>106</v>
      </c>
      <c r="W670" s="76">
        <v>94002</v>
      </c>
      <c r="X670" s="141" t="s">
        <v>4373</v>
      </c>
      <c r="AA670" s="79" t="s">
        <v>4374</v>
      </c>
      <c r="AB670" s="135" t="s">
        <v>4375</v>
      </c>
      <c r="AC670" s="136" t="s">
        <v>4376</v>
      </c>
      <c r="AI670" s="135" t="s">
        <v>3369</v>
      </c>
      <c r="AJ670" s="135" t="s">
        <v>3369</v>
      </c>
      <c r="AL670" s="289"/>
      <c r="AM670" s="289"/>
      <c r="AN670" s="289"/>
      <c r="AO670" s="289"/>
      <c r="AP670" s="289"/>
      <c r="AQ670" s="289"/>
      <c r="AR670" s="289"/>
      <c r="AS670" s="207" t="s">
        <v>132</v>
      </c>
      <c r="AT670" s="116" t="s">
        <v>132</v>
      </c>
      <c r="AU670" s="67" t="s">
        <v>4372</v>
      </c>
      <c r="AW670" s="67" t="s">
        <v>4371</v>
      </c>
      <c r="AX670" s="79" t="s">
        <v>106</v>
      </c>
      <c r="AY670" s="76">
        <v>94002</v>
      </c>
      <c r="AZ670" s="77" t="s">
        <v>4369</v>
      </c>
      <c r="BA670" s="207"/>
    </row>
    <row r="671" spans="1:53" ht="13.5" customHeight="1" x14ac:dyDescent="0.25">
      <c r="A671" s="257" t="s">
        <v>4377</v>
      </c>
      <c r="B671" s="67" t="s">
        <v>125</v>
      </c>
      <c r="C671" s="68" t="s">
        <v>99</v>
      </c>
      <c r="D671" s="79" t="s">
        <v>4378</v>
      </c>
      <c r="E671" s="118" t="s">
        <v>100</v>
      </c>
      <c r="F671" s="80"/>
      <c r="G671" s="81"/>
      <c r="H671" s="92" t="s">
        <v>100</v>
      </c>
      <c r="I671" s="86"/>
      <c r="J671" s="96"/>
      <c r="K671" s="100">
        <v>45945</v>
      </c>
      <c r="L671" s="328"/>
      <c r="M671" s="104">
        <v>44862</v>
      </c>
      <c r="N671" s="77" t="s">
        <v>2734</v>
      </c>
      <c r="O671" s="325" t="s">
        <v>4379</v>
      </c>
      <c r="P671" s="368" t="s">
        <v>4380</v>
      </c>
      <c r="Q671" s="132">
        <v>0.10249999999999999</v>
      </c>
      <c r="R671" s="132">
        <v>9.5000000000000001E-2</v>
      </c>
      <c r="S671" s="63" t="s">
        <v>113</v>
      </c>
      <c r="T671" s="66" t="s">
        <v>4381</v>
      </c>
      <c r="U671" s="67" t="s">
        <v>641</v>
      </c>
      <c r="V671" s="79" t="s">
        <v>106</v>
      </c>
      <c r="W671" s="76">
        <v>94705</v>
      </c>
      <c r="X671" s="141" t="s">
        <v>4382</v>
      </c>
      <c r="Y671" s="139" t="s">
        <v>4382</v>
      </c>
      <c r="Z671" s="226" t="s">
        <v>4382</v>
      </c>
      <c r="AI671" s="135" t="s">
        <v>4383</v>
      </c>
      <c r="AJ671" s="135" t="s">
        <v>116</v>
      </c>
      <c r="AL671" s="287">
        <v>15157</v>
      </c>
      <c r="AM671" s="288">
        <v>15741</v>
      </c>
      <c r="AS671" s="207" t="s">
        <v>132</v>
      </c>
      <c r="AT671" s="116" t="s">
        <v>132</v>
      </c>
      <c r="AU671" s="67" t="str">
        <f>PROPER(AV671)</f>
        <v>3068 Claremont Avenue</v>
      </c>
      <c r="AV671" s="67" t="s">
        <v>4384</v>
      </c>
      <c r="AW671" s="67" t="s">
        <v>641</v>
      </c>
      <c r="AX671" s="79" t="s">
        <v>106</v>
      </c>
      <c r="AY671" s="76">
        <v>94705</v>
      </c>
      <c r="AZ671" s="77" t="s">
        <v>4379</v>
      </c>
      <c r="BA671" s="317"/>
    </row>
    <row r="672" spans="1:53" ht="13.5" customHeight="1" x14ac:dyDescent="0.4">
      <c r="A672" s="257" t="s">
        <v>4385</v>
      </c>
      <c r="B672" s="67" t="s">
        <v>1637</v>
      </c>
      <c r="C672" s="68" t="s">
        <v>563</v>
      </c>
      <c r="E672" s="120" t="s">
        <v>100</v>
      </c>
      <c r="F672" s="80"/>
      <c r="G672" s="81"/>
      <c r="H672" s="92" t="s">
        <v>100</v>
      </c>
      <c r="I672" s="86"/>
      <c r="J672" s="96"/>
      <c r="K672" s="100">
        <v>44105</v>
      </c>
      <c r="L672" s="328"/>
      <c r="M672" s="104">
        <v>44607</v>
      </c>
      <c r="N672" s="77" t="s">
        <v>4386</v>
      </c>
      <c r="O672" s="325" t="s">
        <v>4387</v>
      </c>
      <c r="P672" s="368"/>
      <c r="Q672" s="132">
        <v>8.6249999999999993E-2</v>
      </c>
      <c r="R672" s="132">
        <v>8.7499999999999994E-2</v>
      </c>
      <c r="S672" s="63" t="s">
        <v>103</v>
      </c>
      <c r="T672" s="66" t="s">
        <v>4388</v>
      </c>
      <c r="U672" s="67" t="s">
        <v>105</v>
      </c>
      <c r="V672" s="79" t="s">
        <v>106</v>
      </c>
      <c r="W672" s="76">
        <v>94114</v>
      </c>
      <c r="X672" s="141" t="s">
        <v>4389</v>
      </c>
      <c r="Y672" s="139" t="s">
        <v>4390</v>
      </c>
      <c r="AL672" s="287" t="s">
        <v>149</v>
      </c>
      <c r="AM672" s="288">
        <v>13305</v>
      </c>
      <c r="AN672" s="288" t="s">
        <v>198</v>
      </c>
      <c r="AO672" s="288">
        <v>62245</v>
      </c>
      <c r="AS672" s="207" t="s">
        <v>132</v>
      </c>
      <c r="AT672" s="116" t="s">
        <v>132</v>
      </c>
      <c r="AU672" s="79" t="s">
        <v>4388</v>
      </c>
      <c r="AV672" s="67"/>
      <c r="AW672" s="67" t="s">
        <v>105</v>
      </c>
      <c r="AX672" s="79" t="s">
        <v>106</v>
      </c>
      <c r="AY672" s="76">
        <v>94114</v>
      </c>
      <c r="AZ672" s="77" t="s">
        <v>200</v>
      </c>
    </row>
    <row r="673" spans="1:53" ht="13.5" customHeight="1" x14ac:dyDescent="0.4">
      <c r="A673" s="257" t="s">
        <v>4391</v>
      </c>
      <c r="B673" s="67" t="s">
        <v>98</v>
      </c>
      <c r="C673" s="224" t="s">
        <v>563</v>
      </c>
      <c r="D673" s="113" t="s">
        <v>2374</v>
      </c>
      <c r="E673" s="120" t="s">
        <v>100</v>
      </c>
      <c r="F673" s="82"/>
      <c r="G673" s="84"/>
      <c r="H673" s="90" t="s">
        <v>100</v>
      </c>
      <c r="I673" s="91"/>
      <c r="J673" s="97"/>
      <c r="K673" s="102">
        <v>46002</v>
      </c>
      <c r="L673" s="327"/>
      <c r="M673" s="106">
        <v>45433</v>
      </c>
      <c r="N673" s="199" t="s">
        <v>121</v>
      </c>
      <c r="O673" s="342" t="s">
        <v>4392</v>
      </c>
      <c r="P673" s="367" t="s">
        <v>4393</v>
      </c>
      <c r="Q673" s="132">
        <v>0.1</v>
      </c>
      <c r="R673" s="132"/>
      <c r="S673" s="63" t="s">
        <v>186</v>
      </c>
      <c r="T673" s="66" t="s">
        <v>4394</v>
      </c>
      <c r="U673" s="67" t="s">
        <v>188</v>
      </c>
      <c r="V673" s="113" t="s">
        <v>106</v>
      </c>
      <c r="W673" s="222">
        <v>95401</v>
      </c>
      <c r="X673" s="139" t="s">
        <v>4395</v>
      </c>
      <c r="Y673" s="139" t="s">
        <v>4396</v>
      </c>
      <c r="Z673" s="139" t="s">
        <v>4396</v>
      </c>
      <c r="AA673" s="200"/>
      <c r="AB673" s="130"/>
      <c r="AC673" s="202"/>
      <c r="AD673" s="200"/>
      <c r="AE673" s="113"/>
      <c r="AF673" s="113"/>
      <c r="AG673" s="113"/>
      <c r="AH673" s="113"/>
      <c r="AI673" s="130"/>
      <c r="AK673" s="57"/>
      <c r="AL673" s="290">
        <v>54230</v>
      </c>
      <c r="AM673" s="290" t="s">
        <v>325</v>
      </c>
      <c r="AN673" s="290">
        <v>13305</v>
      </c>
      <c r="AO673" s="290">
        <v>62245</v>
      </c>
      <c r="AP673" s="290"/>
      <c r="AQ673" s="290"/>
      <c r="AR673" s="290"/>
      <c r="AS673" s="207" t="s">
        <v>132</v>
      </c>
      <c r="AT673" s="116" t="s">
        <v>132</v>
      </c>
      <c r="AU673" s="67" t="s">
        <v>4394</v>
      </c>
      <c r="AV673" s="199"/>
      <c r="AW673" s="67" t="s">
        <v>188</v>
      </c>
      <c r="AX673" s="113" t="s">
        <v>106</v>
      </c>
      <c r="AY673" s="222">
        <v>95401</v>
      </c>
      <c r="AZ673" s="199" t="s">
        <v>4392</v>
      </c>
      <c r="BA673" s="317"/>
    </row>
    <row r="674" spans="1:53" ht="13.5" customHeight="1" x14ac:dyDescent="0.25">
      <c r="A674" s="257" t="s">
        <v>4397</v>
      </c>
      <c r="B674" s="67" t="s">
        <v>98</v>
      </c>
      <c r="C674" s="68" t="s">
        <v>563</v>
      </c>
      <c r="E674" s="118" t="s">
        <v>100</v>
      </c>
      <c r="F674" s="80"/>
      <c r="G674" s="81"/>
      <c r="H674" s="92" t="s">
        <v>100</v>
      </c>
      <c r="I674" s="86"/>
      <c r="J674" s="96"/>
      <c r="K674" s="100">
        <v>46017</v>
      </c>
      <c r="L674" s="328"/>
      <c r="M674" s="104"/>
      <c r="N674" s="365" t="s">
        <v>2302</v>
      </c>
      <c r="O674" s="77" t="s">
        <v>4398</v>
      </c>
      <c r="P674" s="59" t="s">
        <v>4399</v>
      </c>
      <c r="Q674" s="132">
        <v>8.6249999999999993E-2</v>
      </c>
      <c r="R674" s="132">
        <v>8.7499999999999994E-2</v>
      </c>
      <c r="S674" s="63" t="s">
        <v>103</v>
      </c>
      <c r="T674" s="66" t="s">
        <v>4400</v>
      </c>
      <c r="U674" s="67" t="s">
        <v>105</v>
      </c>
      <c r="V674" s="79" t="s">
        <v>106</v>
      </c>
      <c r="W674" s="76">
        <v>94115</v>
      </c>
      <c r="X674" s="139" t="s">
        <v>4401</v>
      </c>
      <c r="Y674" s="226" t="s">
        <v>4402</v>
      </c>
      <c r="Z674" s="226" t="s">
        <v>4402</v>
      </c>
      <c r="AI674" s="135" t="s">
        <v>288</v>
      </c>
      <c r="AJ674" s="135" t="s">
        <v>288</v>
      </c>
      <c r="AK674" s="54" t="s">
        <v>4403</v>
      </c>
      <c r="AL674" s="287" t="s">
        <v>289</v>
      </c>
      <c r="AM674" s="288">
        <v>13305</v>
      </c>
      <c r="AN674" s="288" t="s">
        <v>290</v>
      </c>
      <c r="AO674" s="288">
        <v>62245</v>
      </c>
      <c r="AS674" s="207" t="s">
        <v>132</v>
      </c>
      <c r="AT674" s="116" t="s">
        <v>132</v>
      </c>
      <c r="AU674" s="67" t="s">
        <v>4400</v>
      </c>
      <c r="AW674" s="67" t="s">
        <v>105</v>
      </c>
      <c r="AX674" s="79" t="s">
        <v>106</v>
      </c>
      <c r="AY674" s="76">
        <v>94115</v>
      </c>
      <c r="AZ674" s="77" t="s">
        <v>4398</v>
      </c>
    </row>
    <row r="675" spans="1:53" ht="13.5" customHeight="1" x14ac:dyDescent="0.25">
      <c r="A675" s="257" t="s">
        <v>4404</v>
      </c>
      <c r="B675" s="67" t="s">
        <v>125</v>
      </c>
      <c r="C675" s="68" t="s">
        <v>109</v>
      </c>
      <c r="D675" s="79" t="s">
        <v>4405</v>
      </c>
      <c r="E675" s="118" t="s">
        <v>100</v>
      </c>
      <c r="F675" s="80"/>
      <c r="G675" s="81"/>
      <c r="H675" s="92" t="s">
        <v>100</v>
      </c>
      <c r="I675" s="86"/>
      <c r="J675" s="96"/>
      <c r="K675" s="100"/>
      <c r="L675" s="328"/>
      <c r="M675" s="104">
        <v>45278</v>
      </c>
      <c r="N675" s="365" t="s">
        <v>111</v>
      </c>
      <c r="O675" s="77" t="s">
        <v>4406</v>
      </c>
      <c r="Q675" s="132">
        <v>0.10249999999999999</v>
      </c>
      <c r="R675" s="132">
        <v>9.5000000000000001E-2</v>
      </c>
      <c r="S675" s="63" t="s">
        <v>113</v>
      </c>
      <c r="T675" s="66" t="s">
        <v>4407</v>
      </c>
      <c r="U675" s="67" t="s">
        <v>115</v>
      </c>
      <c r="V675" s="79" t="s">
        <v>106</v>
      </c>
      <c r="W675" s="76">
        <v>94607</v>
      </c>
      <c r="Y675" s="139"/>
      <c r="AA675" s="79" t="s">
        <v>605</v>
      </c>
      <c r="AS675" s="207" t="s">
        <v>132</v>
      </c>
      <c r="AT675" s="116" t="s">
        <v>132</v>
      </c>
      <c r="AU675" s="67" t="s">
        <v>4407</v>
      </c>
      <c r="AW675" s="67" t="s">
        <v>115</v>
      </c>
      <c r="AX675" s="79" t="s">
        <v>106</v>
      </c>
      <c r="AY675" s="76">
        <v>94607</v>
      </c>
      <c r="AZ675" s="77" t="s">
        <v>4406</v>
      </c>
    </row>
    <row r="676" spans="1:53" ht="13.5" customHeight="1" x14ac:dyDescent="0.25">
      <c r="A676" s="257" t="s">
        <v>4408</v>
      </c>
      <c r="B676" s="67" t="s">
        <v>98</v>
      </c>
      <c r="C676" s="68" t="s">
        <v>563</v>
      </c>
      <c r="E676" s="118" t="s">
        <v>100</v>
      </c>
      <c r="F676" s="80"/>
      <c r="G676" s="81"/>
      <c r="H676" s="92" t="s">
        <v>100</v>
      </c>
      <c r="I676" s="86"/>
      <c r="J676" s="96"/>
      <c r="K676" s="100">
        <v>44881</v>
      </c>
      <c r="L676" s="328"/>
      <c r="M676" s="104"/>
      <c r="N676" s="365" t="s">
        <v>4409</v>
      </c>
      <c r="O676" s="77" t="s">
        <v>4410</v>
      </c>
      <c r="Q676" s="132">
        <v>8.2500000000000004E-2</v>
      </c>
      <c r="R676" s="132">
        <v>8.5000000000000006E-2</v>
      </c>
      <c r="S676" s="63" t="s">
        <v>759</v>
      </c>
      <c r="T676" s="66" t="s">
        <v>4411</v>
      </c>
      <c r="U676" s="67" t="s">
        <v>4412</v>
      </c>
      <c r="V676" s="79" t="s">
        <v>106</v>
      </c>
      <c r="W676" s="76">
        <v>94956</v>
      </c>
      <c r="X676" s="139" t="s">
        <v>4413</v>
      </c>
      <c r="Y676" s="139" t="s">
        <v>4413</v>
      </c>
      <c r="Z676" s="139" t="s">
        <v>4413</v>
      </c>
      <c r="AA676" s="79" t="s">
        <v>4414</v>
      </c>
      <c r="AJ676" s="135" t="s">
        <v>4415</v>
      </c>
      <c r="AL676" s="290" t="s">
        <v>289</v>
      </c>
      <c r="AM676" s="290">
        <v>13305</v>
      </c>
      <c r="AN676" s="290" t="s">
        <v>290</v>
      </c>
      <c r="AO676" s="290">
        <v>67240</v>
      </c>
      <c r="AP676" s="290"/>
      <c r="AQ676" s="290"/>
      <c r="AR676" s="290"/>
      <c r="AS676" s="207" t="s">
        <v>132</v>
      </c>
      <c r="AT676" s="116" t="s">
        <v>132</v>
      </c>
      <c r="AU676" s="67" t="s">
        <v>4416</v>
      </c>
      <c r="AW676" s="67" t="s">
        <v>4412</v>
      </c>
      <c r="AX676" s="79" t="s">
        <v>106</v>
      </c>
      <c r="AY676" s="76">
        <v>94956</v>
      </c>
      <c r="AZ676" s="77" t="s">
        <v>4410</v>
      </c>
      <c r="BA676" s="317"/>
    </row>
    <row r="677" spans="1:53" ht="13.5" customHeight="1" x14ac:dyDescent="0.4">
      <c r="A677" s="257" t="s">
        <v>4417</v>
      </c>
      <c r="B677" s="67" t="s">
        <v>98</v>
      </c>
      <c r="C677" s="224" t="s">
        <v>99</v>
      </c>
      <c r="D677" s="115"/>
      <c r="E677" s="120" t="s">
        <v>100</v>
      </c>
      <c r="F677" s="82"/>
      <c r="G677" s="84"/>
      <c r="H677" s="90" t="s">
        <v>100</v>
      </c>
      <c r="I677" s="91"/>
      <c r="J677" s="97"/>
      <c r="K677" s="102">
        <v>43845</v>
      </c>
      <c r="L677" s="327"/>
      <c r="M677" s="106">
        <v>45656</v>
      </c>
      <c r="N677" s="251" t="s">
        <v>4418</v>
      </c>
      <c r="O677" s="199" t="s">
        <v>4419</v>
      </c>
      <c r="P677" s="57"/>
      <c r="Q677" s="132">
        <v>0.09</v>
      </c>
      <c r="R677" s="132"/>
      <c r="S677" s="63" t="s">
        <v>734</v>
      </c>
      <c r="T677" s="367" t="s">
        <v>4420</v>
      </c>
      <c r="U677" s="67" t="s">
        <v>701</v>
      </c>
      <c r="V677" s="113" t="s">
        <v>106</v>
      </c>
      <c r="W677" s="222">
        <v>94925</v>
      </c>
      <c r="X677" s="141"/>
      <c r="Z677" s="236"/>
      <c r="AA677" s="200"/>
      <c r="AB677" s="130"/>
      <c r="AC677" s="202"/>
      <c r="AD677" s="200"/>
      <c r="AE677" s="113"/>
      <c r="AF677" s="113"/>
      <c r="AG677" s="113"/>
      <c r="AH677" s="113"/>
      <c r="AI677" s="130"/>
      <c r="AK677" s="57"/>
      <c r="AO677" s="288">
        <v>62245</v>
      </c>
      <c r="AS677" s="207"/>
      <c r="AU677" s="67" t="s">
        <v>4420</v>
      </c>
      <c r="AV677" s="251"/>
      <c r="AW677" s="67" t="s">
        <v>701</v>
      </c>
      <c r="AX677" s="113" t="s">
        <v>106</v>
      </c>
      <c r="AY677" s="222">
        <v>94925</v>
      </c>
      <c r="AZ677" s="199" t="s">
        <v>4419</v>
      </c>
      <c r="BA677" s="317"/>
    </row>
    <row r="678" spans="1:53" ht="13.5" customHeight="1" x14ac:dyDescent="0.4">
      <c r="A678" s="257" t="s">
        <v>4421</v>
      </c>
      <c r="B678" s="67" t="s">
        <v>98</v>
      </c>
      <c r="C678" s="224" t="s">
        <v>99</v>
      </c>
      <c r="E678" s="118" t="s">
        <v>100</v>
      </c>
      <c r="F678" s="80"/>
      <c r="G678" s="81"/>
      <c r="H678" s="87" t="s">
        <v>100</v>
      </c>
      <c r="I678" s="86"/>
      <c r="J678" s="96"/>
      <c r="K678" s="100">
        <v>43581</v>
      </c>
      <c r="L678" s="328"/>
      <c r="M678" s="104"/>
      <c r="N678" s="365" t="s">
        <v>4418</v>
      </c>
      <c r="O678" s="77" t="s">
        <v>4422</v>
      </c>
      <c r="Q678" s="132">
        <v>9.2499999999999999E-2</v>
      </c>
      <c r="R678" s="132">
        <v>8.5000000000000006E-2</v>
      </c>
      <c r="S678" s="63" t="s">
        <v>759</v>
      </c>
      <c r="T678" s="66" t="s">
        <v>4423</v>
      </c>
      <c r="U678" s="67" t="s">
        <v>823</v>
      </c>
      <c r="V678" s="79" t="s">
        <v>106</v>
      </c>
      <c r="W678" s="76">
        <v>94941</v>
      </c>
      <c r="AA678" s="79" t="s">
        <v>4424</v>
      </c>
      <c r="AB678" s="135" t="s">
        <v>4425</v>
      </c>
      <c r="AI678" s="135" t="s">
        <v>0</v>
      </c>
      <c r="AJ678" s="135" t="s">
        <v>4426</v>
      </c>
      <c r="AO678" s="288">
        <v>62245</v>
      </c>
      <c r="AS678" s="207" t="s">
        <v>132</v>
      </c>
      <c r="AT678" s="116" t="s">
        <v>4427</v>
      </c>
      <c r="AU678" s="67" t="s">
        <v>4428</v>
      </c>
      <c r="AV678" s="66" t="s">
        <v>4429</v>
      </c>
      <c r="AW678" s="67" t="s">
        <v>420</v>
      </c>
      <c r="AX678" s="79" t="s">
        <v>106</v>
      </c>
      <c r="AY678" s="76">
        <v>94949</v>
      </c>
      <c r="AZ678" s="128" t="s">
        <v>4422</v>
      </c>
      <c r="BA678" s="167"/>
    </row>
    <row r="679" spans="1:53" ht="13.5" customHeight="1" x14ac:dyDescent="0.4">
      <c r="A679" s="257" t="s">
        <v>4430</v>
      </c>
      <c r="B679" s="67" t="s">
        <v>98</v>
      </c>
      <c r="C679" s="224" t="s">
        <v>99</v>
      </c>
      <c r="D679" s="115"/>
      <c r="E679" s="120" t="s">
        <v>100</v>
      </c>
      <c r="F679" s="82"/>
      <c r="G679" s="84"/>
      <c r="H679" s="90" t="s">
        <v>100</v>
      </c>
      <c r="I679" s="91"/>
      <c r="J679" s="97"/>
      <c r="K679" s="102">
        <v>43661</v>
      </c>
      <c r="L679" s="327"/>
      <c r="M679" s="106"/>
      <c r="N679" s="251" t="s">
        <v>4418</v>
      </c>
      <c r="O679" s="199" t="s">
        <v>4431</v>
      </c>
      <c r="P679" s="57"/>
      <c r="Q679" s="132">
        <v>9.2499999999999999E-2</v>
      </c>
      <c r="R679" s="132"/>
      <c r="S679" s="63" t="s">
        <v>226</v>
      </c>
      <c r="T679" s="367" t="s">
        <v>4432</v>
      </c>
      <c r="U679" s="67" t="s">
        <v>4433</v>
      </c>
      <c r="V679" s="113" t="s">
        <v>106</v>
      </c>
      <c r="W679" s="222">
        <v>94903</v>
      </c>
      <c r="X679" s="141"/>
      <c r="Z679" s="236"/>
      <c r="AA679" s="200"/>
      <c r="AB679" s="130"/>
      <c r="AC679" s="202"/>
      <c r="AD679" s="200"/>
      <c r="AE679" s="113"/>
      <c r="AF679" s="113"/>
      <c r="AG679" s="113"/>
      <c r="AH679" s="113"/>
      <c r="AI679" s="130"/>
      <c r="AK679" s="57"/>
      <c r="AO679" s="288">
        <v>62245</v>
      </c>
      <c r="AS679" s="207"/>
      <c r="AU679" s="67" t="s">
        <v>4432</v>
      </c>
      <c r="AV679" s="251"/>
      <c r="AW679" s="67" t="s">
        <v>4433</v>
      </c>
      <c r="AX679" s="113" t="s">
        <v>106</v>
      </c>
      <c r="AY679" s="222">
        <v>94903</v>
      </c>
      <c r="AZ679" s="113" t="s">
        <v>4431</v>
      </c>
      <c r="BA679" s="321"/>
    </row>
    <row r="680" spans="1:53" ht="13.5" customHeight="1" x14ac:dyDescent="0.25">
      <c r="A680" s="257" t="s">
        <v>4434</v>
      </c>
      <c r="B680" s="67" t="s">
        <v>98</v>
      </c>
      <c r="C680" s="68" t="s">
        <v>563</v>
      </c>
      <c r="E680" s="118" t="s">
        <v>100</v>
      </c>
      <c r="F680" s="80"/>
      <c r="G680" s="81"/>
      <c r="H680" s="87" t="s">
        <v>100</v>
      </c>
      <c r="I680" s="86"/>
      <c r="J680" s="96"/>
      <c r="K680" s="100">
        <v>44600</v>
      </c>
      <c r="L680" s="328"/>
      <c r="M680" s="104"/>
      <c r="N680" s="365" t="s">
        <v>4435</v>
      </c>
      <c r="O680" s="77" t="s">
        <v>4436</v>
      </c>
      <c r="Q680" s="132">
        <v>9.1249999999999998E-2</v>
      </c>
      <c r="R680" s="132">
        <v>8.7499999999999994E-2</v>
      </c>
      <c r="S680" s="63" t="s">
        <v>177</v>
      </c>
      <c r="T680" s="66" t="s">
        <v>4437</v>
      </c>
      <c r="U680" s="67" t="s">
        <v>179</v>
      </c>
      <c r="V680" s="79" t="s">
        <v>106</v>
      </c>
      <c r="W680" s="76">
        <v>94041</v>
      </c>
      <c r="X680" s="141" t="s">
        <v>4438</v>
      </c>
      <c r="Y680" s="139" t="s">
        <v>4439</v>
      </c>
      <c r="Z680" s="226" t="s">
        <v>4440</v>
      </c>
      <c r="AA680" s="79" t="s">
        <v>1738</v>
      </c>
      <c r="AC680" s="136" t="s">
        <v>4441</v>
      </c>
      <c r="AD680" s="79" t="s">
        <v>4442</v>
      </c>
      <c r="AK680" s="54" t="s">
        <v>4443</v>
      </c>
      <c r="AL680" s="287" t="s">
        <v>289</v>
      </c>
      <c r="AM680" s="288">
        <v>13305</v>
      </c>
      <c r="AN680" s="288" t="s">
        <v>290</v>
      </c>
      <c r="AO680" s="288">
        <v>62245</v>
      </c>
      <c r="AS680" s="207" t="s">
        <v>132</v>
      </c>
      <c r="AT680" s="116" t="s">
        <v>4444</v>
      </c>
      <c r="AU680" s="67" t="s">
        <v>4437</v>
      </c>
      <c r="AW680" s="67" t="s">
        <v>179</v>
      </c>
      <c r="AX680" s="79" t="s">
        <v>106</v>
      </c>
      <c r="AY680" s="76">
        <v>94041</v>
      </c>
      <c r="AZ680" s="128" t="s">
        <v>4436</v>
      </c>
      <c r="BA680" s="167"/>
    </row>
    <row r="681" spans="1:53" ht="13.5" customHeight="1" x14ac:dyDescent="0.4">
      <c r="A681" s="257" t="s">
        <v>4445</v>
      </c>
      <c r="B681" s="67" t="s">
        <v>1706</v>
      </c>
      <c r="C681" s="224" t="s">
        <v>99</v>
      </c>
      <c r="D681" s="115" t="s">
        <v>4446</v>
      </c>
      <c r="E681" s="120" t="s">
        <v>100</v>
      </c>
      <c r="F681" s="82"/>
      <c r="G681" s="84"/>
      <c r="H681" s="90" t="s">
        <v>100</v>
      </c>
      <c r="I681" s="91"/>
      <c r="J681" s="97"/>
      <c r="K681" s="102">
        <v>44945</v>
      </c>
      <c r="L681" s="327"/>
      <c r="M681" s="106">
        <v>45365</v>
      </c>
      <c r="N681" s="251" t="s">
        <v>4447</v>
      </c>
      <c r="O681" s="199" t="s">
        <v>4448</v>
      </c>
      <c r="P681" s="57"/>
      <c r="Q681" s="132">
        <v>0.1</v>
      </c>
      <c r="R681" s="132"/>
      <c r="S681" s="63" t="s">
        <v>186</v>
      </c>
      <c r="T681" s="66" t="s">
        <v>4449</v>
      </c>
      <c r="U681" s="67" t="s">
        <v>188</v>
      </c>
      <c r="V681" s="113" t="s">
        <v>106</v>
      </c>
      <c r="W681" s="222">
        <v>95407</v>
      </c>
      <c r="X681" s="141" t="s">
        <v>4450</v>
      </c>
      <c r="Y681" s="141" t="s">
        <v>4450</v>
      </c>
      <c r="Z681" s="141" t="s">
        <v>4450</v>
      </c>
      <c r="AA681" s="200"/>
      <c r="AB681" s="130"/>
      <c r="AC681" s="202"/>
      <c r="AD681" s="200"/>
      <c r="AE681" s="113"/>
      <c r="AF681" s="113"/>
      <c r="AG681" s="113"/>
      <c r="AH681" s="113"/>
      <c r="AI681" s="130"/>
      <c r="AK681" s="57"/>
      <c r="AL681" s="287" t="s">
        <v>251</v>
      </c>
      <c r="AS681" s="207"/>
      <c r="AU681" s="67" t="s">
        <v>4449</v>
      </c>
      <c r="AV681" s="251"/>
      <c r="AW681" s="67" t="s">
        <v>188</v>
      </c>
      <c r="AX681" s="113" t="s">
        <v>106</v>
      </c>
      <c r="AY681" s="222">
        <v>95407</v>
      </c>
      <c r="AZ681" s="113" t="s">
        <v>4448</v>
      </c>
      <c r="BA681" s="321"/>
    </row>
    <row r="682" spans="1:53" ht="13.5" customHeight="1" x14ac:dyDescent="0.25">
      <c r="A682" s="257" t="s">
        <v>4451</v>
      </c>
      <c r="B682" s="67" t="s">
        <v>98</v>
      </c>
      <c r="C682" s="68" t="s">
        <v>99</v>
      </c>
      <c r="E682" s="118" t="s">
        <v>100</v>
      </c>
      <c r="F682" s="80"/>
      <c r="G682" s="81"/>
      <c r="H682" s="87" t="s">
        <v>100</v>
      </c>
      <c r="I682" s="86"/>
      <c r="J682" s="96"/>
      <c r="K682" s="100"/>
      <c r="L682" s="328"/>
      <c r="M682" s="104">
        <v>44126</v>
      </c>
      <c r="N682" s="365" t="s">
        <v>4452</v>
      </c>
      <c r="O682" s="77" t="s">
        <v>4453</v>
      </c>
      <c r="P682" s="59" t="s">
        <v>4454</v>
      </c>
      <c r="Q682" s="132">
        <v>8.6249999999999993E-2</v>
      </c>
      <c r="R682" s="132">
        <v>8.7499999999999994E-2</v>
      </c>
      <c r="S682" s="63" t="s">
        <v>103</v>
      </c>
      <c r="T682" s="66" t="s">
        <v>4455</v>
      </c>
      <c r="U682" s="67" t="s">
        <v>105</v>
      </c>
      <c r="V682" s="79" t="s">
        <v>106</v>
      </c>
      <c r="W682" s="76">
        <v>94108</v>
      </c>
      <c r="X682" s="141" t="s">
        <v>4456</v>
      </c>
      <c r="Z682" s="226" t="s">
        <v>4457</v>
      </c>
      <c r="AA682" s="79" t="s">
        <v>4458</v>
      </c>
      <c r="AB682" s="135" t="s">
        <v>4459</v>
      </c>
      <c r="AS682" s="207" t="s">
        <v>132</v>
      </c>
      <c r="AT682" s="116" t="s">
        <v>1184</v>
      </c>
      <c r="AU682" s="67" t="s">
        <v>4455</v>
      </c>
      <c r="AW682" s="67" t="s">
        <v>105</v>
      </c>
      <c r="AX682" s="79" t="s">
        <v>106</v>
      </c>
      <c r="AY682" s="76">
        <v>94121</v>
      </c>
      <c r="AZ682" s="128" t="s">
        <v>4454</v>
      </c>
      <c r="BA682" s="167"/>
    </row>
    <row r="683" spans="1:53" ht="13.5" customHeight="1" x14ac:dyDescent="0.4">
      <c r="A683" s="257" t="s">
        <v>4460</v>
      </c>
      <c r="B683" s="67" t="s">
        <v>125</v>
      </c>
      <c r="C683" s="224" t="s">
        <v>99</v>
      </c>
      <c r="D683" s="115"/>
      <c r="E683" s="120" t="s">
        <v>100</v>
      </c>
      <c r="F683" s="82"/>
      <c r="G683" s="84"/>
      <c r="H683" s="90" t="s">
        <v>100</v>
      </c>
      <c r="I683" s="91"/>
      <c r="J683" s="97"/>
      <c r="K683" s="102">
        <v>45804</v>
      </c>
      <c r="L683" s="327"/>
      <c r="M683" s="106">
        <v>45748</v>
      </c>
      <c r="N683" s="251" t="s">
        <v>2380</v>
      </c>
      <c r="O683" s="199" t="s">
        <v>4461</v>
      </c>
      <c r="P683" s="57"/>
      <c r="Q683" s="132">
        <v>0.10249999999999999</v>
      </c>
      <c r="R683" s="132"/>
      <c r="S683" s="63" t="s">
        <v>6341</v>
      </c>
      <c r="T683" s="66" t="s">
        <v>4462</v>
      </c>
      <c r="U683" s="67" t="s">
        <v>869</v>
      </c>
      <c r="V683" s="113" t="s">
        <v>106</v>
      </c>
      <c r="W683" s="222">
        <v>95476</v>
      </c>
      <c r="X683" s="139" t="s">
        <v>4463</v>
      </c>
      <c r="Y683" s="139" t="s">
        <v>4463</v>
      </c>
      <c r="Z683" s="139" t="s">
        <v>4463</v>
      </c>
      <c r="AA683" s="200"/>
      <c r="AB683" s="130"/>
      <c r="AC683" s="202"/>
      <c r="AD683" s="200"/>
      <c r="AE683" s="113"/>
      <c r="AF683" s="113"/>
      <c r="AG683" s="113"/>
      <c r="AH683" s="113"/>
      <c r="AI683" s="130"/>
      <c r="AK683" s="57"/>
      <c r="AS683" s="207"/>
      <c r="AU683" s="67" t="s">
        <v>4462</v>
      </c>
      <c r="AV683" s="251"/>
      <c r="AW683" s="67" t="s">
        <v>869</v>
      </c>
      <c r="AX683" s="113" t="s">
        <v>106</v>
      </c>
      <c r="AY683" s="222">
        <v>95476</v>
      </c>
      <c r="AZ683" s="113" t="s">
        <v>4461</v>
      </c>
      <c r="BA683" s="321"/>
    </row>
    <row r="684" spans="1:53" ht="13.5" customHeight="1" x14ac:dyDescent="0.25">
      <c r="A684" s="257" t="s">
        <v>4464</v>
      </c>
      <c r="B684" s="67" t="s">
        <v>125</v>
      </c>
      <c r="C684" s="68" t="s">
        <v>99</v>
      </c>
      <c r="D684" s="79" t="s">
        <v>4465</v>
      </c>
      <c r="E684" s="118" t="s">
        <v>100</v>
      </c>
      <c r="F684" s="80"/>
      <c r="G684" s="81"/>
      <c r="H684" s="87" t="s">
        <v>100</v>
      </c>
      <c r="I684" s="86"/>
      <c r="J684" s="96"/>
      <c r="K684" s="100"/>
      <c r="L684" s="328"/>
      <c r="M684" s="104">
        <v>44910</v>
      </c>
      <c r="N684" s="365" t="s">
        <v>4466</v>
      </c>
      <c r="O684" s="77" t="s">
        <v>4467</v>
      </c>
      <c r="Q684" s="132">
        <v>9.2499999999999999E-2</v>
      </c>
      <c r="R684" s="132">
        <v>8.5000000000000006E-2</v>
      </c>
      <c r="S684" s="63" t="s">
        <v>759</v>
      </c>
      <c r="T684" s="66" t="s">
        <v>4468</v>
      </c>
      <c r="U684" s="67" t="s">
        <v>823</v>
      </c>
      <c r="V684" s="79" t="s">
        <v>106</v>
      </c>
      <c r="W684" s="76">
        <v>94941</v>
      </c>
      <c r="AI684" s="135" t="s">
        <v>0</v>
      </c>
      <c r="AJ684" s="135" t="s">
        <v>116</v>
      </c>
      <c r="AL684" s="289"/>
      <c r="AM684" s="289"/>
      <c r="AN684" s="289"/>
      <c r="AO684" s="289"/>
      <c r="AP684" s="289"/>
      <c r="AQ684" s="289"/>
      <c r="AR684" s="289"/>
      <c r="AS684" s="207" t="s">
        <v>132</v>
      </c>
      <c r="AT684" s="116" t="s">
        <v>1184</v>
      </c>
      <c r="AU684" s="67" t="s">
        <v>4468</v>
      </c>
      <c r="AW684" s="67" t="s">
        <v>823</v>
      </c>
      <c r="AX684" s="79" t="s">
        <v>106</v>
      </c>
      <c r="AY684" s="76">
        <v>94941</v>
      </c>
      <c r="AZ684" s="128" t="s">
        <v>4467</v>
      </c>
      <c r="BA684" s="318"/>
    </row>
    <row r="685" spans="1:53" ht="13.5" customHeight="1" x14ac:dyDescent="0.25">
      <c r="A685" s="257" t="s">
        <v>4469</v>
      </c>
      <c r="B685" s="67" t="s">
        <v>269</v>
      </c>
      <c r="C685" s="68" t="s">
        <v>109</v>
      </c>
      <c r="D685" s="79" t="s">
        <v>4470</v>
      </c>
      <c r="E685" s="118" t="s">
        <v>100</v>
      </c>
      <c r="F685" s="80"/>
      <c r="G685" s="81"/>
      <c r="H685" s="87" t="s">
        <v>100</v>
      </c>
      <c r="I685" s="86"/>
      <c r="J685" s="96"/>
      <c r="K685" s="100">
        <v>43417</v>
      </c>
      <c r="L685" s="328"/>
      <c r="M685" s="104">
        <v>45882</v>
      </c>
      <c r="N685" s="365" t="s">
        <v>4471</v>
      </c>
      <c r="O685" s="77" t="s">
        <v>3669</v>
      </c>
      <c r="Q685" s="132">
        <v>9.375E-2</v>
      </c>
      <c r="R685" s="132">
        <v>0.09</v>
      </c>
      <c r="S685" s="63" t="s">
        <v>1685</v>
      </c>
      <c r="T685" s="66" t="s">
        <v>4472</v>
      </c>
      <c r="U685" s="67" t="s">
        <v>2505</v>
      </c>
      <c r="V685" s="79" t="s">
        <v>106</v>
      </c>
      <c r="W685" s="76">
        <v>94030</v>
      </c>
      <c r="X685" s="141" t="s">
        <v>4473</v>
      </c>
      <c r="AQ685" s="288" t="s">
        <v>4474</v>
      </c>
      <c r="AS685" s="207" t="s">
        <v>132</v>
      </c>
      <c r="AT685" s="116" t="s">
        <v>1184</v>
      </c>
      <c r="AU685" s="67" t="s">
        <v>4475</v>
      </c>
      <c r="AW685" s="67" t="s">
        <v>2505</v>
      </c>
      <c r="AX685" s="79" t="s">
        <v>106</v>
      </c>
      <c r="AY685" s="76">
        <v>94030</v>
      </c>
      <c r="AZ685" s="77" t="s">
        <v>3669</v>
      </c>
      <c r="BA685" s="167"/>
    </row>
    <row r="686" spans="1:53" ht="13.5" customHeight="1" x14ac:dyDescent="0.4">
      <c r="A686" s="257" t="s">
        <v>4476</v>
      </c>
      <c r="B686" s="67" t="s">
        <v>98</v>
      </c>
      <c r="C686" s="68" t="s">
        <v>99</v>
      </c>
      <c r="E686" s="120" t="s">
        <v>100</v>
      </c>
      <c r="F686" s="82"/>
      <c r="G686" s="84"/>
      <c r="H686" s="90" t="s">
        <v>100</v>
      </c>
      <c r="I686" s="91"/>
      <c r="J686" s="97"/>
      <c r="K686" s="102">
        <v>45050</v>
      </c>
      <c r="L686" s="327"/>
      <c r="M686" s="106"/>
      <c r="N686" s="365" t="s">
        <v>731</v>
      </c>
      <c r="O686" s="77" t="s">
        <v>1000</v>
      </c>
      <c r="P686" s="59" t="s">
        <v>4477</v>
      </c>
      <c r="Q686" s="131">
        <v>8.6249999999999993E-2</v>
      </c>
      <c r="S686" s="63" t="s">
        <v>103</v>
      </c>
      <c r="T686" s="66" t="s">
        <v>4478</v>
      </c>
      <c r="U686" s="67" t="s">
        <v>105</v>
      </c>
      <c r="V686" s="79" t="s">
        <v>106</v>
      </c>
      <c r="W686" s="76">
        <v>94122</v>
      </c>
      <c r="AL686" s="287" t="s">
        <v>4479</v>
      </c>
      <c r="AO686" s="288" t="s">
        <v>4480</v>
      </c>
      <c r="AS686" s="207" t="s">
        <v>132</v>
      </c>
      <c r="AT686" s="116" t="s">
        <v>532</v>
      </c>
      <c r="AU686" s="67" t="s">
        <v>4478</v>
      </c>
      <c r="AW686" s="67" t="s">
        <v>103</v>
      </c>
      <c r="AX686" s="79" t="s">
        <v>106</v>
      </c>
      <c r="AY686" s="76">
        <v>94122</v>
      </c>
      <c r="AZ686" s="77" t="s">
        <v>4481</v>
      </c>
    </row>
    <row r="687" spans="1:53" ht="13.5" customHeight="1" x14ac:dyDescent="0.4">
      <c r="A687" s="257" t="s">
        <v>4482</v>
      </c>
      <c r="B687" s="67" t="s">
        <v>98</v>
      </c>
      <c r="C687" s="224" t="s">
        <v>435</v>
      </c>
      <c r="D687" s="113"/>
      <c r="E687" s="120" t="s">
        <v>100</v>
      </c>
      <c r="F687" s="82" t="s">
        <v>288</v>
      </c>
      <c r="G687" s="84"/>
      <c r="H687" s="90" t="s">
        <v>100</v>
      </c>
      <c r="I687" s="91"/>
      <c r="J687" s="97"/>
      <c r="K687" s="100">
        <v>44369</v>
      </c>
      <c r="L687" s="328"/>
      <c r="M687" s="106">
        <v>44069</v>
      </c>
      <c r="N687" s="251" t="s">
        <v>4483</v>
      </c>
      <c r="O687" s="199" t="s">
        <v>4484</v>
      </c>
      <c r="P687" s="57" t="s">
        <v>4485</v>
      </c>
      <c r="Q687" s="132">
        <v>9.2499999999999999E-2</v>
      </c>
      <c r="R687" s="132">
        <v>0.09</v>
      </c>
      <c r="S687" s="63" t="s">
        <v>1594</v>
      </c>
      <c r="T687" s="66" t="s">
        <v>4486</v>
      </c>
      <c r="U687" s="67" t="s">
        <v>1596</v>
      </c>
      <c r="V687" s="113" t="s">
        <v>106</v>
      </c>
      <c r="W687" s="222">
        <v>94939</v>
      </c>
      <c r="Z687" s="236"/>
      <c r="AA687" s="200" t="s">
        <v>4487</v>
      </c>
      <c r="AB687" s="130" t="s">
        <v>4488</v>
      </c>
      <c r="AC687" s="202" t="s">
        <v>4489</v>
      </c>
      <c r="AD687" s="200"/>
      <c r="AE687" s="113"/>
      <c r="AF687" s="113"/>
      <c r="AG687" s="113"/>
      <c r="AH687" s="113"/>
      <c r="AI687" s="130" t="s">
        <v>4485</v>
      </c>
      <c r="AJ687" s="135" t="s">
        <v>116</v>
      </c>
      <c r="AK687" s="57"/>
      <c r="AL687" s="287" t="s">
        <v>289</v>
      </c>
      <c r="AM687" s="288" t="s">
        <v>4490</v>
      </c>
      <c r="AN687" s="288" t="s">
        <v>290</v>
      </c>
      <c r="AO687" s="288">
        <v>62245</v>
      </c>
      <c r="AS687" s="207" t="s">
        <v>132</v>
      </c>
      <c r="AT687" s="116" t="s">
        <v>1961</v>
      </c>
      <c r="AU687" s="67" t="str">
        <f>PROPER(AV687)</f>
        <v>1819 Larkspur Landing Circle</v>
      </c>
      <c r="AV687" s="251" t="s">
        <v>4491</v>
      </c>
      <c r="AW687" s="67" t="s">
        <v>1596</v>
      </c>
      <c r="AX687" s="113" t="s">
        <v>106</v>
      </c>
      <c r="AY687" s="222">
        <v>94939</v>
      </c>
      <c r="AZ687" s="199" t="s">
        <v>4484</v>
      </c>
    </row>
    <row r="688" spans="1:53" ht="13.5" customHeight="1" x14ac:dyDescent="0.25">
      <c r="A688" s="257" t="s">
        <v>4492</v>
      </c>
      <c r="B688" s="67" t="s">
        <v>125</v>
      </c>
      <c r="C688" s="68" t="s">
        <v>99</v>
      </c>
      <c r="D688" s="79" t="s">
        <v>4493</v>
      </c>
      <c r="E688" s="118" t="s">
        <v>100</v>
      </c>
      <c r="F688" s="80"/>
      <c r="G688" s="81"/>
      <c r="H688" s="92" t="s">
        <v>100</v>
      </c>
      <c r="I688" s="86"/>
      <c r="J688" s="96"/>
      <c r="K688" s="100">
        <v>42790</v>
      </c>
      <c r="L688" s="328"/>
      <c r="M688" s="104">
        <v>45748</v>
      </c>
      <c r="N688" s="365" t="s">
        <v>4494</v>
      </c>
      <c r="O688" s="77" t="s">
        <v>4495</v>
      </c>
      <c r="Q688" s="132">
        <v>9.2499999999999999E-2</v>
      </c>
      <c r="R688" s="132">
        <v>0.09</v>
      </c>
      <c r="S688" s="63" t="s">
        <v>420</v>
      </c>
      <c r="T688" s="66" t="s">
        <v>4496</v>
      </c>
      <c r="U688" s="67" t="s">
        <v>420</v>
      </c>
      <c r="V688" s="79" t="s">
        <v>106</v>
      </c>
      <c r="W688" s="76">
        <v>94945</v>
      </c>
      <c r="X688" s="147" t="s">
        <v>4497</v>
      </c>
      <c r="Y688" s="139" t="s">
        <v>6427</v>
      </c>
      <c r="AA688" s="79" t="s">
        <v>4498</v>
      </c>
      <c r="AB688" s="135" t="s">
        <v>4499</v>
      </c>
      <c r="AC688" s="136" t="s">
        <v>413</v>
      </c>
      <c r="AD688" s="79" t="s">
        <v>4500</v>
      </c>
      <c r="AI688" s="135" t="s">
        <v>0</v>
      </c>
      <c r="AJ688" s="135" t="s">
        <v>116</v>
      </c>
      <c r="AL688" s="287">
        <v>15157</v>
      </c>
      <c r="AS688" s="207" t="s">
        <v>132</v>
      </c>
      <c r="AT688" s="116" t="s">
        <v>1961</v>
      </c>
      <c r="AU688" s="67" t="s">
        <v>4496</v>
      </c>
      <c r="AW688" s="67" t="s">
        <v>420</v>
      </c>
      <c r="AX688" s="79" t="s">
        <v>106</v>
      </c>
      <c r="AY688" s="76">
        <v>94945</v>
      </c>
      <c r="AZ688" s="77" t="s">
        <v>4495</v>
      </c>
    </row>
    <row r="689" spans="1:53" ht="13.5" customHeight="1" x14ac:dyDescent="0.4">
      <c r="A689" s="257" t="s">
        <v>4501</v>
      </c>
      <c r="B689" s="67" t="s">
        <v>98</v>
      </c>
      <c r="C689" s="224" t="s">
        <v>99</v>
      </c>
      <c r="D689" s="113"/>
      <c r="E689" s="120" t="s">
        <v>100</v>
      </c>
      <c r="F689" s="82"/>
      <c r="G689" s="84"/>
      <c r="H689" s="90" t="s">
        <v>100</v>
      </c>
      <c r="I689" s="91"/>
      <c r="J689" s="97"/>
      <c r="K689" s="102">
        <v>45041</v>
      </c>
      <c r="L689" s="327"/>
      <c r="M689" s="106"/>
      <c r="N689" s="251" t="s">
        <v>4502</v>
      </c>
      <c r="O689" s="199" t="s">
        <v>4503</v>
      </c>
      <c r="P689" s="57"/>
      <c r="Q689" s="132">
        <v>8.7499999999999994E-2</v>
      </c>
      <c r="R689" s="132">
        <v>8.5000000000000006E-2</v>
      </c>
      <c r="S689" s="63" t="s">
        <v>205</v>
      </c>
      <c r="T689" s="66" t="s">
        <v>4504</v>
      </c>
      <c r="U689" s="67" t="s">
        <v>1558</v>
      </c>
      <c r="V689" s="113" t="s">
        <v>106</v>
      </c>
      <c r="W689" s="222">
        <v>94513</v>
      </c>
      <c r="Z689" s="236"/>
      <c r="AA689" s="200"/>
      <c r="AB689" s="130"/>
      <c r="AC689" s="202"/>
      <c r="AD689" s="200"/>
      <c r="AE689" s="113"/>
      <c r="AF689" s="113"/>
      <c r="AG689" s="113"/>
      <c r="AH689" s="113"/>
      <c r="AI689" s="130" t="s">
        <v>4505</v>
      </c>
      <c r="AJ689" s="135" t="s">
        <v>116</v>
      </c>
      <c r="AK689" s="57"/>
      <c r="AL689" s="287" t="s">
        <v>289</v>
      </c>
      <c r="AS689" s="207" t="s">
        <v>132</v>
      </c>
      <c r="AT689" s="116" t="s">
        <v>1961</v>
      </c>
      <c r="AU689" s="67" t="s">
        <v>4504</v>
      </c>
      <c r="AV689" s="251"/>
      <c r="AW689" s="67" t="s">
        <v>1558</v>
      </c>
      <c r="AX689" s="113" t="s">
        <v>106</v>
      </c>
      <c r="AY689" s="222">
        <v>94513</v>
      </c>
      <c r="AZ689" s="199" t="s">
        <v>4503</v>
      </c>
    </row>
    <row r="690" spans="1:53" ht="13.5" customHeight="1" x14ac:dyDescent="0.4">
      <c r="A690" s="257" t="s">
        <v>4506</v>
      </c>
      <c r="B690" s="67" t="s">
        <v>125</v>
      </c>
      <c r="C690" s="224" t="s">
        <v>563</v>
      </c>
      <c r="D690" s="113"/>
      <c r="E690" s="120" t="s">
        <v>100</v>
      </c>
      <c r="F690" s="82"/>
      <c r="G690" s="84"/>
      <c r="H690" s="90" t="s">
        <v>100</v>
      </c>
      <c r="I690" s="91"/>
      <c r="J690" s="97"/>
      <c r="K690" s="102">
        <v>43038</v>
      </c>
      <c r="L690" s="327"/>
      <c r="M690" s="106">
        <v>44328</v>
      </c>
      <c r="N690" s="251" t="s">
        <v>4507</v>
      </c>
      <c r="O690" s="199" t="s">
        <v>4508</v>
      </c>
      <c r="P690" s="367"/>
      <c r="Q690" s="132">
        <v>9.2499999999999999E-2</v>
      </c>
      <c r="R690" s="132">
        <v>9.2499999999999999E-2</v>
      </c>
      <c r="S690" s="63" t="s">
        <v>226</v>
      </c>
      <c r="T690" s="66" t="s">
        <v>4509</v>
      </c>
      <c r="U690" s="67" t="s">
        <v>228</v>
      </c>
      <c r="V690" s="113" t="s">
        <v>106</v>
      </c>
      <c r="W690" s="222">
        <v>94901</v>
      </c>
      <c r="Z690" s="236"/>
      <c r="AA690" s="200" t="s">
        <v>4507</v>
      </c>
      <c r="AB690" s="130"/>
      <c r="AC690" s="202"/>
      <c r="AD690" s="200"/>
      <c r="AE690" s="113"/>
      <c r="AF690" s="113"/>
      <c r="AG690" s="113"/>
      <c r="AH690" s="113"/>
      <c r="AI690" s="130"/>
      <c r="AK690" s="57"/>
      <c r="AL690" s="287">
        <v>63438</v>
      </c>
      <c r="AO690" s="288">
        <v>62155</v>
      </c>
      <c r="AS690" s="207" t="s">
        <v>4510</v>
      </c>
      <c r="AT690" s="116" t="s">
        <v>3542</v>
      </c>
      <c r="AU690" s="67" t="s">
        <v>3543</v>
      </c>
      <c r="AV690" s="251"/>
      <c r="AW690" s="67" t="s">
        <v>3544</v>
      </c>
      <c r="AX690" s="113" t="s">
        <v>3545</v>
      </c>
      <c r="AY690" s="222">
        <v>46242</v>
      </c>
      <c r="AZ690" s="199" t="str">
        <f>O690</f>
        <v>415-448-8300</v>
      </c>
    </row>
    <row r="691" spans="1:53" ht="12.75" customHeight="1" x14ac:dyDescent="0.4">
      <c r="A691" s="257" t="s">
        <v>4511</v>
      </c>
      <c r="B691" s="67" t="s">
        <v>125</v>
      </c>
      <c r="C691" s="224" t="s">
        <v>99</v>
      </c>
      <c r="D691" s="115" t="s">
        <v>4512</v>
      </c>
      <c r="E691" s="120" t="s">
        <v>100</v>
      </c>
      <c r="F691" s="82"/>
      <c r="G691" s="84"/>
      <c r="H691" s="90" t="s">
        <v>100</v>
      </c>
      <c r="I691" s="91"/>
      <c r="J691" s="97"/>
      <c r="K691" s="102"/>
      <c r="L691" s="327"/>
      <c r="M691" s="106">
        <v>44309</v>
      </c>
      <c r="N691" s="251" t="s">
        <v>1487</v>
      </c>
      <c r="O691" s="199" t="s">
        <v>1482</v>
      </c>
      <c r="P691" s="57"/>
      <c r="Q691" s="132">
        <v>8.6249999999999993E-2</v>
      </c>
      <c r="R691" s="132"/>
      <c r="S691" s="63" t="s">
        <v>103</v>
      </c>
      <c r="T691" s="66" t="s">
        <v>4513</v>
      </c>
      <c r="U691" s="67" t="s">
        <v>105</v>
      </c>
      <c r="V691" s="113" t="s">
        <v>106</v>
      </c>
      <c r="W691" s="222">
        <v>94114</v>
      </c>
      <c r="X691" s="141"/>
      <c r="Z691" s="236"/>
      <c r="AA691" s="200"/>
      <c r="AB691" s="130"/>
      <c r="AC691" s="202"/>
      <c r="AD691" s="200"/>
      <c r="AE691" s="113"/>
      <c r="AF691" s="113"/>
      <c r="AG691" s="113"/>
      <c r="AH691" s="113"/>
      <c r="AI691" s="130"/>
      <c r="AK691" s="57"/>
      <c r="AL691" s="287">
        <v>15157</v>
      </c>
      <c r="AS691" s="207"/>
      <c r="AT691" s="116" t="s">
        <v>406</v>
      </c>
      <c r="AU691" s="67" t="s">
        <v>1483</v>
      </c>
      <c r="AV691" s="251"/>
      <c r="AW691" s="67" t="s">
        <v>105</v>
      </c>
      <c r="AX691" s="113" t="s">
        <v>106</v>
      </c>
      <c r="AY691" s="222">
        <v>94114</v>
      </c>
      <c r="AZ691" s="199" t="s">
        <v>1482</v>
      </c>
      <c r="BA691" s="317"/>
    </row>
    <row r="692" spans="1:53" ht="13.5" customHeight="1" x14ac:dyDescent="0.4">
      <c r="A692" s="257" t="s">
        <v>4514</v>
      </c>
      <c r="B692" s="67" t="s">
        <v>98</v>
      </c>
      <c r="C692" s="224" t="s">
        <v>119</v>
      </c>
      <c r="D692" s="115"/>
      <c r="E692" s="120" t="s">
        <v>173</v>
      </c>
      <c r="F692" s="82" t="s">
        <v>174</v>
      </c>
      <c r="G692" s="84"/>
      <c r="H692" s="90"/>
      <c r="I692" s="91"/>
      <c r="J692" s="97"/>
      <c r="K692" s="102"/>
      <c r="L692" s="327"/>
      <c r="M692" s="106">
        <v>44705</v>
      </c>
      <c r="N692" s="251" t="s">
        <v>4515</v>
      </c>
      <c r="O692" s="284" t="s">
        <v>4516</v>
      </c>
      <c r="P692" s="57"/>
      <c r="Q692" s="132">
        <v>0.1075</v>
      </c>
      <c r="R692" s="132"/>
      <c r="S692" s="63" t="s">
        <v>113</v>
      </c>
      <c r="T692" s="66" t="s">
        <v>4517</v>
      </c>
      <c r="U692" s="67" t="s">
        <v>994</v>
      </c>
      <c r="V692" s="113" t="s">
        <v>106</v>
      </c>
      <c r="W692" s="222">
        <v>94541</v>
      </c>
      <c r="X692" s="141" t="s">
        <v>4518</v>
      </c>
      <c r="Y692" s="139" t="s">
        <v>4518</v>
      </c>
      <c r="Z692" s="139" t="s">
        <v>4518</v>
      </c>
      <c r="AA692" s="200"/>
      <c r="AB692" s="130"/>
      <c r="AC692" s="202"/>
      <c r="AD692" s="200"/>
      <c r="AE692" s="113"/>
      <c r="AF692" s="113"/>
      <c r="AG692" s="113"/>
      <c r="AH692" s="113"/>
      <c r="AI692" s="130"/>
      <c r="AK692" s="57"/>
      <c r="AS692" s="207"/>
      <c r="AU692" s="67" t="s">
        <v>4517</v>
      </c>
      <c r="AV692" s="251"/>
      <c r="AW692" s="67" t="s">
        <v>994</v>
      </c>
      <c r="AX692" s="113" t="s">
        <v>106</v>
      </c>
      <c r="AY692" s="222">
        <v>94541</v>
      </c>
      <c r="AZ692" s="284" t="s">
        <v>4516</v>
      </c>
      <c r="BA692" s="317"/>
    </row>
    <row r="693" spans="1:53" ht="13.5" customHeight="1" x14ac:dyDescent="0.4">
      <c r="A693" s="257" t="s">
        <v>4519</v>
      </c>
      <c r="B693" s="67" t="s">
        <v>98</v>
      </c>
      <c r="C693" s="224" t="s">
        <v>781</v>
      </c>
      <c r="D693" s="115"/>
      <c r="E693" s="120" t="s">
        <v>100</v>
      </c>
      <c r="F693" s="82"/>
      <c r="G693" s="84"/>
      <c r="H693" s="90" t="s">
        <v>100</v>
      </c>
      <c r="I693" s="91"/>
      <c r="J693" s="97"/>
      <c r="K693" s="102">
        <v>45788</v>
      </c>
      <c r="L693" s="327"/>
      <c r="M693" s="106"/>
      <c r="N693" s="251" t="s">
        <v>4520</v>
      </c>
      <c r="O693" s="199" t="s">
        <v>4521</v>
      </c>
      <c r="P693" s="57"/>
      <c r="Q693" s="132">
        <v>0.1075</v>
      </c>
      <c r="R693" s="132"/>
      <c r="S693" s="63" t="s">
        <v>2279</v>
      </c>
      <c r="T693" s="66" t="s">
        <v>4522</v>
      </c>
      <c r="U693" s="67" t="s">
        <v>1274</v>
      </c>
      <c r="V693" s="113" t="s">
        <v>106</v>
      </c>
      <c r="W693" s="222">
        <v>94578</v>
      </c>
      <c r="X693" s="141"/>
      <c r="Z693" s="236"/>
      <c r="AA693" s="200"/>
      <c r="AB693" s="130"/>
      <c r="AC693" s="202"/>
      <c r="AD693" s="200"/>
      <c r="AE693" s="113"/>
      <c r="AF693" s="113"/>
      <c r="AG693" s="113"/>
      <c r="AH693" s="113"/>
      <c r="AI693" s="130"/>
      <c r="AK693" s="57"/>
      <c r="AL693" s="287" t="s">
        <v>251</v>
      </c>
      <c r="AM693" s="288">
        <v>13305</v>
      </c>
      <c r="AO693" s="288">
        <v>62245</v>
      </c>
      <c r="AS693" s="207"/>
      <c r="AU693" s="67" t="s">
        <v>4522</v>
      </c>
      <c r="AV693" s="251"/>
      <c r="AW693" s="67" t="s">
        <v>1274</v>
      </c>
      <c r="AX693" s="113" t="s">
        <v>106</v>
      </c>
      <c r="AY693" s="222">
        <v>94578</v>
      </c>
      <c r="AZ693" s="199" t="s">
        <v>4521</v>
      </c>
      <c r="BA693" s="317"/>
    </row>
    <row r="694" spans="1:53" ht="13.5" customHeight="1" x14ac:dyDescent="0.4">
      <c r="A694" s="257" t="s">
        <v>4523</v>
      </c>
      <c r="B694" s="67" t="s">
        <v>98</v>
      </c>
      <c r="C694" s="68" t="s">
        <v>109</v>
      </c>
      <c r="E694" s="120" t="s">
        <v>173</v>
      </c>
      <c r="F694" s="82" t="s">
        <v>174</v>
      </c>
      <c r="G694" s="81"/>
      <c r="H694" s="92"/>
      <c r="I694" s="86"/>
      <c r="J694" s="96"/>
      <c r="K694" s="100">
        <v>45450</v>
      </c>
      <c r="L694" s="328"/>
      <c r="M694" s="104">
        <v>44489</v>
      </c>
      <c r="N694" s="365" t="s">
        <v>526</v>
      </c>
      <c r="O694" s="77" t="s">
        <v>4524</v>
      </c>
      <c r="P694" s="368" t="s">
        <v>4516</v>
      </c>
      <c r="Q694" s="132">
        <v>0.1075</v>
      </c>
      <c r="R694" s="132">
        <v>0.1</v>
      </c>
      <c r="S694" s="63" t="s">
        <v>2279</v>
      </c>
      <c r="T694" s="66" t="s">
        <v>4525</v>
      </c>
      <c r="U694" s="67" t="s">
        <v>1274</v>
      </c>
      <c r="V694" s="79" t="s">
        <v>106</v>
      </c>
      <c r="W694" s="76">
        <v>94578</v>
      </c>
      <c r="X694" s="141" t="s">
        <v>4526</v>
      </c>
      <c r="Y694" s="139" t="s">
        <v>4526</v>
      </c>
      <c r="Z694" s="226" t="s">
        <v>4526</v>
      </c>
      <c r="AL694" s="290" t="s">
        <v>289</v>
      </c>
      <c r="AM694" s="290">
        <v>13305</v>
      </c>
      <c r="AN694" s="290"/>
      <c r="AO694" s="290">
        <v>62245</v>
      </c>
      <c r="AP694" s="290"/>
      <c r="AQ694" s="290"/>
      <c r="AR694" s="290"/>
      <c r="AS694" s="207" t="s">
        <v>132</v>
      </c>
      <c r="AT694" s="116" t="s">
        <v>670</v>
      </c>
      <c r="AU694" s="67" t="s">
        <v>4525</v>
      </c>
      <c r="AW694" s="67" t="s">
        <v>1274</v>
      </c>
      <c r="AX694" s="79" t="s">
        <v>106</v>
      </c>
      <c r="AY694" s="76">
        <v>94578</v>
      </c>
      <c r="AZ694" s="128" t="s">
        <v>4524</v>
      </c>
      <c r="BA694" s="321"/>
    </row>
    <row r="695" spans="1:53" ht="13.5" customHeight="1" x14ac:dyDescent="0.4">
      <c r="A695" s="257" t="s">
        <v>4527</v>
      </c>
      <c r="B695" s="67" t="s">
        <v>98</v>
      </c>
      <c r="C695" s="224" t="s">
        <v>99</v>
      </c>
      <c r="D695" s="113"/>
      <c r="E695" s="120" t="s">
        <v>100</v>
      </c>
      <c r="F695" s="82"/>
      <c r="G695" s="84"/>
      <c r="H695" s="90" t="s">
        <v>100</v>
      </c>
      <c r="I695" s="91"/>
      <c r="J695" s="97"/>
      <c r="K695" s="102">
        <v>45460</v>
      </c>
      <c r="L695" s="327"/>
      <c r="M695" s="106"/>
      <c r="N695" s="251" t="s">
        <v>4528</v>
      </c>
      <c r="O695" s="199" t="s">
        <v>4529</v>
      </c>
      <c r="P695" s="57"/>
      <c r="Q695" s="132">
        <v>8.6249999999999993E-2</v>
      </c>
      <c r="R695" s="132"/>
      <c r="S695" s="63" t="s">
        <v>103</v>
      </c>
      <c r="T695" s="66" t="s">
        <v>4530</v>
      </c>
      <c r="U695" s="67" t="s">
        <v>105</v>
      </c>
      <c r="V695" s="113" t="s">
        <v>106</v>
      </c>
      <c r="W695" s="222">
        <v>94110</v>
      </c>
      <c r="X695" s="141" t="s">
        <v>6330</v>
      </c>
      <c r="Y695" s="141"/>
      <c r="Z695" s="141"/>
      <c r="AA695" s="200"/>
      <c r="AB695" s="130"/>
      <c r="AC695" s="202"/>
      <c r="AD695" s="200"/>
      <c r="AE695" s="113"/>
      <c r="AF695" s="113"/>
      <c r="AG695" s="113"/>
      <c r="AH695" s="113"/>
      <c r="AI695" s="130"/>
      <c r="AK695" s="57"/>
      <c r="AL695" s="290"/>
      <c r="AM695" s="290"/>
      <c r="AN695" s="290"/>
      <c r="AO695" s="290"/>
      <c r="AP695" s="290"/>
      <c r="AQ695" s="290"/>
      <c r="AR695" s="290"/>
      <c r="AS695" s="207"/>
      <c r="AT695" s="116" t="s">
        <v>539</v>
      </c>
      <c r="AU695" s="67" t="s">
        <v>4531</v>
      </c>
      <c r="AV695" s="251"/>
      <c r="AW695" s="67" t="s">
        <v>105</v>
      </c>
      <c r="AX695" s="113" t="s">
        <v>106</v>
      </c>
      <c r="AY695" s="222">
        <v>94110</v>
      </c>
      <c r="AZ695" s="113" t="s">
        <v>4532</v>
      </c>
      <c r="BA695" s="321"/>
    </row>
    <row r="696" spans="1:53" ht="13.5" customHeight="1" x14ac:dyDescent="0.4">
      <c r="A696" s="257" t="s">
        <v>4533</v>
      </c>
      <c r="B696" s="67" t="s">
        <v>269</v>
      </c>
      <c r="C696" s="224" t="s">
        <v>109</v>
      </c>
      <c r="D696" s="115"/>
      <c r="E696" s="120" t="s">
        <v>100</v>
      </c>
      <c r="F696" s="82"/>
      <c r="G696" s="84"/>
      <c r="H696" s="90" t="s">
        <v>100</v>
      </c>
      <c r="I696" s="91"/>
      <c r="J696" s="97"/>
      <c r="K696" s="102">
        <v>43474</v>
      </c>
      <c r="L696" s="327"/>
      <c r="M696" s="106">
        <v>43945</v>
      </c>
      <c r="N696" s="251" t="s">
        <v>321</v>
      </c>
      <c r="O696" s="113" t="s">
        <v>4534</v>
      </c>
      <c r="P696" s="57"/>
      <c r="Q696" s="132">
        <v>8.7499999999999994E-2</v>
      </c>
      <c r="R696" s="132"/>
      <c r="S696" s="63" t="s">
        <v>205</v>
      </c>
      <c r="T696" s="66" t="s">
        <v>4535</v>
      </c>
      <c r="U696" s="67" t="s">
        <v>4536</v>
      </c>
      <c r="V696" s="113" t="s">
        <v>106</v>
      </c>
      <c r="W696" s="222">
        <v>94803</v>
      </c>
      <c r="X696" s="141"/>
      <c r="Y696" s="141"/>
      <c r="Z696" s="236"/>
      <c r="AA696" s="200"/>
      <c r="AB696" s="130"/>
      <c r="AC696" s="202"/>
      <c r="AD696" s="200"/>
      <c r="AE696" s="113"/>
      <c r="AF696" s="113"/>
      <c r="AG696" s="113"/>
      <c r="AH696" s="113"/>
      <c r="AI696" s="130"/>
      <c r="AK696" s="57"/>
      <c r="AL696" s="287" t="s">
        <v>149</v>
      </c>
      <c r="AM696" s="288">
        <v>13305</v>
      </c>
      <c r="AO696" s="288">
        <v>62245</v>
      </c>
      <c r="AS696" s="207" t="s">
        <v>132</v>
      </c>
      <c r="AT696" s="116" t="s">
        <v>399</v>
      </c>
      <c r="AU696" s="67" t="s">
        <v>4535</v>
      </c>
      <c r="AV696" s="251"/>
      <c r="AW696" s="67" t="s">
        <v>4536</v>
      </c>
      <c r="AX696" s="113" t="s">
        <v>106</v>
      </c>
      <c r="AY696" s="222">
        <v>94803</v>
      </c>
      <c r="AZ696" s="113" t="s">
        <v>4534</v>
      </c>
      <c r="BA696" s="321"/>
    </row>
    <row r="697" spans="1:53" ht="13.5" customHeight="1" x14ac:dyDescent="0.4">
      <c r="A697" s="257" t="s">
        <v>4537</v>
      </c>
      <c r="B697" s="67" t="s">
        <v>269</v>
      </c>
      <c r="C697" s="225" t="s">
        <v>109</v>
      </c>
      <c r="D697" s="112" t="s">
        <v>2812</v>
      </c>
      <c r="E697" s="119" t="s">
        <v>222</v>
      </c>
      <c r="F697" s="83">
        <v>45549</v>
      </c>
      <c r="G697" s="209">
        <v>468</v>
      </c>
      <c r="H697" s="88" t="s">
        <v>100</v>
      </c>
      <c r="I697" s="89" t="s">
        <v>0</v>
      </c>
      <c r="J697" s="98" t="s">
        <v>0</v>
      </c>
      <c r="K697" s="101">
        <v>46006</v>
      </c>
      <c r="L697" s="329"/>
      <c r="M697" s="105">
        <v>45363</v>
      </c>
      <c r="N697" s="366" t="s">
        <v>4538</v>
      </c>
      <c r="O697" s="198" t="s">
        <v>4539</v>
      </c>
      <c r="P697" s="366"/>
      <c r="Q697" s="132">
        <v>0.10249999999999999</v>
      </c>
      <c r="R697" s="132">
        <v>9.5000000000000001E-2</v>
      </c>
      <c r="S697" s="63" t="s">
        <v>113</v>
      </c>
      <c r="T697" s="366" t="s">
        <v>4540</v>
      </c>
      <c r="U697" s="198" t="s">
        <v>641</v>
      </c>
      <c r="V697" s="112" t="s">
        <v>106</v>
      </c>
      <c r="W697" s="205">
        <v>94704</v>
      </c>
      <c r="X697" s="141" t="s">
        <v>4541</v>
      </c>
      <c r="Y697" s="141" t="s">
        <v>4541</v>
      </c>
      <c r="Z697" s="141" t="s">
        <v>4541</v>
      </c>
      <c r="AA697" s="203"/>
      <c r="AB697" s="205"/>
      <c r="AC697" s="206"/>
      <c r="AD697" s="203"/>
      <c r="AE697" s="205"/>
      <c r="AF697" s="205"/>
      <c r="AG697" s="205"/>
      <c r="AH697" s="205"/>
      <c r="AI697" s="205"/>
      <c r="AK697" s="318"/>
      <c r="AL697" s="290" t="s">
        <v>289</v>
      </c>
      <c r="AM697" s="290">
        <v>13305</v>
      </c>
      <c r="AN697" s="290"/>
      <c r="AO697" s="290">
        <v>62245</v>
      </c>
      <c r="AP697" s="290"/>
      <c r="AQ697" s="290"/>
      <c r="AR697" s="290"/>
      <c r="AS697" s="207" t="s">
        <v>132</v>
      </c>
      <c r="AT697" s="116" t="s">
        <v>670</v>
      </c>
      <c r="AU697" s="198" t="s">
        <v>4540</v>
      </c>
      <c r="AV697" s="39"/>
      <c r="AW697" s="198" t="s">
        <v>641</v>
      </c>
      <c r="AX697" s="112" t="s">
        <v>106</v>
      </c>
      <c r="AY697" s="205">
        <v>94704</v>
      </c>
      <c r="AZ697" s="112" t="s">
        <v>4539</v>
      </c>
      <c r="BA697" s="321"/>
    </row>
    <row r="698" spans="1:53" ht="13.5" customHeight="1" x14ac:dyDescent="0.4">
      <c r="A698" s="257" t="s">
        <v>4542</v>
      </c>
      <c r="B698" s="67" t="s">
        <v>269</v>
      </c>
      <c r="C698" s="224" t="s">
        <v>109</v>
      </c>
      <c r="D698" s="115"/>
      <c r="E698" s="120" t="s">
        <v>100</v>
      </c>
      <c r="F698" s="82"/>
      <c r="G698" s="84"/>
      <c r="H698" s="90" t="s">
        <v>100</v>
      </c>
      <c r="I698" s="91"/>
      <c r="J698" s="97"/>
      <c r="K698" s="102">
        <v>45376</v>
      </c>
      <c r="L698" s="327"/>
      <c r="M698" s="106">
        <v>44060</v>
      </c>
      <c r="N698" s="251" t="s">
        <v>4538</v>
      </c>
      <c r="O698" s="199" t="s">
        <v>4539</v>
      </c>
      <c r="P698" s="367"/>
      <c r="Q698" s="132">
        <v>0.1075</v>
      </c>
      <c r="R698" s="132"/>
      <c r="S698" s="63" t="s">
        <v>994</v>
      </c>
      <c r="T698" s="66"/>
      <c r="U698" s="67" t="s">
        <v>994</v>
      </c>
      <c r="V698" s="113" t="s">
        <v>106</v>
      </c>
      <c r="W698" s="222"/>
      <c r="X698" s="141" t="s">
        <v>4541</v>
      </c>
      <c r="Y698" s="141" t="s">
        <v>4541</v>
      </c>
      <c r="Z698" s="141" t="s">
        <v>4541</v>
      </c>
      <c r="AA698" s="200"/>
      <c r="AB698" s="130"/>
      <c r="AC698" s="202"/>
      <c r="AD698" s="200"/>
      <c r="AE698" s="113"/>
      <c r="AF698" s="113"/>
      <c r="AG698" s="113"/>
      <c r="AH698" s="113"/>
      <c r="AI698" s="130"/>
      <c r="AK698" s="57"/>
      <c r="AL698" s="287" t="s">
        <v>149</v>
      </c>
      <c r="AM698" s="288">
        <v>13305</v>
      </c>
      <c r="AO698" s="288">
        <v>62245</v>
      </c>
      <c r="AS698" s="207"/>
      <c r="AV698" s="251"/>
      <c r="AW698" s="67" t="s">
        <v>994</v>
      </c>
      <c r="AX698" s="113" t="s">
        <v>106</v>
      </c>
      <c r="AY698" s="222"/>
      <c r="AZ698" s="113" t="s">
        <v>4539</v>
      </c>
      <c r="BA698" s="321"/>
    </row>
    <row r="699" spans="1:53" ht="13.5" customHeight="1" x14ac:dyDescent="0.4">
      <c r="A699" s="257" t="s">
        <v>4543</v>
      </c>
      <c r="B699" s="67" t="s">
        <v>269</v>
      </c>
      <c r="C699" s="224" t="s">
        <v>109</v>
      </c>
      <c r="D699" s="115" t="s">
        <v>4544</v>
      </c>
      <c r="E699" s="120" t="s">
        <v>100</v>
      </c>
      <c r="F699" s="82"/>
      <c r="G699" s="84"/>
      <c r="H699" s="90" t="s">
        <v>100</v>
      </c>
      <c r="I699" s="91"/>
      <c r="J699" s="97"/>
      <c r="K699" s="102">
        <v>46006</v>
      </c>
      <c r="L699" s="327"/>
      <c r="M699" s="106">
        <v>44690</v>
      </c>
      <c r="N699" s="251" t="s">
        <v>4538</v>
      </c>
      <c r="O699" s="199" t="s">
        <v>4539</v>
      </c>
      <c r="P699" s="57"/>
      <c r="Q699" s="132">
        <v>0.10249999999999999</v>
      </c>
      <c r="R699" s="132"/>
      <c r="S699" s="63" t="s">
        <v>113</v>
      </c>
      <c r="T699" s="66" t="s">
        <v>4545</v>
      </c>
      <c r="U699" s="67" t="s">
        <v>115</v>
      </c>
      <c r="V699" s="113" t="s">
        <v>106</v>
      </c>
      <c r="W699" s="222">
        <v>94601</v>
      </c>
      <c r="X699" s="141" t="s">
        <v>4541</v>
      </c>
      <c r="Y699" s="141" t="s">
        <v>4541</v>
      </c>
      <c r="Z699" s="141" t="s">
        <v>4541</v>
      </c>
      <c r="AA699" s="200"/>
      <c r="AB699" s="130"/>
      <c r="AC699" s="202"/>
      <c r="AD699" s="200"/>
      <c r="AE699" s="113"/>
      <c r="AF699" s="113"/>
      <c r="AG699" s="113"/>
      <c r="AH699" s="113"/>
      <c r="AI699" s="130"/>
      <c r="AK699" s="57"/>
      <c r="AL699" s="287" t="s">
        <v>149</v>
      </c>
      <c r="AM699" s="288">
        <v>13305</v>
      </c>
      <c r="AO699" s="290">
        <v>62245</v>
      </c>
      <c r="AS699" s="207"/>
      <c r="AU699" s="67" t="s">
        <v>4545</v>
      </c>
      <c r="AV699" s="251"/>
      <c r="AW699" s="67" t="s">
        <v>115</v>
      </c>
      <c r="AX699" s="113" t="s">
        <v>106</v>
      </c>
      <c r="AY699" s="222">
        <v>94601</v>
      </c>
      <c r="AZ699" s="113" t="s">
        <v>4539</v>
      </c>
      <c r="BA699" s="321"/>
    </row>
    <row r="700" spans="1:53" ht="13.5" customHeight="1" x14ac:dyDescent="0.4">
      <c r="A700" s="257" t="s">
        <v>4546</v>
      </c>
      <c r="B700" s="67" t="s">
        <v>125</v>
      </c>
      <c r="C700" s="224" t="s">
        <v>99</v>
      </c>
      <c r="D700" s="115" t="s">
        <v>4547</v>
      </c>
      <c r="E700" s="120" t="s">
        <v>100</v>
      </c>
      <c r="F700" s="82"/>
      <c r="G700" s="84"/>
      <c r="H700" s="90" t="s">
        <v>100</v>
      </c>
      <c r="I700" s="91"/>
      <c r="J700" s="97"/>
      <c r="K700" s="102">
        <v>45945</v>
      </c>
      <c r="L700" s="327"/>
      <c r="M700" s="106">
        <v>45614</v>
      </c>
      <c r="N700" s="251" t="s">
        <v>1758</v>
      </c>
      <c r="O700" s="199" t="s">
        <v>4548</v>
      </c>
      <c r="P700" s="57" t="s">
        <v>4549</v>
      </c>
      <c r="Q700" s="132">
        <v>9.2499999999999999E-2</v>
      </c>
      <c r="R700" s="132"/>
      <c r="S700" s="63" t="s">
        <v>420</v>
      </c>
      <c r="T700" s="66" t="s">
        <v>4550</v>
      </c>
      <c r="U700" s="67" t="s">
        <v>420</v>
      </c>
      <c r="V700" s="113" t="s">
        <v>106</v>
      </c>
      <c r="W700" s="222">
        <v>94945</v>
      </c>
      <c r="X700" s="141"/>
      <c r="Z700" s="236"/>
      <c r="AA700" s="200"/>
      <c r="AB700" s="130"/>
      <c r="AC700" s="202"/>
      <c r="AD700" s="200"/>
      <c r="AE700" s="113"/>
      <c r="AF700" s="113"/>
      <c r="AG700" s="113"/>
      <c r="AH700" s="113"/>
      <c r="AI700" s="130"/>
      <c r="AK700" s="57"/>
      <c r="AL700" s="287">
        <v>15303</v>
      </c>
      <c r="AS700" s="207"/>
      <c r="AU700" s="67" t="s">
        <v>4550</v>
      </c>
      <c r="AV700" s="251"/>
      <c r="AW700" s="67" t="s">
        <v>420</v>
      </c>
      <c r="AX700" s="113" t="s">
        <v>106</v>
      </c>
      <c r="AY700" s="222">
        <v>94945</v>
      </c>
      <c r="AZ700" s="113" t="s">
        <v>4548</v>
      </c>
      <c r="BA700" s="321"/>
    </row>
    <row r="701" spans="1:53" ht="13.5" customHeight="1" x14ac:dyDescent="0.4">
      <c r="A701" s="257" t="s">
        <v>4551</v>
      </c>
      <c r="B701" s="67" t="s">
        <v>1637</v>
      </c>
      <c r="C701" s="224" t="s">
        <v>563</v>
      </c>
      <c r="D701" s="115"/>
      <c r="E701" s="120" t="s">
        <v>100</v>
      </c>
      <c r="F701" s="80"/>
      <c r="G701" s="84"/>
      <c r="H701" s="90" t="s">
        <v>100</v>
      </c>
      <c r="I701" s="91"/>
      <c r="J701" s="97"/>
      <c r="K701" s="102">
        <v>45684</v>
      </c>
      <c r="L701" s="327"/>
      <c r="M701" s="106">
        <v>44453</v>
      </c>
      <c r="N701" s="251" t="s">
        <v>191</v>
      </c>
      <c r="O701" s="77" t="s">
        <v>1323</v>
      </c>
      <c r="P701" s="59" t="s">
        <v>193</v>
      </c>
      <c r="Q701" s="132">
        <v>8.6249999999999993E-2</v>
      </c>
      <c r="R701" s="132"/>
      <c r="S701" s="63" t="s">
        <v>103</v>
      </c>
      <c r="T701" s="66" t="s">
        <v>4552</v>
      </c>
      <c r="U701" s="67" t="s">
        <v>105</v>
      </c>
      <c r="V701" s="113" t="s">
        <v>106</v>
      </c>
      <c r="W701" s="222">
        <v>94115</v>
      </c>
      <c r="X701" s="141" t="s">
        <v>6419</v>
      </c>
      <c r="Y701" s="236" t="s">
        <v>6419</v>
      </c>
      <c r="Z701" s="236" t="s">
        <v>6419</v>
      </c>
      <c r="AA701" s="200"/>
      <c r="AB701" s="130"/>
      <c r="AC701" s="202"/>
      <c r="AD701" s="200"/>
      <c r="AE701" s="113"/>
      <c r="AF701" s="113"/>
      <c r="AG701" s="113"/>
      <c r="AH701" s="113"/>
      <c r="AI701" s="130"/>
      <c r="AK701" s="57"/>
      <c r="AL701" s="287" t="s">
        <v>251</v>
      </c>
      <c r="AM701" s="288" t="s">
        <v>545</v>
      </c>
      <c r="AN701" s="288" t="s">
        <v>1214</v>
      </c>
      <c r="AO701" s="288">
        <v>62245</v>
      </c>
      <c r="AS701" s="207"/>
      <c r="AT701" s="116" t="s">
        <v>1329</v>
      </c>
      <c r="AU701" s="79" t="s">
        <v>4552</v>
      </c>
      <c r="AV701" s="199"/>
      <c r="AW701" s="67" t="s">
        <v>105</v>
      </c>
      <c r="AX701" s="113" t="s">
        <v>106</v>
      </c>
      <c r="AY701" s="222">
        <v>94123</v>
      </c>
      <c r="AZ701" s="113"/>
      <c r="BA701" s="321"/>
    </row>
    <row r="702" spans="1:53" ht="13.5" customHeight="1" x14ac:dyDescent="0.25">
      <c r="A702" s="257" t="s">
        <v>4553</v>
      </c>
      <c r="B702" s="67" t="s">
        <v>125</v>
      </c>
      <c r="C702" s="68" t="s">
        <v>99</v>
      </c>
      <c r="D702" s="79" t="s">
        <v>4554</v>
      </c>
      <c r="E702" s="118" t="s">
        <v>100</v>
      </c>
      <c r="F702" s="80"/>
      <c r="G702" s="81"/>
      <c r="H702" s="92" t="s">
        <v>100</v>
      </c>
      <c r="I702" s="86"/>
      <c r="J702" s="96"/>
      <c r="K702" s="100">
        <v>43717</v>
      </c>
      <c r="L702" s="328"/>
      <c r="M702" s="104">
        <v>44648</v>
      </c>
      <c r="N702" s="365" t="s">
        <v>754</v>
      </c>
      <c r="O702" s="77" t="s">
        <v>4555</v>
      </c>
      <c r="P702" s="368"/>
      <c r="Q702" s="132">
        <v>8.3750000000000005E-2</v>
      </c>
      <c r="R702" s="132">
        <v>8.6300000000000002E-2</v>
      </c>
      <c r="S702" s="63" t="s">
        <v>303</v>
      </c>
      <c r="T702" s="66" t="s">
        <v>4556</v>
      </c>
      <c r="U702" s="67" t="s">
        <v>305</v>
      </c>
      <c r="V702" s="79" t="s">
        <v>106</v>
      </c>
      <c r="W702" s="76">
        <v>94533</v>
      </c>
      <c r="AA702" s="79" t="s">
        <v>468</v>
      </c>
      <c r="AB702" s="135" t="s">
        <v>4557</v>
      </c>
      <c r="AL702" s="290">
        <v>15303</v>
      </c>
      <c r="AM702" s="290">
        <v>15157</v>
      </c>
      <c r="AN702" s="290"/>
      <c r="AO702" s="290"/>
      <c r="AP702" s="290"/>
      <c r="AQ702" s="290"/>
      <c r="AR702" s="290"/>
      <c r="AS702" s="207" t="s">
        <v>132</v>
      </c>
      <c r="AT702" s="116" t="s">
        <v>670</v>
      </c>
      <c r="AU702" s="79" t="s">
        <v>4556</v>
      </c>
      <c r="AV702" s="67"/>
      <c r="AW702" s="67" t="s">
        <v>305</v>
      </c>
      <c r="AX702" s="79" t="s">
        <v>106</v>
      </c>
      <c r="AY702" s="76">
        <v>94533</v>
      </c>
      <c r="AZ702" s="77" t="s">
        <v>4555</v>
      </c>
      <c r="BA702" s="321"/>
    </row>
    <row r="703" spans="1:53" ht="13.5" customHeight="1" x14ac:dyDescent="0.4">
      <c r="A703" s="257" t="s">
        <v>4558</v>
      </c>
      <c r="B703" s="67" t="s">
        <v>108</v>
      </c>
      <c r="C703" s="224" t="s">
        <v>99</v>
      </c>
      <c r="D703" s="115"/>
      <c r="E703" s="120" t="s">
        <v>100</v>
      </c>
      <c r="F703" s="82"/>
      <c r="G703" s="84"/>
      <c r="H703" s="90" t="s">
        <v>100</v>
      </c>
      <c r="I703" s="91"/>
      <c r="J703" s="97"/>
      <c r="K703" s="102"/>
      <c r="L703" s="327"/>
      <c r="M703" s="106">
        <v>44593</v>
      </c>
      <c r="N703" s="251" t="s">
        <v>4559</v>
      </c>
      <c r="O703" s="199" t="s">
        <v>4560</v>
      </c>
      <c r="P703" s="367" t="s">
        <v>4561</v>
      </c>
      <c r="Q703" s="132">
        <v>8.1250000000000003E-2</v>
      </c>
      <c r="R703" s="132"/>
      <c r="S703" s="63" t="s">
        <v>303</v>
      </c>
      <c r="T703" s="66" t="s">
        <v>4562</v>
      </c>
      <c r="U703" s="67" t="s">
        <v>1618</v>
      </c>
      <c r="V703" s="113" t="s">
        <v>106</v>
      </c>
      <c r="W703" s="222">
        <v>95688</v>
      </c>
      <c r="X703" s="141"/>
      <c r="Z703" s="236"/>
      <c r="AA703" s="200"/>
      <c r="AB703" s="130"/>
      <c r="AC703" s="202"/>
      <c r="AD703" s="200"/>
      <c r="AE703" s="113"/>
      <c r="AF703" s="113"/>
      <c r="AG703" s="113"/>
      <c r="AH703" s="113"/>
      <c r="AI703" s="130"/>
      <c r="AK703" s="57"/>
      <c r="AS703" s="207"/>
      <c r="AU703" s="79" t="s">
        <v>4562</v>
      </c>
      <c r="AV703" s="199"/>
      <c r="AW703" s="67" t="s">
        <v>1618</v>
      </c>
      <c r="AX703" s="113" t="s">
        <v>106</v>
      </c>
      <c r="AY703" s="222">
        <v>95688</v>
      </c>
      <c r="AZ703" s="199" t="s">
        <v>4560</v>
      </c>
      <c r="BA703" s="317"/>
    </row>
    <row r="704" spans="1:53" ht="13.5" customHeight="1" x14ac:dyDescent="0.25">
      <c r="A704" s="257" t="s">
        <v>4563</v>
      </c>
      <c r="B704" s="67" t="s">
        <v>108</v>
      </c>
      <c r="C704" s="68" t="s">
        <v>109</v>
      </c>
      <c r="D704" s="79" t="s">
        <v>4564</v>
      </c>
      <c r="E704" s="118" t="s">
        <v>100</v>
      </c>
      <c r="F704" s="80"/>
      <c r="G704" s="81"/>
      <c r="H704" s="92" t="s">
        <v>100</v>
      </c>
      <c r="I704" s="86"/>
      <c r="J704" s="96"/>
      <c r="K704" s="100">
        <v>43637</v>
      </c>
      <c r="L704" s="328"/>
      <c r="M704" s="104">
        <v>43343</v>
      </c>
      <c r="N704" s="365" t="s">
        <v>1159</v>
      </c>
      <c r="O704" s="77" t="s">
        <v>4565</v>
      </c>
      <c r="P704" s="368" t="s">
        <v>4566</v>
      </c>
      <c r="Q704" s="132">
        <v>0.10249999999999999</v>
      </c>
      <c r="R704" s="132">
        <v>9.5000000000000001E-2</v>
      </c>
      <c r="S704" s="63" t="s">
        <v>113</v>
      </c>
      <c r="T704" s="66" t="s">
        <v>4567</v>
      </c>
      <c r="U704" s="67" t="s">
        <v>641</v>
      </c>
      <c r="V704" s="79" t="s">
        <v>106</v>
      </c>
      <c r="W704" s="76">
        <v>94705</v>
      </c>
      <c r="X704" s="141" t="s">
        <v>4568</v>
      </c>
      <c r="AL704" s="290"/>
      <c r="AM704" s="290">
        <v>13305</v>
      </c>
      <c r="AN704" s="290"/>
      <c r="AO704" s="290">
        <v>62245</v>
      </c>
      <c r="AP704" s="290"/>
      <c r="AQ704" s="290"/>
      <c r="AR704" s="290"/>
      <c r="AS704" s="207" t="s">
        <v>132</v>
      </c>
      <c r="AT704" s="116" t="s">
        <v>670</v>
      </c>
      <c r="AU704" s="79" t="s">
        <v>4567</v>
      </c>
      <c r="AV704" s="67"/>
      <c r="AW704" s="67" t="s">
        <v>641</v>
      </c>
      <c r="AX704" s="79" t="s">
        <v>106</v>
      </c>
      <c r="AY704" s="76">
        <v>94705</v>
      </c>
      <c r="AZ704" s="77" t="s">
        <v>4565</v>
      </c>
      <c r="BA704" s="317"/>
    </row>
    <row r="705" spans="1:53" ht="13.5" customHeight="1" x14ac:dyDescent="0.25">
      <c r="A705" s="257" t="s">
        <v>4569</v>
      </c>
      <c r="B705" s="67" t="s">
        <v>4570</v>
      </c>
      <c r="C705" s="68" t="s">
        <v>109</v>
      </c>
      <c r="D705" s="79" t="s">
        <v>4571</v>
      </c>
      <c r="E705" s="118" t="s">
        <v>100</v>
      </c>
      <c r="F705" s="80"/>
      <c r="G705" s="81"/>
      <c r="H705" s="92" t="s">
        <v>100</v>
      </c>
      <c r="I705" s="86"/>
      <c r="J705" s="96"/>
      <c r="K705" s="100"/>
      <c r="L705" s="328"/>
      <c r="M705" s="104">
        <v>44116</v>
      </c>
      <c r="N705" s="365" t="s">
        <v>4572</v>
      </c>
      <c r="O705" s="77" t="s">
        <v>4573</v>
      </c>
      <c r="P705" s="368" t="s">
        <v>4574</v>
      </c>
      <c r="Q705" s="132">
        <v>0.10249999999999999</v>
      </c>
      <c r="R705" s="132">
        <v>9.5000000000000001E-2</v>
      </c>
      <c r="S705" s="63" t="s">
        <v>113</v>
      </c>
      <c r="T705" s="66" t="s">
        <v>4575</v>
      </c>
      <c r="U705" s="67" t="s">
        <v>1162</v>
      </c>
      <c r="V705" s="79" t="s">
        <v>106</v>
      </c>
      <c r="W705" s="76">
        <v>94536</v>
      </c>
      <c r="AA705" s="79" t="s">
        <v>1605</v>
      </c>
      <c r="AL705" s="290"/>
      <c r="AM705" s="290"/>
      <c r="AN705" s="290"/>
      <c r="AO705" s="290"/>
      <c r="AP705" s="290"/>
      <c r="AQ705" s="290"/>
      <c r="AR705" s="290"/>
      <c r="AS705" s="207" t="s">
        <v>132</v>
      </c>
      <c r="AT705" s="116" t="s">
        <v>670</v>
      </c>
      <c r="AU705" s="79" t="s">
        <v>4575</v>
      </c>
      <c r="AV705" s="67"/>
      <c r="AW705" s="67" t="s">
        <v>1162</v>
      </c>
      <c r="AX705" s="79" t="s">
        <v>106</v>
      </c>
      <c r="AY705" s="76">
        <v>94536</v>
      </c>
      <c r="AZ705" s="77" t="s">
        <v>4573</v>
      </c>
      <c r="BA705" s="317"/>
    </row>
    <row r="706" spans="1:53" ht="13.5" customHeight="1" x14ac:dyDescent="0.4">
      <c r="A706" s="257" t="s">
        <v>4576</v>
      </c>
      <c r="B706" s="67" t="s">
        <v>125</v>
      </c>
      <c r="C706" s="224" t="s">
        <v>781</v>
      </c>
      <c r="D706" s="115" t="s">
        <v>4577</v>
      </c>
      <c r="E706" s="120" t="s">
        <v>100</v>
      </c>
      <c r="F706" s="82"/>
      <c r="G706" s="84"/>
      <c r="H706" s="90" t="s">
        <v>100</v>
      </c>
      <c r="I706" s="91"/>
      <c r="J706" s="97"/>
      <c r="K706" s="102">
        <v>45827</v>
      </c>
      <c r="L706" s="327"/>
      <c r="M706" s="106">
        <v>45131</v>
      </c>
      <c r="N706" s="251" t="s">
        <v>996</v>
      </c>
      <c r="O706" s="199" t="s">
        <v>4578</v>
      </c>
      <c r="P706" s="367" t="s">
        <v>4579</v>
      </c>
      <c r="Q706" s="132">
        <v>0.10249999999999999</v>
      </c>
      <c r="R706" s="132"/>
      <c r="S706" s="63" t="s">
        <v>653</v>
      </c>
      <c r="T706" s="66" t="s">
        <v>4580</v>
      </c>
      <c r="U706" s="67" t="s">
        <v>653</v>
      </c>
      <c r="V706" s="113" t="s">
        <v>106</v>
      </c>
      <c r="W706" s="222">
        <v>94952</v>
      </c>
      <c r="X706" s="141"/>
      <c r="Y706" s="139"/>
      <c r="Z706" s="236"/>
      <c r="AA706" s="200"/>
      <c r="AB706" s="130"/>
      <c r="AC706" s="202"/>
      <c r="AD706" s="200"/>
      <c r="AE706" s="113"/>
      <c r="AF706" s="113"/>
      <c r="AG706" s="113"/>
      <c r="AH706" s="113"/>
      <c r="AI706" s="130"/>
      <c r="AK706" s="57"/>
      <c r="AL706" s="287">
        <v>15157</v>
      </c>
      <c r="AS706" s="207" t="s">
        <v>132</v>
      </c>
      <c r="AT706" s="116" t="s">
        <v>670</v>
      </c>
      <c r="AU706" s="79" t="s">
        <v>4580</v>
      </c>
      <c r="AV706" s="199"/>
      <c r="AW706" s="67" t="s">
        <v>653</v>
      </c>
      <c r="AX706" s="113" t="s">
        <v>106</v>
      </c>
      <c r="AY706" s="222">
        <v>94952</v>
      </c>
      <c r="AZ706" s="199" t="s">
        <v>4578</v>
      </c>
      <c r="BA706" s="317"/>
    </row>
    <row r="707" spans="1:53" ht="13.5" customHeight="1" x14ac:dyDescent="0.25">
      <c r="A707" s="257" t="s">
        <v>4581</v>
      </c>
      <c r="B707" s="67" t="s">
        <v>98</v>
      </c>
      <c r="C707" s="68" t="s">
        <v>99</v>
      </c>
      <c r="D707" s="79" t="s">
        <v>4582</v>
      </c>
      <c r="E707" s="118" t="s">
        <v>100</v>
      </c>
      <c r="F707" s="80"/>
      <c r="G707" s="81"/>
      <c r="H707" s="87" t="s">
        <v>100</v>
      </c>
      <c r="I707" s="86"/>
      <c r="J707" s="96"/>
      <c r="K707" s="100">
        <v>44601</v>
      </c>
      <c r="L707" s="328"/>
      <c r="M707" s="104">
        <v>45609</v>
      </c>
      <c r="N707" s="365" t="s">
        <v>4583</v>
      </c>
      <c r="O707" s="77" t="s">
        <v>4584</v>
      </c>
      <c r="P707" s="368"/>
      <c r="Q707" s="132">
        <v>7.2499999999999995E-2</v>
      </c>
      <c r="R707" s="132"/>
      <c r="S707" s="63" t="s">
        <v>3831</v>
      </c>
      <c r="T707" s="66" t="s">
        <v>4585</v>
      </c>
      <c r="U707" s="67" t="s">
        <v>4586</v>
      </c>
      <c r="V707" s="79" t="s">
        <v>106</v>
      </c>
      <c r="W707" s="76">
        <v>95682</v>
      </c>
      <c r="X707" s="141"/>
      <c r="Z707" s="226"/>
      <c r="AL707" s="290">
        <v>44150</v>
      </c>
      <c r="AM707" s="290"/>
      <c r="AN707" s="290"/>
      <c r="AO707" s="290">
        <v>67655</v>
      </c>
      <c r="AP707" s="290"/>
      <c r="AQ707" s="290"/>
      <c r="AR707" s="290"/>
      <c r="AS707" s="207"/>
      <c r="AU707" s="79" t="s">
        <v>4585</v>
      </c>
      <c r="AV707" s="67"/>
      <c r="AW707" s="67" t="s">
        <v>4586</v>
      </c>
      <c r="AX707" s="79" t="s">
        <v>106</v>
      </c>
      <c r="AY707" s="76">
        <v>95682</v>
      </c>
      <c r="AZ707" s="77" t="s">
        <v>4584</v>
      </c>
      <c r="BA707" s="207"/>
    </row>
    <row r="708" spans="1:53" ht="13.5" customHeight="1" x14ac:dyDescent="0.4">
      <c r="A708" s="257" t="s">
        <v>4587</v>
      </c>
      <c r="B708" s="67" t="s">
        <v>253</v>
      </c>
      <c r="C708" s="224" t="s">
        <v>4588</v>
      </c>
      <c r="D708" s="115"/>
      <c r="E708" s="120" t="s">
        <v>1166</v>
      </c>
      <c r="F708" s="82" t="s">
        <v>174</v>
      </c>
      <c r="G708" s="84"/>
      <c r="H708" s="90" t="s">
        <v>253</v>
      </c>
      <c r="I708" s="91"/>
      <c r="J708" s="97"/>
      <c r="K708" s="102">
        <v>44964</v>
      </c>
      <c r="L708" s="327"/>
      <c r="M708" s="106"/>
      <c r="N708" s="251" t="s">
        <v>4589</v>
      </c>
      <c r="O708" s="113" t="s">
        <v>4590</v>
      </c>
      <c r="P708" s="57" t="s">
        <v>4591</v>
      </c>
      <c r="Q708" s="132">
        <v>9.375E-2</v>
      </c>
      <c r="R708" s="132"/>
      <c r="S708" s="63" t="s">
        <v>4592</v>
      </c>
      <c r="T708" s="66" t="s">
        <v>4593</v>
      </c>
      <c r="U708" s="67" t="s">
        <v>148</v>
      </c>
      <c r="V708" s="113" t="s">
        <v>106</v>
      </c>
      <c r="W708" s="222">
        <v>95111</v>
      </c>
      <c r="X708" s="141"/>
      <c r="Z708" s="236"/>
      <c r="AA708" s="200"/>
      <c r="AB708" s="130"/>
      <c r="AC708" s="202"/>
      <c r="AD708" s="200"/>
      <c r="AE708" s="113"/>
      <c r="AF708" s="113"/>
      <c r="AG708" s="113"/>
      <c r="AH708" s="113"/>
      <c r="AI708" s="130"/>
      <c r="AK708" s="57" t="s">
        <v>539</v>
      </c>
      <c r="AL708" s="287" t="s">
        <v>251</v>
      </c>
      <c r="AM708" s="288">
        <v>15741</v>
      </c>
      <c r="AS708" s="207"/>
      <c r="AT708" s="116" t="s">
        <v>258</v>
      </c>
      <c r="AU708" s="79" t="s">
        <v>4593</v>
      </c>
      <c r="AV708" s="199"/>
      <c r="AW708" s="67" t="s">
        <v>148</v>
      </c>
      <c r="AX708" s="113" t="s">
        <v>106</v>
      </c>
      <c r="AY708" s="222">
        <v>95111</v>
      </c>
      <c r="AZ708" s="199" t="s">
        <v>4590</v>
      </c>
      <c r="BA708" s="317"/>
    </row>
    <row r="709" spans="1:53" ht="13.5" customHeight="1" x14ac:dyDescent="0.4">
      <c r="A709" s="257" t="s">
        <v>4594</v>
      </c>
      <c r="B709" s="67" t="s">
        <v>125</v>
      </c>
      <c r="C709" s="225" t="s">
        <v>781</v>
      </c>
      <c r="D709" s="112" t="s">
        <v>4595</v>
      </c>
      <c r="E709" s="119" t="s">
        <v>100</v>
      </c>
      <c r="F709" s="83"/>
      <c r="G709" s="209"/>
      <c r="H709" s="88" t="s">
        <v>100</v>
      </c>
      <c r="I709" s="89"/>
      <c r="J709" s="98"/>
      <c r="K709" s="101"/>
      <c r="L709" s="329"/>
      <c r="M709" s="105">
        <v>43865</v>
      </c>
      <c r="N709" s="366" t="s">
        <v>4596</v>
      </c>
      <c r="O709" s="112" t="s">
        <v>4597</v>
      </c>
      <c r="P709" s="198" t="s">
        <v>4598</v>
      </c>
      <c r="Q709" s="132">
        <v>9.2499999999999999E-2</v>
      </c>
      <c r="R709" s="132">
        <v>9.2499999999999999E-2</v>
      </c>
      <c r="S709" s="63" t="s">
        <v>226</v>
      </c>
      <c r="T709" s="366" t="s">
        <v>4599</v>
      </c>
      <c r="U709" s="198" t="s">
        <v>228</v>
      </c>
      <c r="V709" s="112" t="s">
        <v>106</v>
      </c>
      <c r="W709" s="205">
        <v>94901</v>
      </c>
      <c r="X709" s="293"/>
      <c r="Y709" s="205"/>
      <c r="Z709" s="205"/>
      <c r="AA709" s="203" t="s">
        <v>4600</v>
      </c>
      <c r="AB709" s="205" t="s">
        <v>4601</v>
      </c>
      <c r="AC709" s="206"/>
      <c r="AD709" s="203"/>
      <c r="AE709" s="205"/>
      <c r="AF709" s="205"/>
      <c r="AG709" s="205"/>
      <c r="AH709" s="205"/>
      <c r="AI709" s="205"/>
      <c r="AK709" s="318"/>
      <c r="AL709" s="290"/>
      <c r="AM709" s="290"/>
      <c r="AN709" s="290"/>
      <c r="AO709" s="290"/>
      <c r="AP709" s="290"/>
      <c r="AQ709" s="290"/>
      <c r="AR709" s="290"/>
      <c r="AS709" s="207" t="s">
        <v>132</v>
      </c>
      <c r="AT709" s="116" t="s">
        <v>670</v>
      </c>
      <c r="AU709" s="112" t="s">
        <v>4599</v>
      </c>
      <c r="AV709" s="337"/>
      <c r="AW709" s="198" t="s">
        <v>228</v>
      </c>
      <c r="AX709" s="112" t="s">
        <v>106</v>
      </c>
      <c r="AY709" s="205">
        <v>94901</v>
      </c>
      <c r="AZ709" s="338" t="s">
        <v>4598</v>
      </c>
      <c r="BA709" s="317"/>
    </row>
    <row r="710" spans="1:53" ht="13.5" customHeight="1" x14ac:dyDescent="0.25">
      <c r="A710" s="257" t="s">
        <v>4602</v>
      </c>
      <c r="B710" s="67" t="s">
        <v>98</v>
      </c>
      <c r="C710" s="68" t="s">
        <v>563</v>
      </c>
      <c r="E710" s="118" t="s">
        <v>100</v>
      </c>
      <c r="F710" s="80"/>
      <c r="G710" s="81"/>
      <c r="H710" s="92" t="s">
        <v>100</v>
      </c>
      <c r="I710" s="86"/>
      <c r="J710" s="96"/>
      <c r="K710" s="100">
        <v>44725</v>
      </c>
      <c r="L710" s="328"/>
      <c r="M710" s="104"/>
      <c r="N710" s="365" t="s">
        <v>1347</v>
      </c>
      <c r="O710" s="128" t="s">
        <v>4603</v>
      </c>
      <c r="Q710" s="132">
        <v>8.6249999999999993E-2</v>
      </c>
      <c r="R710" s="132"/>
      <c r="S710" s="63" t="s">
        <v>103</v>
      </c>
      <c r="T710" s="66" t="s">
        <v>4604</v>
      </c>
      <c r="U710" s="67" t="s">
        <v>105</v>
      </c>
      <c r="V710" s="79" t="s">
        <v>106</v>
      </c>
      <c r="W710" s="76">
        <v>94122</v>
      </c>
      <c r="X710" s="139" t="s">
        <v>4605</v>
      </c>
      <c r="Y710" s="139" t="s">
        <v>4605</v>
      </c>
      <c r="Z710" s="139" t="s">
        <v>4605</v>
      </c>
      <c r="AL710" s="287" t="s">
        <v>149</v>
      </c>
      <c r="AM710" s="288">
        <v>13305</v>
      </c>
      <c r="AN710" s="288" t="s">
        <v>198</v>
      </c>
      <c r="AO710" s="288">
        <v>62245</v>
      </c>
      <c r="AS710" s="207"/>
      <c r="AT710" s="116" t="s">
        <v>1498</v>
      </c>
      <c r="AU710" s="79" t="s">
        <v>4604</v>
      </c>
      <c r="AV710" s="67"/>
      <c r="AW710" s="67" t="s">
        <v>105</v>
      </c>
      <c r="AX710" s="79" t="s">
        <v>106</v>
      </c>
      <c r="AY710" s="76">
        <v>94122</v>
      </c>
      <c r="AZ710" s="77" t="s">
        <v>4603</v>
      </c>
      <c r="BA710" s="317"/>
    </row>
    <row r="711" spans="1:53" ht="13.5" customHeight="1" x14ac:dyDescent="0.4">
      <c r="A711" s="257" t="s">
        <v>4606</v>
      </c>
      <c r="B711" s="67" t="s">
        <v>98</v>
      </c>
      <c r="C711" s="225" t="s">
        <v>563</v>
      </c>
      <c r="D711" s="112"/>
      <c r="E711" s="119" t="s">
        <v>100</v>
      </c>
      <c r="F711" s="83"/>
      <c r="G711" s="209"/>
      <c r="H711" s="88" t="s">
        <v>100</v>
      </c>
      <c r="I711" s="89"/>
      <c r="J711" s="98"/>
      <c r="K711" s="101">
        <v>44734</v>
      </c>
      <c r="L711" s="329"/>
      <c r="M711" s="105">
        <v>44593</v>
      </c>
      <c r="N711" s="366" t="s">
        <v>4607</v>
      </c>
      <c r="O711" s="198" t="s">
        <v>4608</v>
      </c>
      <c r="P711" s="366"/>
      <c r="Q711" s="132">
        <v>8.6249999999999993E-2</v>
      </c>
      <c r="R711" s="132">
        <v>8.7499999999999994E-2</v>
      </c>
      <c r="S711" s="63" t="s">
        <v>103</v>
      </c>
      <c r="T711" s="366" t="s">
        <v>4609</v>
      </c>
      <c r="U711" s="198" t="s">
        <v>105</v>
      </c>
      <c r="V711" s="112" t="s">
        <v>106</v>
      </c>
      <c r="W711" s="205">
        <v>94110</v>
      </c>
      <c r="X711" s="139" t="s">
        <v>4605</v>
      </c>
      <c r="Y711" s="139" t="s">
        <v>4605</v>
      </c>
      <c r="Z711" s="139" t="s">
        <v>4605</v>
      </c>
      <c r="AA711" s="203" t="s">
        <v>4610</v>
      </c>
      <c r="AB711" s="205"/>
      <c r="AC711" s="206" t="s">
        <v>4611</v>
      </c>
      <c r="AD711" s="203"/>
      <c r="AE711" s="205" t="s">
        <v>4612</v>
      </c>
      <c r="AF711" s="205"/>
      <c r="AG711" s="205"/>
      <c r="AH711" s="205"/>
      <c r="AI711" s="205" t="s">
        <v>3369</v>
      </c>
      <c r="AJ711" s="135" t="s">
        <v>3369</v>
      </c>
      <c r="AK711" s="56" t="s">
        <v>4613</v>
      </c>
      <c r="AL711" s="287" t="s">
        <v>149</v>
      </c>
      <c r="AM711" s="288">
        <v>13305</v>
      </c>
      <c r="AN711" s="288" t="s">
        <v>198</v>
      </c>
      <c r="AO711" s="288">
        <v>62245</v>
      </c>
      <c r="AS711" s="207" t="s">
        <v>132</v>
      </c>
      <c r="AT711" s="116" t="s">
        <v>670</v>
      </c>
      <c r="AU711" s="112" t="s">
        <v>4609</v>
      </c>
      <c r="AV711" s="337"/>
      <c r="AW711" s="198" t="s">
        <v>105</v>
      </c>
      <c r="AX711" s="112" t="s">
        <v>106</v>
      </c>
      <c r="AY711" s="205">
        <v>94110</v>
      </c>
      <c r="AZ711" s="338" t="s">
        <v>4608</v>
      </c>
    </row>
    <row r="712" spans="1:53" ht="13.5" customHeight="1" x14ac:dyDescent="0.4">
      <c r="A712" s="257" t="s">
        <v>4614</v>
      </c>
      <c r="B712" s="67" t="s">
        <v>125</v>
      </c>
      <c r="C712" s="225" t="s">
        <v>109</v>
      </c>
      <c r="D712" s="79" t="s">
        <v>1869</v>
      </c>
      <c r="E712" s="119" t="s">
        <v>100</v>
      </c>
      <c r="F712" s="83"/>
      <c r="G712" s="209"/>
      <c r="H712" s="88" t="s">
        <v>100</v>
      </c>
      <c r="I712" s="89"/>
      <c r="J712" s="98"/>
      <c r="K712" s="101">
        <v>43511</v>
      </c>
      <c r="L712" s="329"/>
      <c r="M712" s="105">
        <v>44321</v>
      </c>
      <c r="N712" s="366" t="s">
        <v>4615</v>
      </c>
      <c r="O712" s="112" t="s">
        <v>4616</v>
      </c>
      <c r="P712" s="198"/>
      <c r="Q712" s="132">
        <v>0.10249999999999999</v>
      </c>
      <c r="R712" s="132">
        <v>9.5000000000000001E-2</v>
      </c>
      <c r="S712" s="63" t="s">
        <v>113</v>
      </c>
      <c r="T712" s="366" t="s">
        <v>4617</v>
      </c>
      <c r="U712" s="198" t="s">
        <v>115</v>
      </c>
      <c r="V712" s="112" t="s">
        <v>106</v>
      </c>
      <c r="W712" s="205">
        <v>94612</v>
      </c>
      <c r="X712" s="293"/>
      <c r="Z712" s="205"/>
      <c r="AA712" s="203"/>
      <c r="AB712" s="205"/>
      <c r="AC712" s="206"/>
      <c r="AD712" s="203"/>
      <c r="AE712" s="205"/>
      <c r="AF712" s="205"/>
      <c r="AG712" s="205"/>
      <c r="AH712" s="205"/>
      <c r="AI712" s="205"/>
      <c r="AK712" s="318"/>
      <c r="AL712" s="290" t="s">
        <v>149</v>
      </c>
      <c r="AM712" s="290"/>
      <c r="AN712" s="290"/>
      <c r="AO712" s="290"/>
      <c r="AP712" s="290"/>
      <c r="AQ712" s="290"/>
      <c r="AR712" s="290"/>
      <c r="AS712" s="207" t="s">
        <v>132</v>
      </c>
      <c r="AT712" s="116" t="s">
        <v>670</v>
      </c>
      <c r="AU712" s="112" t="s">
        <v>4617</v>
      </c>
      <c r="AV712" s="347"/>
      <c r="AW712" s="198" t="s">
        <v>115</v>
      </c>
      <c r="AX712" s="112" t="s">
        <v>106</v>
      </c>
      <c r="AY712" s="205">
        <v>94612</v>
      </c>
      <c r="AZ712" s="198" t="s">
        <v>4616</v>
      </c>
      <c r="BA712" s="321"/>
    </row>
    <row r="713" spans="1:53" ht="13.5" customHeight="1" x14ac:dyDescent="0.4">
      <c r="A713" s="257" t="s">
        <v>4618</v>
      </c>
      <c r="B713" s="67" t="s">
        <v>4619</v>
      </c>
      <c r="C713" s="224" t="s">
        <v>109</v>
      </c>
      <c r="D713" s="115" t="s">
        <v>4620</v>
      </c>
      <c r="E713" s="120" t="s">
        <v>100</v>
      </c>
      <c r="F713" s="82"/>
      <c r="G713" s="84"/>
      <c r="H713" s="90" t="s">
        <v>100</v>
      </c>
      <c r="I713" s="91"/>
      <c r="J713" s="97"/>
      <c r="K713" s="102">
        <v>45401</v>
      </c>
      <c r="L713" s="327"/>
      <c r="M713" s="106">
        <v>45126</v>
      </c>
      <c r="N713" s="251" t="s">
        <v>4297</v>
      </c>
      <c r="O713" s="113" t="s">
        <v>4621</v>
      </c>
      <c r="P713" s="57"/>
      <c r="Q713" s="132">
        <v>8.6249999999999993E-2</v>
      </c>
      <c r="R713" s="132"/>
      <c r="S713" s="63" t="s">
        <v>103</v>
      </c>
      <c r="T713" s="66" t="s">
        <v>4622</v>
      </c>
      <c r="U713" s="67" t="s">
        <v>105</v>
      </c>
      <c r="V713" s="113" t="s">
        <v>106</v>
      </c>
      <c r="W713" s="222">
        <v>94102</v>
      </c>
      <c r="X713" s="141" t="s">
        <v>6332</v>
      </c>
      <c r="Z713" s="236"/>
      <c r="AA713" s="200"/>
      <c r="AB713" s="130"/>
      <c r="AC713" s="202"/>
      <c r="AD713" s="200"/>
      <c r="AE713" s="113"/>
      <c r="AF713" s="113"/>
      <c r="AG713" s="113"/>
      <c r="AH713" s="113"/>
      <c r="AI713" s="130"/>
      <c r="AK713" s="57"/>
      <c r="AS713" s="207" t="s">
        <v>132</v>
      </c>
      <c r="AT713" s="116" t="s">
        <v>670</v>
      </c>
      <c r="AU713" s="79" t="s">
        <v>4623</v>
      </c>
      <c r="AV713" s="199"/>
      <c r="AW713" s="67" t="s">
        <v>105</v>
      </c>
      <c r="AX713" s="113" t="s">
        <v>106</v>
      </c>
      <c r="AY713" s="222">
        <v>94102</v>
      </c>
      <c r="AZ713" s="199" t="s">
        <v>4621</v>
      </c>
      <c r="BA713" s="317"/>
    </row>
    <row r="714" spans="1:53" ht="13.5" customHeight="1" x14ac:dyDescent="0.4">
      <c r="A714" s="257" t="s">
        <v>4624</v>
      </c>
      <c r="B714" s="67" t="s">
        <v>98</v>
      </c>
      <c r="C714" s="224" t="s">
        <v>99</v>
      </c>
      <c r="D714" s="115"/>
      <c r="E714" s="120" t="s">
        <v>100</v>
      </c>
      <c r="F714" s="82"/>
      <c r="G714" s="84"/>
      <c r="H714" s="90" t="s">
        <v>100</v>
      </c>
      <c r="I714" s="91"/>
      <c r="J714" s="97"/>
      <c r="K714" s="102">
        <v>45778</v>
      </c>
      <c r="L714" s="327"/>
      <c r="M714" s="106"/>
      <c r="N714" s="251" t="s">
        <v>4409</v>
      </c>
      <c r="O714" s="113" t="s">
        <v>6417</v>
      </c>
      <c r="P714" s="57"/>
      <c r="Q714" s="132">
        <v>0</v>
      </c>
      <c r="R714" s="132"/>
      <c r="S714" s="63" t="s">
        <v>943</v>
      </c>
      <c r="T714" s="66" t="s">
        <v>4625</v>
      </c>
      <c r="U714" s="67" t="s">
        <v>4626</v>
      </c>
      <c r="V714" s="113" t="s">
        <v>4627</v>
      </c>
      <c r="W714" s="222">
        <v>59102</v>
      </c>
      <c r="X714" s="141" t="s">
        <v>6412</v>
      </c>
      <c r="Y714" s="236" t="s">
        <v>6409</v>
      </c>
      <c r="Z714" s="236"/>
      <c r="AA714" s="200"/>
      <c r="AB714" s="130"/>
      <c r="AC714" s="202"/>
      <c r="AD714" s="200"/>
      <c r="AE714" s="113"/>
      <c r="AF714" s="113"/>
      <c r="AG714" s="113"/>
      <c r="AH714" s="113"/>
      <c r="AI714" s="130"/>
      <c r="AK714" s="57"/>
      <c r="AS714" s="207"/>
      <c r="AT714" s="116" t="s">
        <v>1184</v>
      </c>
      <c r="AU714" s="79" t="s">
        <v>6411</v>
      </c>
      <c r="AV714" s="199"/>
      <c r="AW714" s="67" t="s">
        <v>4656</v>
      </c>
      <c r="AX714" s="113" t="s">
        <v>4627</v>
      </c>
      <c r="AY714" s="222">
        <v>59401</v>
      </c>
      <c r="AZ714" s="199" t="s">
        <v>6417</v>
      </c>
      <c r="BA714" s="317"/>
    </row>
    <row r="715" spans="1:53" ht="13.5" customHeight="1" x14ac:dyDescent="0.4">
      <c r="A715" s="257" t="s">
        <v>4629</v>
      </c>
      <c r="B715" s="67" t="s">
        <v>98</v>
      </c>
      <c r="C715" s="224" t="s">
        <v>99</v>
      </c>
      <c r="D715" s="115"/>
      <c r="E715" s="120" t="s">
        <v>100</v>
      </c>
      <c r="F715" s="82"/>
      <c r="G715" s="84"/>
      <c r="H715" s="90" t="s">
        <v>100</v>
      </c>
      <c r="I715" s="91"/>
      <c r="J715" s="97"/>
      <c r="K715" s="102">
        <v>43620</v>
      </c>
      <c r="L715" s="327"/>
      <c r="M715" s="106"/>
      <c r="N715" s="251" t="s">
        <v>3211</v>
      </c>
      <c r="O715" s="113" t="s">
        <v>4630</v>
      </c>
      <c r="P715" s="57" t="s">
        <v>4631</v>
      </c>
      <c r="Q715" s="132">
        <v>0</v>
      </c>
      <c r="R715" s="132"/>
      <c r="S715" s="63" t="s">
        <v>943</v>
      </c>
      <c r="T715" s="66" t="s">
        <v>4632</v>
      </c>
      <c r="U715" s="67" t="s">
        <v>4633</v>
      </c>
      <c r="V715" s="113" t="s">
        <v>2479</v>
      </c>
      <c r="W715" s="222">
        <v>85249</v>
      </c>
      <c r="X715" s="141"/>
      <c r="Z715" s="236"/>
      <c r="AA715" s="200"/>
      <c r="AB715" s="130"/>
      <c r="AC715" s="202"/>
      <c r="AD715" s="200"/>
      <c r="AE715" s="113"/>
      <c r="AF715" s="113"/>
      <c r="AG715" s="113"/>
      <c r="AH715" s="113"/>
      <c r="AI715" s="130"/>
      <c r="AK715" s="57"/>
      <c r="AL715" s="287" t="s">
        <v>149</v>
      </c>
      <c r="AS715" s="207" t="s">
        <v>132</v>
      </c>
      <c r="AT715" s="116" t="s">
        <v>447</v>
      </c>
      <c r="AU715" s="79" t="s">
        <v>4632</v>
      </c>
      <c r="AV715" s="199"/>
      <c r="AW715" s="67" t="s">
        <v>4633</v>
      </c>
      <c r="AX715" s="113" t="s">
        <v>2479</v>
      </c>
      <c r="AY715" s="222">
        <v>85249</v>
      </c>
      <c r="AZ715" s="199" t="s">
        <v>4631</v>
      </c>
      <c r="BA715" s="317"/>
    </row>
    <row r="716" spans="1:53" ht="13.5" customHeight="1" x14ac:dyDescent="0.4">
      <c r="A716" s="257" t="s">
        <v>4634</v>
      </c>
      <c r="B716" s="67" t="s">
        <v>98</v>
      </c>
      <c r="C716" s="224" t="s">
        <v>99</v>
      </c>
      <c r="D716" s="115"/>
      <c r="E716" s="120" t="s">
        <v>100</v>
      </c>
      <c r="F716" s="82"/>
      <c r="G716" s="84"/>
      <c r="H716" s="90" t="s">
        <v>100</v>
      </c>
      <c r="I716" s="91"/>
      <c r="J716" s="97"/>
      <c r="K716" s="102">
        <v>44642</v>
      </c>
      <c r="L716" s="327"/>
      <c r="M716" s="106"/>
      <c r="N716" s="251" t="s">
        <v>4635</v>
      </c>
      <c r="O716" s="113" t="s">
        <v>4636</v>
      </c>
      <c r="P716" s="57" t="s">
        <v>4637</v>
      </c>
      <c r="Q716" s="132">
        <v>8.3750000000000005E-2</v>
      </c>
      <c r="R716" s="132"/>
      <c r="S716" s="63" t="s">
        <v>303</v>
      </c>
      <c r="T716" s="66" t="s">
        <v>4638</v>
      </c>
      <c r="U716" s="67" t="s">
        <v>305</v>
      </c>
      <c r="V716" s="113" t="s">
        <v>106</v>
      </c>
      <c r="W716" s="222">
        <v>94534</v>
      </c>
      <c r="X716" s="139" t="s">
        <v>4639</v>
      </c>
      <c r="Y716" s="139" t="s">
        <v>4639</v>
      </c>
      <c r="Z716" s="139" t="s">
        <v>4639</v>
      </c>
      <c r="AA716" s="200"/>
      <c r="AB716" s="130"/>
      <c r="AC716" s="202"/>
      <c r="AD716" s="200"/>
      <c r="AE716" s="113"/>
      <c r="AF716" s="113"/>
      <c r="AG716" s="113"/>
      <c r="AH716" s="113"/>
      <c r="AI716" s="130"/>
      <c r="AK716" s="57"/>
      <c r="AL716" s="287" t="s">
        <v>289</v>
      </c>
      <c r="AS716" s="207"/>
      <c r="AT716" s="116" t="s">
        <v>116</v>
      </c>
      <c r="AU716" s="79" t="s">
        <v>4638</v>
      </c>
      <c r="AV716" s="199"/>
      <c r="AW716" s="67" t="s">
        <v>305</v>
      </c>
      <c r="AX716" s="113" t="s">
        <v>106</v>
      </c>
      <c r="AY716" s="222">
        <v>94534</v>
      </c>
      <c r="AZ716" s="199" t="s">
        <v>4636</v>
      </c>
      <c r="BA716" s="317"/>
    </row>
    <row r="717" spans="1:53" ht="13.5" customHeight="1" x14ac:dyDescent="0.4">
      <c r="A717" s="257" t="s">
        <v>4640</v>
      </c>
      <c r="B717" s="67" t="s">
        <v>98</v>
      </c>
      <c r="C717" s="224" t="s">
        <v>99</v>
      </c>
      <c r="D717" s="115"/>
      <c r="E717" s="120" t="s">
        <v>100</v>
      </c>
      <c r="F717" s="82"/>
      <c r="G717" s="84"/>
      <c r="H717" s="90" t="s">
        <v>100</v>
      </c>
      <c r="I717" s="91"/>
      <c r="J717" s="97"/>
      <c r="K717" s="102">
        <v>45917</v>
      </c>
      <c r="L717" s="327"/>
      <c r="M717" s="106"/>
      <c r="N717" s="251" t="s">
        <v>286</v>
      </c>
      <c r="O717" s="199" t="s">
        <v>4641</v>
      </c>
      <c r="P717" s="57" t="s">
        <v>4642</v>
      </c>
      <c r="Q717" s="132">
        <v>0</v>
      </c>
      <c r="R717" s="132"/>
      <c r="S717" s="63" t="s">
        <v>943</v>
      </c>
      <c r="T717" s="66" t="s">
        <v>4643</v>
      </c>
      <c r="U717" s="67" t="s">
        <v>4644</v>
      </c>
      <c r="V717" s="113" t="s">
        <v>4645</v>
      </c>
      <c r="W717" s="222">
        <v>80504</v>
      </c>
      <c r="X717" s="141"/>
      <c r="Z717" s="236"/>
      <c r="AA717" s="200"/>
      <c r="AB717" s="130"/>
      <c r="AC717" s="202"/>
      <c r="AD717" s="200"/>
      <c r="AE717" s="113"/>
      <c r="AF717" s="113"/>
      <c r="AG717" s="113"/>
      <c r="AH717" s="113"/>
      <c r="AI717" s="130"/>
      <c r="AK717" s="57"/>
      <c r="AL717" s="287" t="s">
        <v>251</v>
      </c>
      <c r="AS717" s="207"/>
      <c r="AT717" s="116" t="s">
        <v>2357</v>
      </c>
      <c r="AU717" s="79" t="s">
        <v>4646</v>
      </c>
      <c r="AV717" s="199"/>
      <c r="AW717" s="67" t="s">
        <v>4644</v>
      </c>
      <c r="AX717" s="113" t="s">
        <v>4645</v>
      </c>
      <c r="AY717" s="222">
        <v>80504</v>
      </c>
      <c r="AZ717" s="199" t="s">
        <v>4641</v>
      </c>
      <c r="BA717" s="317"/>
    </row>
    <row r="718" spans="1:53" ht="13.5" customHeight="1" x14ac:dyDescent="0.4">
      <c r="A718" s="257" t="s">
        <v>4647</v>
      </c>
      <c r="B718" s="67" t="s">
        <v>98</v>
      </c>
      <c r="C718" s="224" t="s">
        <v>99</v>
      </c>
      <c r="D718" s="115"/>
      <c r="E718" s="120" t="s">
        <v>100</v>
      </c>
      <c r="F718" s="82"/>
      <c r="G718" s="84"/>
      <c r="H718" s="90" t="s">
        <v>100</v>
      </c>
      <c r="I718" s="91"/>
      <c r="J718" s="97"/>
      <c r="K718" s="102">
        <v>43620</v>
      </c>
      <c r="L718" s="327"/>
      <c r="M718" s="106"/>
      <c r="N718" s="251" t="s">
        <v>4648</v>
      </c>
      <c r="O718" s="199" t="s">
        <v>4630</v>
      </c>
      <c r="P718" s="57"/>
      <c r="Q718" s="132">
        <v>0</v>
      </c>
      <c r="R718" s="132"/>
      <c r="S718" s="63" t="s">
        <v>943</v>
      </c>
      <c r="T718" s="66" t="s">
        <v>4649</v>
      </c>
      <c r="U718" s="67" t="s">
        <v>1425</v>
      </c>
      <c r="V718" s="113" t="s">
        <v>2478</v>
      </c>
      <c r="W718" s="222">
        <v>85295</v>
      </c>
      <c r="X718" s="139" t="s">
        <v>4650</v>
      </c>
      <c r="Y718" s="139" t="s">
        <v>4650</v>
      </c>
      <c r="Z718" s="236"/>
      <c r="AA718" s="200"/>
      <c r="AB718" s="130"/>
      <c r="AC718" s="202"/>
      <c r="AD718" s="200"/>
      <c r="AE718" s="113"/>
      <c r="AF718" s="113"/>
      <c r="AG718" s="113"/>
      <c r="AH718" s="113"/>
      <c r="AI718" s="130"/>
      <c r="AK718" s="57"/>
      <c r="AL718" s="287" t="s">
        <v>289</v>
      </c>
      <c r="AS718" s="207" t="s">
        <v>132</v>
      </c>
      <c r="AT718" s="116" t="s">
        <v>447</v>
      </c>
      <c r="AU718" s="79" t="s">
        <v>4651</v>
      </c>
      <c r="AV718" s="251"/>
      <c r="AW718" s="67" t="s">
        <v>1425</v>
      </c>
      <c r="AX718" s="113" t="s">
        <v>2479</v>
      </c>
      <c r="AY718" s="222">
        <v>85297</v>
      </c>
      <c r="AZ718" s="199" t="s">
        <v>4630</v>
      </c>
      <c r="BA718" s="317"/>
    </row>
    <row r="719" spans="1:53" ht="13.5" customHeight="1" x14ac:dyDescent="0.4">
      <c r="A719" s="257" t="s">
        <v>4652</v>
      </c>
      <c r="B719" s="67" t="s">
        <v>98</v>
      </c>
      <c r="C719" s="224" t="s">
        <v>99</v>
      </c>
      <c r="D719" s="113"/>
      <c r="E719" s="120" t="s">
        <v>100</v>
      </c>
      <c r="F719" s="82"/>
      <c r="G719" s="84"/>
      <c r="H719" s="90" t="s">
        <v>100</v>
      </c>
      <c r="I719" s="91"/>
      <c r="J719" s="97"/>
      <c r="K719" s="102">
        <v>45778</v>
      </c>
      <c r="L719" s="327"/>
      <c r="M719" s="106"/>
      <c r="N719" s="367" t="s">
        <v>4653</v>
      </c>
      <c r="O719" s="199" t="s">
        <v>4628</v>
      </c>
      <c r="P719" s="57" t="s">
        <v>4628</v>
      </c>
      <c r="Q719" s="132">
        <v>0</v>
      </c>
      <c r="R719" s="132"/>
      <c r="S719" s="63" t="s">
        <v>943</v>
      </c>
      <c r="T719" s="66" t="s">
        <v>4655</v>
      </c>
      <c r="U719" s="67" t="s">
        <v>4656</v>
      </c>
      <c r="V719" s="113" t="s">
        <v>4627</v>
      </c>
      <c r="W719" s="222">
        <v>59405</v>
      </c>
      <c r="X719" s="139" t="s">
        <v>6412</v>
      </c>
      <c r="Y719" s="139" t="s">
        <v>6409</v>
      </c>
      <c r="Z719" s="139" t="s">
        <v>4650</v>
      </c>
      <c r="AA719" s="200"/>
      <c r="AB719" s="130" t="s">
        <v>4657</v>
      </c>
      <c r="AC719" s="202"/>
      <c r="AD719" s="200"/>
      <c r="AE719" s="113"/>
      <c r="AF719" s="113"/>
      <c r="AG719" s="113"/>
      <c r="AH719" s="113"/>
      <c r="AI719" s="130"/>
      <c r="AK719" s="57"/>
      <c r="AL719" s="290" t="s">
        <v>289</v>
      </c>
      <c r="AM719" s="290">
        <v>13305</v>
      </c>
      <c r="AN719" s="290"/>
      <c r="AO719" s="290">
        <v>62245</v>
      </c>
      <c r="AP719" s="290"/>
      <c r="AQ719" s="290"/>
      <c r="AR719" s="290"/>
      <c r="AS719" s="207" t="s">
        <v>132</v>
      </c>
      <c r="AU719" s="79" t="s">
        <v>6410</v>
      </c>
      <c r="AV719" s="251"/>
      <c r="AW719" s="67" t="s">
        <v>4656</v>
      </c>
      <c r="AX719" s="113" t="s">
        <v>4627</v>
      </c>
      <c r="AY719" s="222">
        <v>59401</v>
      </c>
      <c r="AZ719" s="199" t="s">
        <v>4628</v>
      </c>
      <c r="BA719" s="317"/>
    </row>
    <row r="720" spans="1:53" ht="13.5" customHeight="1" x14ac:dyDescent="0.4">
      <c r="A720" s="257" t="s">
        <v>4658</v>
      </c>
      <c r="B720" s="67" t="s">
        <v>98</v>
      </c>
      <c r="C720" s="224" t="s">
        <v>99</v>
      </c>
      <c r="D720" s="113"/>
      <c r="E720" s="120" t="s">
        <v>100</v>
      </c>
      <c r="F720" s="82"/>
      <c r="G720" s="84"/>
      <c r="H720" s="90" t="s">
        <v>100</v>
      </c>
      <c r="I720" s="91"/>
      <c r="J720" s="97"/>
      <c r="K720" s="102">
        <v>43355</v>
      </c>
      <c r="L720" s="327"/>
      <c r="M720" s="106"/>
      <c r="N720" s="251" t="s">
        <v>4659</v>
      </c>
      <c r="O720" s="199" t="s">
        <v>4660</v>
      </c>
      <c r="P720" s="57"/>
      <c r="Q720" s="132">
        <v>0</v>
      </c>
      <c r="R720" s="132"/>
      <c r="S720" s="63" t="s">
        <v>943</v>
      </c>
      <c r="T720" s="66" t="s">
        <v>4661</v>
      </c>
      <c r="U720" s="67" t="s">
        <v>4662</v>
      </c>
      <c r="V720" s="113" t="s">
        <v>4645</v>
      </c>
      <c r="W720" s="222">
        <v>80112</v>
      </c>
      <c r="Z720" s="236"/>
      <c r="AA720" s="200"/>
      <c r="AB720" s="130"/>
      <c r="AC720" s="202"/>
      <c r="AD720" s="200"/>
      <c r="AE720" s="113"/>
      <c r="AF720" s="113"/>
      <c r="AG720" s="113"/>
      <c r="AH720" s="113"/>
      <c r="AI720" s="130"/>
      <c r="AK720" s="57"/>
      <c r="AL720" s="290" t="s">
        <v>149</v>
      </c>
      <c r="AM720" s="290"/>
      <c r="AN720" s="290"/>
      <c r="AO720" s="290"/>
      <c r="AP720" s="290"/>
      <c r="AQ720" s="290"/>
      <c r="AR720" s="290"/>
      <c r="AS720" s="207" t="s">
        <v>132</v>
      </c>
      <c r="AT720" s="116" t="s">
        <v>670</v>
      </c>
      <c r="AV720" s="251"/>
      <c r="AX720" s="113"/>
      <c r="AY720" s="222"/>
      <c r="AZ720" s="113"/>
      <c r="BA720" s="317"/>
    </row>
    <row r="721" spans="1:53" ht="13.5" customHeight="1" x14ac:dyDescent="0.4">
      <c r="A721" s="257" t="s">
        <v>6413</v>
      </c>
      <c r="B721" s="67" t="s">
        <v>98</v>
      </c>
      <c r="C721" s="224" t="s">
        <v>99</v>
      </c>
      <c r="D721" s="113"/>
      <c r="E721" s="120" t="s">
        <v>100</v>
      </c>
      <c r="F721" s="82"/>
      <c r="G721" s="84"/>
      <c r="H721" s="90" t="s">
        <v>100</v>
      </c>
      <c r="I721" s="91"/>
      <c r="J721" s="97"/>
      <c r="K721" s="102">
        <v>45861</v>
      </c>
      <c r="L721" s="327"/>
      <c r="M721" s="106"/>
      <c r="N721" s="251" t="s">
        <v>6414</v>
      </c>
      <c r="O721" s="199" t="s">
        <v>4654</v>
      </c>
      <c r="P721" s="57"/>
      <c r="Q721" s="132">
        <v>0</v>
      </c>
      <c r="R721" s="132"/>
      <c r="S721" s="63" t="s">
        <v>943</v>
      </c>
      <c r="T721" s="66" t="s">
        <v>6416</v>
      </c>
      <c r="U721" s="67" t="s">
        <v>6415</v>
      </c>
      <c r="V721" s="113" t="s">
        <v>4627</v>
      </c>
      <c r="W721" s="222">
        <v>59601</v>
      </c>
      <c r="X721" s="141" t="s">
        <v>6412</v>
      </c>
      <c r="Y721" s="139" t="s">
        <v>6409</v>
      </c>
      <c r="Z721" s="236"/>
      <c r="AA721" s="200"/>
      <c r="AB721" s="130"/>
      <c r="AC721" s="202"/>
      <c r="AD721" s="200"/>
      <c r="AE721" s="113"/>
      <c r="AF721" s="113"/>
      <c r="AG721" s="113"/>
      <c r="AH721" s="113"/>
      <c r="AI721" s="130"/>
      <c r="AK721" s="57"/>
      <c r="AL721" s="290" t="s">
        <v>251</v>
      </c>
      <c r="AM721" s="290"/>
      <c r="AN721" s="290"/>
      <c r="AO721" s="290"/>
      <c r="AP721" s="290"/>
      <c r="AQ721" s="290"/>
      <c r="AR721" s="290"/>
      <c r="AS721" s="207"/>
      <c r="AU721" s="79" t="s">
        <v>6411</v>
      </c>
      <c r="AV721" s="251"/>
      <c r="AW721" s="67" t="s">
        <v>4656</v>
      </c>
      <c r="AX721" s="113" t="s">
        <v>4627</v>
      </c>
      <c r="AY721" s="222">
        <v>59401</v>
      </c>
      <c r="AZ721" s="113" t="s">
        <v>6418</v>
      </c>
      <c r="BA721" s="317"/>
    </row>
    <row r="722" spans="1:53" ht="13.5" customHeight="1" x14ac:dyDescent="0.4">
      <c r="A722" s="257" t="s">
        <v>4663</v>
      </c>
      <c r="B722" s="67" t="s">
        <v>98</v>
      </c>
      <c r="C722" s="224" t="s">
        <v>99</v>
      </c>
      <c r="D722" s="115"/>
      <c r="E722" s="120" t="s">
        <v>100</v>
      </c>
      <c r="F722" s="82"/>
      <c r="G722" s="84"/>
      <c r="H722" s="90" t="s">
        <v>100</v>
      </c>
      <c r="I722" s="91"/>
      <c r="J722" s="97"/>
      <c r="K722" s="102">
        <v>45068</v>
      </c>
      <c r="L722" s="327"/>
      <c r="M722" s="106"/>
      <c r="N722" s="251" t="s">
        <v>809</v>
      </c>
      <c r="O722" s="199" t="s">
        <v>4664</v>
      </c>
      <c r="P722" s="57"/>
      <c r="Q722" s="132">
        <v>0</v>
      </c>
      <c r="R722" s="132"/>
      <c r="S722" s="63" t="s">
        <v>943</v>
      </c>
      <c r="T722" s="66" t="s">
        <v>4665</v>
      </c>
      <c r="U722" s="67" t="s">
        <v>4666</v>
      </c>
      <c r="V722" s="113" t="s">
        <v>4645</v>
      </c>
      <c r="W722" s="222">
        <v>80123</v>
      </c>
      <c r="X722" s="141"/>
      <c r="Z722" s="236"/>
      <c r="AA722" s="200"/>
      <c r="AB722" s="130"/>
      <c r="AC722" s="202"/>
      <c r="AD722" s="200"/>
      <c r="AE722" s="113"/>
      <c r="AF722" s="113"/>
      <c r="AG722" s="113"/>
      <c r="AH722" s="113"/>
      <c r="AI722" s="130"/>
      <c r="AK722" s="57"/>
      <c r="AL722" s="287" t="s">
        <v>251</v>
      </c>
      <c r="AS722" s="207"/>
      <c r="AT722" s="116" t="s">
        <v>406</v>
      </c>
      <c r="AU722" s="79" t="s">
        <v>4667</v>
      </c>
      <c r="AV722" s="251"/>
      <c r="AW722" s="67" t="s">
        <v>4666</v>
      </c>
      <c r="AX722" s="113" t="s">
        <v>4645</v>
      </c>
      <c r="AY722" s="222">
        <v>80123</v>
      </c>
      <c r="AZ722" s="113" t="s">
        <v>4664</v>
      </c>
      <c r="BA722" s="317"/>
    </row>
    <row r="723" spans="1:53" ht="13.5" customHeight="1" x14ac:dyDescent="0.4">
      <c r="A723" s="257" t="s">
        <v>4668</v>
      </c>
      <c r="B723" s="67" t="s">
        <v>98</v>
      </c>
      <c r="C723" s="224" t="s">
        <v>99</v>
      </c>
      <c r="D723" s="115"/>
      <c r="E723" s="120" t="s">
        <v>100</v>
      </c>
      <c r="F723" s="82"/>
      <c r="G723" s="84"/>
      <c r="H723" s="90" t="s">
        <v>100</v>
      </c>
      <c r="I723" s="91"/>
      <c r="J723" s="97"/>
      <c r="K723" s="102">
        <v>45917</v>
      </c>
      <c r="L723" s="327"/>
      <c r="M723" s="106"/>
      <c r="N723" s="251" t="s">
        <v>286</v>
      </c>
      <c r="O723" s="199" t="s">
        <v>4669</v>
      </c>
      <c r="P723" s="57" t="s">
        <v>4642</v>
      </c>
      <c r="Q723" s="132">
        <v>0</v>
      </c>
      <c r="R723" s="132"/>
      <c r="S723" s="63" t="s">
        <v>943</v>
      </c>
      <c r="T723" s="66" t="s">
        <v>4670</v>
      </c>
      <c r="U723" s="67" t="s">
        <v>4671</v>
      </c>
      <c r="V723" s="113" t="s">
        <v>4645</v>
      </c>
      <c r="W723" s="222">
        <v>80501</v>
      </c>
      <c r="X723" s="141"/>
      <c r="Z723" s="236"/>
      <c r="AA723" s="200"/>
      <c r="AB723" s="130"/>
      <c r="AC723" s="202"/>
      <c r="AD723" s="200"/>
      <c r="AE723" s="113"/>
      <c r="AF723" s="113"/>
      <c r="AG723" s="113"/>
      <c r="AH723" s="113"/>
      <c r="AI723" s="130"/>
      <c r="AK723" s="57"/>
      <c r="AL723" s="287" t="s">
        <v>251</v>
      </c>
      <c r="AS723" s="207"/>
      <c r="AT723" s="116" t="s">
        <v>2357</v>
      </c>
      <c r="AU723" s="79" t="s">
        <v>4672</v>
      </c>
      <c r="AV723" s="251"/>
      <c r="AW723" s="67" t="s">
        <v>4671</v>
      </c>
      <c r="AX723" s="113" t="s">
        <v>4645</v>
      </c>
      <c r="AY723" s="222">
        <v>80501</v>
      </c>
      <c r="AZ723" s="113" t="s">
        <v>4669</v>
      </c>
      <c r="BA723" s="317"/>
    </row>
    <row r="724" spans="1:53" ht="13.5" customHeight="1" x14ac:dyDescent="0.4">
      <c r="A724" s="257" t="s">
        <v>4673</v>
      </c>
      <c r="B724" s="67" t="s">
        <v>98</v>
      </c>
      <c r="C724" s="224" t="s">
        <v>99</v>
      </c>
      <c r="D724" s="115"/>
      <c r="E724" s="120" t="s">
        <v>100</v>
      </c>
      <c r="F724" s="82"/>
      <c r="G724" s="84"/>
      <c r="H724" s="90" t="s">
        <v>100</v>
      </c>
      <c r="I724" s="91"/>
      <c r="J724" s="97"/>
      <c r="K724" s="102">
        <v>43621</v>
      </c>
      <c r="L724" s="327"/>
      <c r="M724" s="106"/>
      <c r="N724" s="251" t="s">
        <v>4674</v>
      </c>
      <c r="O724" s="199" t="s">
        <v>4675</v>
      </c>
      <c r="P724" s="57"/>
      <c r="Q724" s="132">
        <v>0</v>
      </c>
      <c r="R724" s="132"/>
      <c r="S724" s="63" t="s">
        <v>943</v>
      </c>
      <c r="T724" s="66" t="s">
        <v>4676</v>
      </c>
      <c r="U724" s="67" t="s">
        <v>4677</v>
      </c>
      <c r="V724" s="113" t="s">
        <v>4678</v>
      </c>
      <c r="W724" s="222">
        <v>48044</v>
      </c>
      <c r="X724" s="141"/>
      <c r="Z724" s="236"/>
      <c r="AA724" s="200"/>
      <c r="AB724" s="130"/>
      <c r="AC724" s="202"/>
      <c r="AD724" s="200"/>
      <c r="AE724" s="113"/>
      <c r="AF724" s="113"/>
      <c r="AG724" s="113"/>
      <c r="AH724" s="113"/>
      <c r="AI724" s="130"/>
      <c r="AK724" s="57"/>
      <c r="AL724" s="287" t="s">
        <v>149</v>
      </c>
      <c r="AS724" s="207"/>
      <c r="AU724" s="79" t="s">
        <v>4676</v>
      </c>
      <c r="AV724" s="251"/>
      <c r="AW724" s="67" t="s">
        <v>4677</v>
      </c>
      <c r="AX724" s="113" t="s">
        <v>4678</v>
      </c>
      <c r="AY724" s="222">
        <v>48044</v>
      </c>
      <c r="AZ724" s="113" t="s">
        <v>4675</v>
      </c>
      <c r="BA724" s="317"/>
    </row>
    <row r="725" spans="1:53" ht="13.5" customHeight="1" x14ac:dyDescent="0.4">
      <c r="A725" s="257" t="s">
        <v>4679</v>
      </c>
      <c r="B725" s="67" t="s">
        <v>98</v>
      </c>
      <c r="C725" s="224" t="s">
        <v>99</v>
      </c>
      <c r="D725" s="113"/>
      <c r="E725" s="120" t="s">
        <v>100</v>
      </c>
      <c r="F725" s="82"/>
      <c r="G725" s="84"/>
      <c r="H725" s="90" t="s">
        <v>100</v>
      </c>
      <c r="I725" s="91"/>
      <c r="J725" s="97"/>
      <c r="K725" s="102">
        <v>44574</v>
      </c>
      <c r="L725" s="327"/>
      <c r="M725" s="106"/>
      <c r="N725" s="251" t="s">
        <v>4680</v>
      </c>
      <c r="O725" s="199" t="s">
        <v>4681</v>
      </c>
      <c r="P725" s="57"/>
      <c r="Q725" s="132">
        <v>9.2499999999999999E-2</v>
      </c>
      <c r="R725" s="132"/>
      <c r="S725" s="63" t="s">
        <v>3295</v>
      </c>
      <c r="T725" s="66" t="s">
        <v>4682</v>
      </c>
      <c r="U725" s="67" t="s">
        <v>3297</v>
      </c>
      <c r="V725" s="113" t="s">
        <v>106</v>
      </c>
      <c r="W725" s="222">
        <v>93933</v>
      </c>
      <c r="X725" s="141" t="s">
        <v>4683</v>
      </c>
      <c r="Y725" s="141" t="s">
        <v>4683</v>
      </c>
      <c r="Z725" s="139"/>
      <c r="AA725" s="200"/>
      <c r="AB725" s="130"/>
      <c r="AC725" s="202"/>
      <c r="AD725" s="200"/>
      <c r="AE725" s="113"/>
      <c r="AF725" s="113"/>
      <c r="AG725" s="113"/>
      <c r="AH725" s="113"/>
      <c r="AI725" s="130"/>
      <c r="AK725" s="57"/>
      <c r="AL725" s="290" t="s">
        <v>149</v>
      </c>
      <c r="AM725" s="290"/>
      <c r="AN725" s="290"/>
      <c r="AO725" s="290"/>
      <c r="AP725" s="290"/>
      <c r="AQ725" s="290"/>
      <c r="AR725" s="290"/>
      <c r="AS725" s="207" t="s">
        <v>132</v>
      </c>
      <c r="AT725" s="116" t="s">
        <v>447</v>
      </c>
      <c r="AU725" s="79" t="s">
        <v>4682</v>
      </c>
      <c r="AV725" s="251"/>
      <c r="AW725" s="67" t="s">
        <v>3297</v>
      </c>
      <c r="AX725" s="113" t="s">
        <v>106</v>
      </c>
      <c r="AY725" s="222">
        <v>93933</v>
      </c>
      <c r="AZ725" s="113" t="s">
        <v>4681</v>
      </c>
      <c r="BA725" s="317"/>
    </row>
    <row r="726" spans="1:53" ht="13.5" customHeight="1" x14ac:dyDescent="0.4">
      <c r="A726" s="257" t="s">
        <v>4684</v>
      </c>
      <c r="B726" s="67" t="s">
        <v>98</v>
      </c>
      <c r="C726" s="224" t="s">
        <v>99</v>
      </c>
      <c r="D726" s="115"/>
      <c r="E726" s="120" t="s">
        <v>100</v>
      </c>
      <c r="F726" s="82"/>
      <c r="G726" s="84"/>
      <c r="H726" s="90" t="s">
        <v>100</v>
      </c>
      <c r="I726" s="91"/>
      <c r="J726" s="97"/>
      <c r="K726" s="102">
        <v>45013</v>
      </c>
      <c r="L726" s="327"/>
      <c r="M726" s="106"/>
      <c r="N726" s="251" t="s">
        <v>4685</v>
      </c>
      <c r="O726" s="67" t="s">
        <v>4686</v>
      </c>
      <c r="P726" s="199" t="s">
        <v>4687</v>
      </c>
      <c r="Q726" s="132">
        <v>9.1300000000000006E-2</v>
      </c>
      <c r="R726" s="132"/>
      <c r="S726" s="63" t="s">
        <v>177</v>
      </c>
      <c r="T726" s="66" t="s">
        <v>4688</v>
      </c>
      <c r="U726" s="67" t="s">
        <v>2595</v>
      </c>
      <c r="V726" s="113" t="s">
        <v>106</v>
      </c>
      <c r="W726" s="222">
        <v>95054</v>
      </c>
      <c r="X726" s="141"/>
      <c r="Y726" s="139" t="s">
        <v>4689</v>
      </c>
      <c r="Z726" s="236"/>
      <c r="AA726" s="200"/>
      <c r="AB726" s="130"/>
      <c r="AC726" s="202"/>
      <c r="AD726" s="200"/>
      <c r="AE726" s="113"/>
      <c r="AF726" s="113"/>
      <c r="AG726" s="113"/>
      <c r="AH726" s="113"/>
      <c r="AI726" s="130"/>
      <c r="AK726" s="57"/>
      <c r="AL726" s="287" t="s">
        <v>251</v>
      </c>
      <c r="AS726" s="207"/>
      <c r="AU726" s="79" t="s">
        <v>4688</v>
      </c>
      <c r="AV726" s="251"/>
      <c r="AW726" s="67" t="s">
        <v>2595</v>
      </c>
      <c r="AX726" s="113" t="s">
        <v>106</v>
      </c>
      <c r="AY726" s="222">
        <v>95054</v>
      </c>
      <c r="AZ726" s="113" t="s">
        <v>4686</v>
      </c>
      <c r="BA726" s="317"/>
    </row>
    <row r="727" spans="1:53" ht="13.5" customHeight="1" x14ac:dyDescent="0.4">
      <c r="A727" s="257" t="s">
        <v>4690</v>
      </c>
      <c r="B727" s="67" t="s">
        <v>98</v>
      </c>
      <c r="C727" s="224" t="s">
        <v>99</v>
      </c>
      <c r="D727" s="115"/>
      <c r="E727" s="120" t="s">
        <v>100</v>
      </c>
      <c r="F727" s="82"/>
      <c r="G727" s="84"/>
      <c r="H727" s="90" t="s">
        <v>100</v>
      </c>
      <c r="I727" s="91"/>
      <c r="J727" s="97"/>
      <c r="K727" s="102"/>
      <c r="L727" s="327"/>
      <c r="M727" s="106"/>
      <c r="N727" s="251" t="s">
        <v>3890</v>
      </c>
      <c r="O727" s="199" t="s">
        <v>4691</v>
      </c>
      <c r="P727" s="57"/>
      <c r="Q727" s="132">
        <v>0</v>
      </c>
      <c r="R727" s="132"/>
      <c r="S727" s="63" t="s">
        <v>943</v>
      </c>
      <c r="T727" s="66" t="s">
        <v>4692</v>
      </c>
      <c r="U727" s="67" t="s">
        <v>4693</v>
      </c>
      <c r="V727" s="113" t="s">
        <v>4645</v>
      </c>
      <c r="W727" s="222">
        <v>80033</v>
      </c>
      <c r="X727" s="141"/>
      <c r="Z727" s="236"/>
      <c r="AA727" s="200"/>
      <c r="AB727" s="130"/>
      <c r="AC727" s="202"/>
      <c r="AD727" s="200"/>
      <c r="AE727" s="113"/>
      <c r="AF727" s="113"/>
      <c r="AG727" s="113"/>
      <c r="AH727" s="113"/>
      <c r="AI727" s="130"/>
      <c r="AK727" s="57"/>
      <c r="AL727" s="287" t="s">
        <v>149</v>
      </c>
      <c r="AS727" s="207"/>
      <c r="AU727" s="79" t="s">
        <v>4694</v>
      </c>
      <c r="AV727" s="251"/>
      <c r="AW727" s="67" t="s">
        <v>4693</v>
      </c>
      <c r="AX727" s="113" t="s">
        <v>4645</v>
      </c>
      <c r="AY727" s="222">
        <v>80033</v>
      </c>
      <c r="AZ727" s="113" t="s">
        <v>4691</v>
      </c>
      <c r="BA727" s="317"/>
    </row>
    <row r="728" spans="1:53" ht="13.5" customHeight="1" x14ac:dyDescent="0.4">
      <c r="A728" s="257" t="s">
        <v>4695</v>
      </c>
      <c r="B728" s="67" t="s">
        <v>98</v>
      </c>
      <c r="C728" s="224" t="s">
        <v>99</v>
      </c>
      <c r="D728" s="113"/>
      <c r="E728" s="120" t="s">
        <v>100</v>
      </c>
      <c r="F728" s="82"/>
      <c r="G728" s="84"/>
      <c r="H728" s="90" t="s">
        <v>100</v>
      </c>
      <c r="I728" s="91"/>
      <c r="J728" s="97"/>
      <c r="K728" s="102">
        <v>45939</v>
      </c>
      <c r="L728" s="327"/>
      <c r="M728" s="106"/>
      <c r="N728" s="251" t="s">
        <v>223</v>
      </c>
      <c r="O728" s="199" t="s">
        <v>4696</v>
      </c>
      <c r="P728" s="57"/>
      <c r="Q728" s="132">
        <v>8.6249999999999993E-2</v>
      </c>
      <c r="R728" s="132">
        <v>8.7499999999999994E-2</v>
      </c>
      <c r="S728" s="63" t="s">
        <v>103</v>
      </c>
      <c r="T728" s="66" t="s">
        <v>4697</v>
      </c>
      <c r="U728" s="67" t="s">
        <v>105</v>
      </c>
      <c r="V728" s="113" t="s">
        <v>106</v>
      </c>
      <c r="W728" s="222">
        <v>94123</v>
      </c>
      <c r="X728" s="139" t="s">
        <v>4698</v>
      </c>
      <c r="Y728" s="139" t="s">
        <v>3933</v>
      </c>
      <c r="Z728" s="139" t="s">
        <v>4698</v>
      </c>
      <c r="AA728" s="200"/>
      <c r="AB728" s="130"/>
      <c r="AC728" s="202"/>
      <c r="AD728" s="200"/>
      <c r="AE728" s="113"/>
      <c r="AF728" s="113"/>
      <c r="AG728" s="113"/>
      <c r="AH728" s="113"/>
      <c r="AI728" s="130" t="s">
        <v>0</v>
      </c>
      <c r="AJ728" s="135" t="s">
        <v>116</v>
      </c>
      <c r="AK728" s="57"/>
      <c r="AL728" s="289" t="s">
        <v>289</v>
      </c>
      <c r="AM728" s="289">
        <v>13305</v>
      </c>
      <c r="AN728" s="289"/>
      <c r="AO728" s="289">
        <v>62245</v>
      </c>
      <c r="AP728" s="289"/>
      <c r="AQ728" s="289"/>
      <c r="AR728" s="289"/>
      <c r="AS728" s="207" t="s">
        <v>132</v>
      </c>
      <c r="AT728" s="116" t="s">
        <v>447</v>
      </c>
      <c r="AU728" s="79" t="s">
        <v>4697</v>
      </c>
      <c r="AV728" s="251"/>
      <c r="AW728" s="67" t="s">
        <v>105</v>
      </c>
      <c r="AX728" s="113" t="s">
        <v>106</v>
      </c>
      <c r="AY728" s="222">
        <v>94123</v>
      </c>
      <c r="AZ728" s="113" t="s">
        <v>4696</v>
      </c>
      <c r="BA728" s="207"/>
    </row>
    <row r="729" spans="1:53" ht="13.5" customHeight="1" x14ac:dyDescent="0.4">
      <c r="A729" s="257" t="s">
        <v>4699</v>
      </c>
      <c r="B729" s="67" t="s">
        <v>4700</v>
      </c>
      <c r="C729" s="224" t="s">
        <v>435</v>
      </c>
      <c r="D729" s="115"/>
      <c r="E729" s="120" t="s">
        <v>100</v>
      </c>
      <c r="F729" s="82"/>
      <c r="G729" s="84"/>
      <c r="H729" s="90" t="s">
        <v>100</v>
      </c>
      <c r="I729" s="91"/>
      <c r="J729" s="97"/>
      <c r="K729" s="102"/>
      <c r="L729" s="327"/>
      <c r="M729" s="106">
        <v>44795</v>
      </c>
      <c r="N729" s="251" t="s">
        <v>4701</v>
      </c>
      <c r="O729" s="199" t="s">
        <v>4702</v>
      </c>
      <c r="P729" s="57" t="s">
        <v>4703</v>
      </c>
      <c r="Q729" s="132">
        <v>7.2499999999999995E-2</v>
      </c>
      <c r="R729" s="132"/>
      <c r="S729" s="63" t="s">
        <v>4704</v>
      </c>
      <c r="T729" s="66" t="s">
        <v>4705</v>
      </c>
      <c r="U729" s="67" t="s">
        <v>4706</v>
      </c>
      <c r="V729" s="113" t="s">
        <v>106</v>
      </c>
      <c r="W729" s="222">
        <v>93012</v>
      </c>
      <c r="X729" s="141" t="s">
        <v>4707</v>
      </c>
      <c r="Z729" s="236"/>
      <c r="AA729" s="200"/>
      <c r="AB729" s="130"/>
      <c r="AC729" s="202"/>
      <c r="AD729" s="200"/>
      <c r="AE729" s="113"/>
      <c r="AF729" s="113"/>
      <c r="AG729" s="113"/>
      <c r="AH729" s="113"/>
      <c r="AI729" s="130"/>
      <c r="AK729" s="57"/>
      <c r="AS729" s="207"/>
      <c r="AT729" s="116" t="s">
        <v>406</v>
      </c>
      <c r="AU729" s="79" t="s">
        <v>4705</v>
      </c>
      <c r="AV729" s="251"/>
      <c r="AW729" s="67" t="s">
        <v>4706</v>
      </c>
      <c r="AX729" s="113" t="s">
        <v>106</v>
      </c>
      <c r="AY729" s="222">
        <v>93012</v>
      </c>
      <c r="AZ729" s="113" t="s">
        <v>4702</v>
      </c>
      <c r="BA729" s="317"/>
    </row>
    <row r="730" spans="1:53" ht="13.5" customHeight="1" x14ac:dyDescent="0.4">
      <c r="A730" s="257" t="s">
        <v>4708</v>
      </c>
      <c r="B730" s="67" t="s">
        <v>1637</v>
      </c>
      <c r="C730" s="68" t="s">
        <v>563</v>
      </c>
      <c r="E730" s="120" t="s">
        <v>100</v>
      </c>
      <c r="F730" s="80"/>
      <c r="G730" s="81"/>
      <c r="H730" s="92" t="s">
        <v>100</v>
      </c>
      <c r="I730" s="86"/>
      <c r="J730" s="96"/>
      <c r="K730" s="100"/>
      <c r="L730" s="328"/>
      <c r="M730" s="104">
        <v>44113</v>
      </c>
      <c r="N730" s="365" t="s">
        <v>191</v>
      </c>
      <c r="O730" s="77" t="s">
        <v>4709</v>
      </c>
      <c r="P730" s="59" t="s">
        <v>193</v>
      </c>
      <c r="Q730" s="132">
        <v>8.6249999999999993E-2</v>
      </c>
      <c r="R730" s="132"/>
      <c r="S730" s="63" t="s">
        <v>103</v>
      </c>
      <c r="T730" s="66" t="s">
        <v>4710</v>
      </c>
      <c r="U730" s="67" t="s">
        <v>105</v>
      </c>
      <c r="V730" s="79" t="s">
        <v>106</v>
      </c>
      <c r="W730" s="76">
        <v>94105</v>
      </c>
      <c r="X730" s="141" t="s">
        <v>4711</v>
      </c>
      <c r="Y730" s="139" t="s">
        <v>4712</v>
      </c>
      <c r="Z730" s="226" t="s">
        <v>197</v>
      </c>
      <c r="AL730" s="287" t="s">
        <v>149</v>
      </c>
      <c r="AM730" s="288">
        <v>13305</v>
      </c>
      <c r="AN730" s="288" t="s">
        <v>198</v>
      </c>
      <c r="AO730" s="288">
        <v>62245</v>
      </c>
      <c r="AS730" s="207" t="s">
        <v>132</v>
      </c>
      <c r="AT730" s="116" t="s">
        <v>447</v>
      </c>
      <c r="AU730" s="79" t="s">
        <v>4710</v>
      </c>
      <c r="AW730" s="67" t="s">
        <v>105</v>
      </c>
      <c r="AX730" s="79" t="s">
        <v>106</v>
      </c>
      <c r="AY730" s="76">
        <v>94105</v>
      </c>
      <c r="AZ730" s="128" t="s">
        <v>200</v>
      </c>
    </row>
    <row r="731" spans="1:53" ht="13.5" customHeight="1" x14ac:dyDescent="0.4">
      <c r="A731" s="257" t="s">
        <v>4713</v>
      </c>
      <c r="B731" s="67" t="s">
        <v>174</v>
      </c>
      <c r="C731" s="224" t="s">
        <v>99</v>
      </c>
      <c r="D731" s="115"/>
      <c r="E731" s="120" t="s">
        <v>899</v>
      </c>
      <c r="F731" s="82" t="s">
        <v>174</v>
      </c>
      <c r="G731" s="84"/>
      <c r="H731" s="90" t="s">
        <v>174</v>
      </c>
      <c r="I731" s="91"/>
      <c r="J731" s="97"/>
      <c r="K731" s="102">
        <v>45743</v>
      </c>
      <c r="L731" s="327"/>
      <c r="M731" s="106"/>
      <c r="N731" s="251" t="s">
        <v>4714</v>
      </c>
      <c r="O731" s="199" t="s">
        <v>4715</v>
      </c>
      <c r="P731" s="57"/>
      <c r="Q731" s="132">
        <v>8.6249999999999993E-2</v>
      </c>
      <c r="R731" s="132"/>
      <c r="S731" s="63" t="s">
        <v>103</v>
      </c>
      <c r="T731" s="66" t="s">
        <v>4716</v>
      </c>
      <c r="U731" s="67" t="s">
        <v>105</v>
      </c>
      <c r="V731" s="113" t="s">
        <v>106</v>
      </c>
      <c r="W731" s="222">
        <v>94109</v>
      </c>
      <c r="X731" s="141"/>
      <c r="Y731" s="139" t="s">
        <v>6352</v>
      </c>
      <c r="Z731" s="139" t="s">
        <v>6349</v>
      </c>
      <c r="AA731" s="200"/>
      <c r="AB731" s="130"/>
      <c r="AC731" s="202"/>
      <c r="AD731" s="200"/>
      <c r="AE731" s="113"/>
      <c r="AF731" s="113"/>
      <c r="AG731" s="113"/>
      <c r="AH731" s="113"/>
      <c r="AI731" s="130"/>
      <c r="AK731" s="57" t="s">
        <v>399</v>
      </c>
      <c r="AN731" s="288">
        <v>15741</v>
      </c>
      <c r="AS731" s="207"/>
      <c r="AT731" s="116" t="s">
        <v>1498</v>
      </c>
      <c r="AU731" s="79" t="s">
        <v>4716</v>
      </c>
      <c r="AV731" s="251"/>
      <c r="AW731" s="67" t="s">
        <v>105</v>
      </c>
      <c r="AX731" s="113" t="s">
        <v>106</v>
      </c>
      <c r="AY731" s="222">
        <v>94109</v>
      </c>
      <c r="AZ731" s="113" t="s">
        <v>4715</v>
      </c>
      <c r="BA731" s="317"/>
    </row>
    <row r="732" spans="1:53" ht="13.5" customHeight="1" x14ac:dyDescent="0.4">
      <c r="A732" s="257" t="s">
        <v>4717</v>
      </c>
      <c r="B732" s="67" t="s">
        <v>244</v>
      </c>
      <c r="C732" s="224" t="s">
        <v>4718</v>
      </c>
      <c r="D732" s="115"/>
      <c r="E732" s="120" t="s">
        <v>173</v>
      </c>
      <c r="F732" s="82" t="s">
        <v>174</v>
      </c>
      <c r="G732" s="84"/>
      <c r="H732" s="90"/>
      <c r="I732" s="91"/>
      <c r="J732" s="97"/>
      <c r="K732" s="102">
        <v>45951</v>
      </c>
      <c r="L732" s="327"/>
      <c r="M732" s="106"/>
      <c r="N732" s="251" t="s">
        <v>4719</v>
      </c>
      <c r="O732" s="57" t="s">
        <v>4720</v>
      </c>
      <c r="P732" s="57"/>
      <c r="Q732" s="132">
        <v>8.2500000000000004E-2</v>
      </c>
      <c r="R732" s="132"/>
      <c r="S732" s="63" t="s">
        <v>759</v>
      </c>
      <c r="T732" s="66" t="s">
        <v>4721</v>
      </c>
      <c r="U732" s="67" t="s">
        <v>2896</v>
      </c>
      <c r="V732" s="113" t="s">
        <v>3610</v>
      </c>
      <c r="W732" s="222">
        <v>94920</v>
      </c>
      <c r="X732" s="141" t="s">
        <v>6329</v>
      </c>
      <c r="Y732" s="141" t="s">
        <v>6329</v>
      </c>
      <c r="Z732" s="141" t="s">
        <v>6329</v>
      </c>
      <c r="AA732" s="200"/>
      <c r="AB732" s="130"/>
      <c r="AC732" s="202"/>
      <c r="AD732" s="200"/>
      <c r="AE732" s="113"/>
      <c r="AF732" s="113"/>
      <c r="AG732" s="113"/>
      <c r="AH732" s="113"/>
      <c r="AI732" s="130"/>
      <c r="AK732" s="57"/>
      <c r="AS732" s="207"/>
      <c r="AU732" s="79" t="s">
        <v>4721</v>
      </c>
      <c r="AV732" s="251"/>
      <c r="AW732" s="67" t="s">
        <v>2896</v>
      </c>
      <c r="AX732" s="113" t="s">
        <v>106</v>
      </c>
      <c r="AY732" s="222">
        <v>94920</v>
      </c>
      <c r="AZ732" s="113" t="s">
        <v>4720</v>
      </c>
      <c r="BA732" s="317"/>
    </row>
    <row r="733" spans="1:53" ht="13.5" customHeight="1" x14ac:dyDescent="0.4">
      <c r="A733" s="257" t="s">
        <v>4722</v>
      </c>
      <c r="B733" s="67" t="s">
        <v>98</v>
      </c>
      <c r="C733" s="224" t="s">
        <v>254</v>
      </c>
      <c r="D733" s="115"/>
      <c r="E733" s="120" t="s">
        <v>100</v>
      </c>
      <c r="F733" s="82"/>
      <c r="G733" s="84"/>
      <c r="H733" s="90" t="s">
        <v>100</v>
      </c>
      <c r="I733" s="91"/>
      <c r="J733" s="97"/>
      <c r="K733" s="102">
        <v>46021</v>
      </c>
      <c r="L733" s="327"/>
      <c r="M733" s="106"/>
      <c r="N733" s="251" t="s">
        <v>4723</v>
      </c>
      <c r="O733" s="199" t="s">
        <v>4724</v>
      </c>
      <c r="P733" s="57" t="s">
        <v>4725</v>
      </c>
      <c r="Q733" s="132">
        <v>9.2499999999999999E-2</v>
      </c>
      <c r="R733" s="132"/>
      <c r="S733" s="63" t="s">
        <v>759</v>
      </c>
      <c r="T733" s="66" t="s">
        <v>4726</v>
      </c>
      <c r="U733" s="67" t="s">
        <v>823</v>
      </c>
      <c r="V733" s="113" t="s">
        <v>3610</v>
      </c>
      <c r="W733" s="222">
        <v>94941</v>
      </c>
      <c r="X733" s="141"/>
      <c r="Z733" s="236"/>
      <c r="AA733" s="200" t="s">
        <v>4723</v>
      </c>
      <c r="AB733" s="130" t="s">
        <v>4725</v>
      </c>
      <c r="AC733" s="202" t="s">
        <v>534</v>
      </c>
      <c r="AD733" s="200" t="s">
        <v>4724</v>
      </c>
      <c r="AE733" s="113"/>
      <c r="AF733" s="113"/>
      <c r="AG733" s="113"/>
      <c r="AH733" s="113"/>
      <c r="AI733" s="130"/>
      <c r="AK733" s="57"/>
      <c r="AL733" s="287" t="s">
        <v>251</v>
      </c>
      <c r="AM733" s="288">
        <v>13305</v>
      </c>
      <c r="AN733" s="288">
        <v>62245</v>
      </c>
      <c r="AS733" s="207"/>
      <c r="AU733" s="79" t="s">
        <v>4726</v>
      </c>
      <c r="AV733" s="251"/>
      <c r="AW733" s="67" t="s">
        <v>823</v>
      </c>
      <c r="AX733" s="113" t="s">
        <v>106</v>
      </c>
      <c r="AY733" s="222">
        <v>94941</v>
      </c>
      <c r="AZ733" s="113" t="s">
        <v>4724</v>
      </c>
      <c r="BA733" s="317"/>
    </row>
    <row r="734" spans="1:53" s="210" customFormat="1" ht="14.15" customHeight="1" x14ac:dyDescent="0.4">
      <c r="A734" s="256" t="s">
        <v>4727</v>
      </c>
      <c r="B734" s="67" t="s">
        <v>689</v>
      </c>
      <c r="C734" s="109" t="s">
        <v>99</v>
      </c>
      <c r="D734" s="79"/>
      <c r="E734" s="120" t="s">
        <v>173</v>
      </c>
      <c r="F734" s="82" t="s">
        <v>174</v>
      </c>
      <c r="G734" s="84"/>
      <c r="H734" s="90"/>
      <c r="I734" s="91"/>
      <c r="J734" s="97"/>
      <c r="K734" s="102">
        <v>45069</v>
      </c>
      <c r="L734" s="327"/>
      <c r="M734" s="106"/>
      <c r="N734" s="128" t="s">
        <v>4728</v>
      </c>
      <c r="O734" s="128" t="s">
        <v>4729</v>
      </c>
      <c r="P734" s="59" t="s">
        <v>4730</v>
      </c>
      <c r="Q734" s="131">
        <v>8.2500000000000004E-2</v>
      </c>
      <c r="R734" s="131"/>
      <c r="S734" s="63" t="s">
        <v>4731</v>
      </c>
      <c r="T734" s="67" t="s">
        <v>4732</v>
      </c>
      <c r="U734" s="67" t="s">
        <v>2896</v>
      </c>
      <c r="V734" s="79" t="s">
        <v>106</v>
      </c>
      <c r="W734" s="76">
        <v>94920</v>
      </c>
      <c r="X734" s="147"/>
      <c r="Y734" s="236"/>
      <c r="Z734" s="234"/>
      <c r="AA734" s="79"/>
      <c r="AB734" s="135"/>
      <c r="AC734" s="136"/>
      <c r="AD734" s="79"/>
      <c r="AE734" s="128"/>
      <c r="AF734" s="128"/>
      <c r="AG734" s="128"/>
      <c r="AH734" s="128"/>
      <c r="AI734" s="135"/>
      <c r="AJ734" s="135"/>
      <c r="AK734" s="58"/>
      <c r="AL734" s="287"/>
      <c r="AM734" s="288"/>
      <c r="AN734" s="288">
        <v>15741</v>
      </c>
      <c r="AO734" s="288"/>
      <c r="AP734" s="288"/>
      <c r="AQ734" s="288"/>
      <c r="AR734" s="288"/>
      <c r="AS734" s="207"/>
      <c r="AT734" s="116"/>
      <c r="AU734" s="67" t="s">
        <v>4732</v>
      </c>
      <c r="AV734" s="66"/>
      <c r="AW734" s="67" t="s">
        <v>2896</v>
      </c>
      <c r="AX734" s="79" t="s">
        <v>106</v>
      </c>
      <c r="AY734" s="76">
        <v>94920</v>
      </c>
      <c r="AZ734" s="77" t="s">
        <v>4729</v>
      </c>
      <c r="BA734" s="75"/>
    </row>
    <row r="735" spans="1:53" ht="13.5" customHeight="1" x14ac:dyDescent="0.4">
      <c r="A735" s="257" t="s">
        <v>4733</v>
      </c>
      <c r="B735" s="67" t="s">
        <v>244</v>
      </c>
      <c r="C735" s="224" t="s">
        <v>221</v>
      </c>
      <c r="D735" s="115"/>
      <c r="E735" s="120" t="s">
        <v>173</v>
      </c>
      <c r="F735" s="82" t="s">
        <v>174</v>
      </c>
      <c r="G735" s="84"/>
      <c r="H735" s="90"/>
      <c r="I735" s="91"/>
      <c r="J735" s="97"/>
      <c r="K735" s="102">
        <v>44281</v>
      </c>
      <c r="L735" s="327"/>
      <c r="M735" s="106"/>
      <c r="N735" s="251" t="s">
        <v>4734</v>
      </c>
      <c r="O735" s="199" t="s">
        <v>4735</v>
      </c>
      <c r="P735" s="57"/>
      <c r="Q735" s="132">
        <v>8.2500000000000004E-2</v>
      </c>
      <c r="R735" s="132"/>
      <c r="S735" s="63" t="s">
        <v>759</v>
      </c>
      <c r="T735" s="66" t="s">
        <v>4736</v>
      </c>
      <c r="U735" s="67" t="s">
        <v>2896</v>
      </c>
      <c r="V735" s="113" t="s">
        <v>106</v>
      </c>
      <c r="W735" s="222">
        <v>94920</v>
      </c>
      <c r="X735" s="141"/>
      <c r="Z735" s="236"/>
      <c r="AA735" s="200"/>
      <c r="AB735" s="130"/>
      <c r="AC735" s="202"/>
      <c r="AD735" s="200"/>
      <c r="AE735" s="113"/>
      <c r="AF735" s="113"/>
      <c r="AG735" s="113"/>
      <c r="AH735" s="113"/>
      <c r="AI735" s="130"/>
      <c r="AK735" s="57"/>
      <c r="AL735" s="287" t="s">
        <v>149</v>
      </c>
      <c r="AM735" s="288">
        <v>13305</v>
      </c>
      <c r="AO735" s="288">
        <v>62245</v>
      </c>
      <c r="AS735" s="207"/>
      <c r="AU735" s="79" t="s">
        <v>4736</v>
      </c>
      <c r="AV735" s="251"/>
      <c r="AW735" s="67" t="s">
        <v>2896</v>
      </c>
      <c r="AX735" s="113" t="s">
        <v>106</v>
      </c>
      <c r="AY735" s="222">
        <v>94920</v>
      </c>
      <c r="AZ735" s="113" t="s">
        <v>4735</v>
      </c>
      <c r="BA735" s="317"/>
    </row>
    <row r="736" spans="1:53" ht="13.5" customHeight="1" x14ac:dyDescent="0.4">
      <c r="A736" s="257" t="s">
        <v>4737</v>
      </c>
      <c r="B736" s="67" t="s">
        <v>244</v>
      </c>
      <c r="C736" s="224" t="s">
        <v>177</v>
      </c>
      <c r="D736" s="115"/>
      <c r="E736" s="120" t="s">
        <v>173</v>
      </c>
      <c r="F736" s="82" t="s">
        <v>174</v>
      </c>
      <c r="G736" s="84"/>
      <c r="H736" s="90"/>
      <c r="I736" s="91"/>
      <c r="J736" s="97"/>
      <c r="K736" s="102">
        <v>45362</v>
      </c>
      <c r="L736" s="327"/>
      <c r="M736" s="106">
        <v>44585</v>
      </c>
      <c r="N736" s="251" t="s">
        <v>4738</v>
      </c>
      <c r="O736" s="57" t="s">
        <v>4739</v>
      </c>
      <c r="P736" s="57"/>
      <c r="Q736" s="132">
        <v>0.10249999999999999</v>
      </c>
      <c r="R736" s="132"/>
      <c r="S736" s="63" t="s">
        <v>113</v>
      </c>
      <c r="T736" s="66" t="s">
        <v>4740</v>
      </c>
      <c r="U736" s="67" t="s">
        <v>1464</v>
      </c>
      <c r="V736" s="113" t="s">
        <v>106</v>
      </c>
      <c r="W736" s="222">
        <v>94550</v>
      </c>
      <c r="X736" s="141"/>
      <c r="Z736" s="236"/>
      <c r="AA736" s="200"/>
      <c r="AB736" s="130"/>
      <c r="AC736" s="202"/>
      <c r="AD736" s="200"/>
      <c r="AE736" s="113"/>
      <c r="AF736" s="113"/>
      <c r="AG736" s="113"/>
      <c r="AH736" s="113"/>
      <c r="AI736" s="130"/>
      <c r="AK736" s="57"/>
      <c r="AQ736" s="288">
        <v>1493</v>
      </c>
      <c r="AS736" s="207"/>
      <c r="AU736" s="79" t="s">
        <v>4741</v>
      </c>
      <c r="AV736" s="251"/>
      <c r="AW736" s="67" t="s">
        <v>1464</v>
      </c>
      <c r="AX736" s="113" t="s">
        <v>106</v>
      </c>
      <c r="AY736" s="222">
        <v>94550</v>
      </c>
      <c r="AZ736" s="113" t="s">
        <v>4742</v>
      </c>
      <c r="BA736" s="317"/>
    </row>
    <row r="737" spans="1:53" ht="13.5" customHeight="1" x14ac:dyDescent="0.4">
      <c r="A737" s="257" t="s">
        <v>4743</v>
      </c>
      <c r="B737" s="67" t="s">
        <v>244</v>
      </c>
      <c r="C737" s="224" t="s">
        <v>4744</v>
      </c>
      <c r="D737" s="115"/>
      <c r="E737" s="120" t="s">
        <v>173</v>
      </c>
      <c r="F737" s="82" t="s">
        <v>174</v>
      </c>
      <c r="G737" s="84"/>
      <c r="H737" s="90"/>
      <c r="I737" s="91"/>
      <c r="J737" s="97"/>
      <c r="K737" s="102">
        <v>44712</v>
      </c>
      <c r="L737" s="327"/>
      <c r="M737" s="106"/>
      <c r="N737" s="251" t="s">
        <v>4745</v>
      </c>
      <c r="O737" s="284" t="s">
        <v>4746</v>
      </c>
      <c r="P737" s="57"/>
      <c r="Q737" s="132">
        <v>8.3750000000000005E-2</v>
      </c>
      <c r="R737" s="132"/>
      <c r="S737" s="63" t="s">
        <v>303</v>
      </c>
      <c r="T737" s="66" t="s">
        <v>4747</v>
      </c>
      <c r="U737" s="67" t="s">
        <v>305</v>
      </c>
      <c r="V737" s="113" t="s">
        <v>106</v>
      </c>
      <c r="W737" s="222">
        <v>94533</v>
      </c>
      <c r="X737" s="141" t="s">
        <v>4748</v>
      </c>
      <c r="Y737" s="141" t="s">
        <v>4748</v>
      </c>
      <c r="Z737" s="141" t="s">
        <v>4748</v>
      </c>
      <c r="AA737" s="200"/>
      <c r="AB737" s="130"/>
      <c r="AC737" s="202"/>
      <c r="AD737" s="200"/>
      <c r="AE737" s="113"/>
      <c r="AF737" s="113"/>
      <c r="AG737" s="113"/>
      <c r="AH737" s="113"/>
      <c r="AI737" s="130"/>
      <c r="AK737" s="57"/>
      <c r="AL737" s="287">
        <v>54230</v>
      </c>
      <c r="AS737" s="207"/>
      <c r="AU737" s="79" t="s">
        <v>4747</v>
      </c>
      <c r="AV737" s="251"/>
      <c r="AW737" s="67" t="s">
        <v>305</v>
      </c>
      <c r="AX737" s="113" t="s">
        <v>106</v>
      </c>
      <c r="AY737" s="222">
        <v>94533</v>
      </c>
      <c r="AZ737" s="113" t="s">
        <v>4746</v>
      </c>
      <c r="BA737" s="317"/>
    </row>
    <row r="738" spans="1:53" ht="13.5" customHeight="1" x14ac:dyDescent="0.4">
      <c r="A738" s="257" t="s">
        <v>4749</v>
      </c>
      <c r="B738" s="67" t="s">
        <v>269</v>
      </c>
      <c r="C738" s="225" t="s">
        <v>1128</v>
      </c>
      <c r="D738" s="112" t="s">
        <v>2812</v>
      </c>
      <c r="E738" s="119" t="s">
        <v>222</v>
      </c>
      <c r="F738" s="80">
        <v>45469</v>
      </c>
      <c r="G738" s="209">
        <v>49</v>
      </c>
      <c r="H738" s="88" t="s">
        <v>100</v>
      </c>
      <c r="I738" s="86"/>
      <c r="J738" s="223"/>
      <c r="K738" s="101">
        <v>45355</v>
      </c>
      <c r="L738" s="329"/>
      <c r="M738" s="105">
        <v>45495</v>
      </c>
      <c r="N738" s="366" t="s">
        <v>4750</v>
      </c>
      <c r="O738" s="198" t="s">
        <v>4751</v>
      </c>
      <c r="P738" s="198"/>
      <c r="Q738" s="132">
        <v>0.1075</v>
      </c>
      <c r="R738" s="132">
        <v>9.5000000000000001E-2</v>
      </c>
      <c r="S738" s="63" t="s">
        <v>2279</v>
      </c>
      <c r="T738" s="366" t="s">
        <v>4752</v>
      </c>
      <c r="U738" s="198" t="s">
        <v>1274</v>
      </c>
      <c r="V738" s="112" t="s">
        <v>106</v>
      </c>
      <c r="W738" s="205">
        <v>94577</v>
      </c>
      <c r="X738" s="293"/>
      <c r="Y738" s="205"/>
      <c r="Z738" s="205"/>
      <c r="AA738" s="203"/>
      <c r="AB738" s="205"/>
      <c r="AC738" s="206"/>
      <c r="AD738" s="203"/>
      <c r="AE738" s="205"/>
      <c r="AF738" s="205"/>
      <c r="AG738" s="205"/>
      <c r="AH738" s="205"/>
      <c r="AI738" s="205"/>
      <c r="AK738" s="318"/>
      <c r="AS738" s="207" t="s">
        <v>132</v>
      </c>
      <c r="AT738" s="116" t="s">
        <v>447</v>
      </c>
      <c r="AU738" s="112" t="s">
        <v>4752</v>
      </c>
      <c r="AV738" s="39"/>
      <c r="AW738" s="198" t="s">
        <v>1274</v>
      </c>
      <c r="AX738" s="112" t="s">
        <v>106</v>
      </c>
      <c r="AY738" s="205">
        <v>94577</v>
      </c>
      <c r="AZ738" s="112" t="s">
        <v>4751</v>
      </c>
    </row>
    <row r="739" spans="1:53" ht="13.5" customHeight="1" x14ac:dyDescent="0.4">
      <c r="A739" s="257" t="s">
        <v>4753</v>
      </c>
      <c r="B739" s="67" t="s">
        <v>269</v>
      </c>
      <c r="C739" s="224" t="s">
        <v>119</v>
      </c>
      <c r="D739" s="115"/>
      <c r="E739" s="120" t="s">
        <v>100</v>
      </c>
      <c r="F739" s="82"/>
      <c r="G739" s="84"/>
      <c r="H739" s="90" t="s">
        <v>100</v>
      </c>
      <c r="I739" s="91"/>
      <c r="J739" s="97"/>
      <c r="K739" s="102"/>
      <c r="L739" s="327"/>
      <c r="M739" s="106">
        <v>45657</v>
      </c>
      <c r="N739" s="251" t="s">
        <v>4754</v>
      </c>
      <c r="O739" s="199" t="s">
        <v>4755</v>
      </c>
      <c r="P739" s="57" t="s">
        <v>4756</v>
      </c>
      <c r="Q739" s="132">
        <v>8.6249999999999993E-2</v>
      </c>
      <c r="R739" s="132"/>
      <c r="S739" s="63" t="s">
        <v>103</v>
      </c>
      <c r="T739" s="66" t="s">
        <v>4757</v>
      </c>
      <c r="U739" s="67" t="s">
        <v>105</v>
      </c>
      <c r="V739" s="113" t="s">
        <v>106</v>
      </c>
      <c r="W739" s="222">
        <v>94114</v>
      </c>
      <c r="X739" s="141"/>
      <c r="Z739" s="236"/>
      <c r="AA739" s="200"/>
      <c r="AB739" s="130"/>
      <c r="AC739" s="202"/>
      <c r="AD739" s="200"/>
      <c r="AE739" s="113"/>
      <c r="AF739" s="113"/>
      <c r="AG739" s="113"/>
      <c r="AH739" s="113"/>
      <c r="AI739" s="130"/>
      <c r="AK739" s="57"/>
      <c r="AS739" s="207"/>
      <c r="AU739" s="79" t="s">
        <v>4757</v>
      </c>
      <c r="AV739" s="251"/>
      <c r="AW739" s="67" t="s">
        <v>105</v>
      </c>
      <c r="AX739" s="113" t="s">
        <v>106</v>
      </c>
      <c r="AY739" s="222">
        <v>94114</v>
      </c>
      <c r="AZ739" s="113" t="s">
        <v>4755</v>
      </c>
      <c r="BA739" s="317"/>
    </row>
    <row r="740" spans="1:53" ht="13.5" customHeight="1" x14ac:dyDescent="0.4">
      <c r="A740" s="257" t="s">
        <v>4758</v>
      </c>
      <c r="B740" s="67" t="s">
        <v>244</v>
      </c>
      <c r="C740" s="224" t="s">
        <v>878</v>
      </c>
      <c r="D740" s="115"/>
      <c r="E740" s="120" t="s">
        <v>173</v>
      </c>
      <c r="F740" s="82" t="s">
        <v>174</v>
      </c>
      <c r="G740" s="84"/>
      <c r="H740" s="90"/>
      <c r="I740" s="91"/>
      <c r="J740" s="97"/>
      <c r="K740" s="102">
        <v>45450</v>
      </c>
      <c r="L740" s="327"/>
      <c r="M740" s="106"/>
      <c r="N740" s="251" t="s">
        <v>4759</v>
      </c>
      <c r="O740" s="199" t="s">
        <v>4760</v>
      </c>
      <c r="P740" s="57" t="s">
        <v>4761</v>
      </c>
      <c r="Q740" s="132">
        <v>0.10249999999999999</v>
      </c>
      <c r="R740" s="132"/>
      <c r="S740" s="63" t="s">
        <v>113</v>
      </c>
      <c r="T740" s="66" t="s">
        <v>4762</v>
      </c>
      <c r="U740" s="67" t="s">
        <v>115</v>
      </c>
      <c r="V740" s="113" t="s">
        <v>106</v>
      </c>
      <c r="W740" s="222">
        <v>94607</v>
      </c>
      <c r="X740" s="139" t="s">
        <v>4763</v>
      </c>
      <c r="Y740" s="139" t="s">
        <v>4763</v>
      </c>
      <c r="Z740" s="139" t="s">
        <v>4763</v>
      </c>
      <c r="AA740" s="200"/>
      <c r="AB740" s="130"/>
      <c r="AC740" s="202"/>
      <c r="AD740" s="200"/>
      <c r="AE740" s="113"/>
      <c r="AF740" s="113"/>
      <c r="AG740" s="113"/>
      <c r="AH740" s="113"/>
      <c r="AI740" s="130"/>
      <c r="AK740" s="57"/>
      <c r="AL740" s="287">
        <v>54230</v>
      </c>
      <c r="AM740" s="288">
        <v>13305</v>
      </c>
      <c r="AO740" s="288">
        <v>62245</v>
      </c>
      <c r="AS740" s="207"/>
      <c r="AU740" s="79" t="s">
        <v>4762</v>
      </c>
      <c r="AV740" s="251"/>
      <c r="AW740" s="67" t="s">
        <v>115</v>
      </c>
      <c r="AX740" s="113" t="s">
        <v>106</v>
      </c>
      <c r="AY740" s="222">
        <v>94607</v>
      </c>
      <c r="AZ740" s="113" t="s">
        <v>4760</v>
      </c>
      <c r="BA740" s="317"/>
    </row>
    <row r="741" spans="1:53" ht="13.5" customHeight="1" x14ac:dyDescent="0.4">
      <c r="A741" s="257" t="s">
        <v>4764</v>
      </c>
      <c r="B741" s="67" t="s">
        <v>98</v>
      </c>
      <c r="C741" s="224" t="s">
        <v>99</v>
      </c>
      <c r="D741" s="113"/>
      <c r="E741" s="120" t="s">
        <v>100</v>
      </c>
      <c r="F741" s="82"/>
      <c r="G741" s="84"/>
      <c r="H741" s="90" t="s">
        <v>100</v>
      </c>
      <c r="I741" s="91"/>
      <c r="J741" s="97"/>
      <c r="K741" s="102">
        <v>44348</v>
      </c>
      <c r="L741" s="327"/>
      <c r="M741" s="106"/>
      <c r="N741" s="251" t="s">
        <v>4765</v>
      </c>
      <c r="O741" s="199" t="s">
        <v>4766</v>
      </c>
      <c r="P741" s="57"/>
      <c r="Q741" s="132">
        <v>8.2500000000000004E-2</v>
      </c>
      <c r="R741" s="132">
        <v>7.4999999999999997E-2</v>
      </c>
      <c r="S741" s="63" t="s">
        <v>4767</v>
      </c>
      <c r="T741" s="66" t="s">
        <v>4768</v>
      </c>
      <c r="U741" s="67" t="s">
        <v>4769</v>
      </c>
      <c r="V741" s="113" t="s">
        <v>106</v>
      </c>
      <c r="W741" s="222">
        <v>98228</v>
      </c>
      <c r="X741" s="142"/>
      <c r="Y741" s="143"/>
      <c r="Z741" s="143"/>
      <c r="AA741" s="200"/>
      <c r="AB741" s="130"/>
      <c r="AC741" s="202"/>
      <c r="AD741" s="200"/>
      <c r="AE741" s="113"/>
      <c r="AF741" s="113"/>
      <c r="AG741" s="113"/>
      <c r="AH741" s="113"/>
      <c r="AI741" s="130" t="s">
        <v>4770</v>
      </c>
      <c r="AJ741" s="135" t="s">
        <v>116</v>
      </c>
      <c r="AK741" s="57"/>
      <c r="AL741" s="290"/>
      <c r="AM741" s="290"/>
      <c r="AN741" s="290"/>
      <c r="AO741" s="290">
        <v>62245</v>
      </c>
      <c r="AP741" s="290"/>
      <c r="AQ741" s="290"/>
      <c r="AR741" s="290"/>
      <c r="AS741" s="207" t="s">
        <v>132</v>
      </c>
      <c r="AT741" s="116" t="s">
        <v>133</v>
      </c>
      <c r="AU741" s="79" t="s">
        <v>4768</v>
      </c>
      <c r="AV741" s="251"/>
      <c r="AW741" s="67" t="s">
        <v>4769</v>
      </c>
      <c r="AX741" s="113" t="s">
        <v>106</v>
      </c>
      <c r="AY741" s="222">
        <v>98228</v>
      </c>
      <c r="AZ741" s="113" t="s">
        <v>4766</v>
      </c>
      <c r="BA741" s="317"/>
    </row>
    <row r="742" spans="1:53" ht="13.5" customHeight="1" x14ac:dyDescent="0.4">
      <c r="A742" s="257" t="s">
        <v>4771</v>
      </c>
      <c r="B742" s="67" t="s">
        <v>98</v>
      </c>
      <c r="C742" s="68" t="s">
        <v>99</v>
      </c>
      <c r="E742" s="120" t="s">
        <v>1166</v>
      </c>
      <c r="F742" s="82" t="s">
        <v>174</v>
      </c>
      <c r="G742" s="84"/>
      <c r="H742" s="90" t="s">
        <v>100</v>
      </c>
      <c r="I742" s="91"/>
      <c r="J742" s="97"/>
      <c r="K742" s="102">
        <v>45657</v>
      </c>
      <c r="L742" s="327"/>
      <c r="M742" s="106">
        <v>45351</v>
      </c>
      <c r="N742" s="365" t="s">
        <v>4772</v>
      </c>
      <c r="O742" s="77" t="s">
        <v>4773</v>
      </c>
      <c r="Q742" s="131">
        <v>9.2499999999999999E-2</v>
      </c>
      <c r="S742" s="63" t="s">
        <v>205</v>
      </c>
      <c r="T742" s="66" t="s">
        <v>4774</v>
      </c>
      <c r="U742" s="67" t="s">
        <v>2846</v>
      </c>
      <c r="V742" s="79" t="s">
        <v>106</v>
      </c>
      <c r="W742" s="76">
        <v>94549</v>
      </c>
      <c r="AL742" s="287" t="s">
        <v>251</v>
      </c>
      <c r="AN742" s="288" t="s">
        <v>198</v>
      </c>
      <c r="AS742" s="207"/>
      <c r="AU742" s="79" t="s">
        <v>4775</v>
      </c>
      <c r="AW742" s="67" t="s">
        <v>2846</v>
      </c>
      <c r="AX742" s="79" t="s">
        <v>106</v>
      </c>
      <c r="AY742" s="76">
        <v>94549</v>
      </c>
    </row>
    <row r="743" spans="1:53" ht="13.5" customHeight="1" x14ac:dyDescent="0.4">
      <c r="A743" s="258" t="s">
        <v>4776</v>
      </c>
      <c r="B743" s="66" t="s">
        <v>98</v>
      </c>
      <c r="C743" s="225" t="s">
        <v>99</v>
      </c>
      <c r="D743" s="112"/>
      <c r="E743" s="119" t="s">
        <v>100</v>
      </c>
      <c r="F743" s="83"/>
      <c r="G743" s="209"/>
      <c r="H743" s="88" t="s">
        <v>100</v>
      </c>
      <c r="I743" s="89"/>
      <c r="J743" s="98"/>
      <c r="K743" s="300">
        <v>45810</v>
      </c>
      <c r="L743" s="364"/>
      <c r="M743" s="301"/>
      <c r="N743" s="366" t="s">
        <v>4777</v>
      </c>
      <c r="O743" s="112" t="s">
        <v>4778</v>
      </c>
      <c r="P743" s="198"/>
      <c r="Q743" s="132">
        <v>8.6249999999999993E-2</v>
      </c>
      <c r="R743" s="132"/>
      <c r="S743" s="63" t="s">
        <v>103</v>
      </c>
      <c r="T743" s="366" t="s">
        <v>4779</v>
      </c>
      <c r="U743" s="198" t="s">
        <v>105</v>
      </c>
      <c r="V743" s="112" t="s">
        <v>106</v>
      </c>
      <c r="W743" s="205">
        <v>94110</v>
      </c>
      <c r="X743" s="141" t="s">
        <v>4780</v>
      </c>
      <c r="Y743" s="141" t="s">
        <v>4780</v>
      </c>
      <c r="Z743" s="141" t="s">
        <v>4780</v>
      </c>
      <c r="AA743" s="203"/>
      <c r="AB743" s="205"/>
      <c r="AC743" s="206"/>
      <c r="AD743" s="203"/>
      <c r="AE743" s="205"/>
      <c r="AF743" s="205"/>
      <c r="AG743" s="205"/>
      <c r="AH743" s="205"/>
      <c r="AI743" s="205"/>
      <c r="AK743" s="318"/>
      <c r="AL743" s="290" t="s">
        <v>149</v>
      </c>
      <c r="AM743" s="290">
        <v>13305</v>
      </c>
      <c r="AN743" s="290"/>
      <c r="AO743" s="290">
        <v>62245</v>
      </c>
      <c r="AP743" s="290"/>
      <c r="AQ743" s="290"/>
      <c r="AR743" s="290"/>
      <c r="AS743" s="207" t="s">
        <v>132</v>
      </c>
      <c r="AT743" s="116" t="s">
        <v>447</v>
      </c>
      <c r="AU743" s="112" t="s">
        <v>4779</v>
      </c>
      <c r="AV743" s="39"/>
      <c r="AW743" s="198" t="s">
        <v>105</v>
      </c>
      <c r="AX743" s="112" t="s">
        <v>106</v>
      </c>
      <c r="AY743" s="205">
        <v>94110</v>
      </c>
      <c r="AZ743" s="198" t="s">
        <v>4778</v>
      </c>
      <c r="BA743" s="317"/>
    </row>
    <row r="744" spans="1:53" ht="13.5" customHeight="1" x14ac:dyDescent="0.4">
      <c r="A744" s="258" t="s">
        <v>6436</v>
      </c>
      <c r="B744" s="66" t="s">
        <v>98</v>
      </c>
      <c r="C744" s="224" t="s">
        <v>99</v>
      </c>
      <c r="D744" s="115"/>
      <c r="E744" s="120" t="s">
        <v>173</v>
      </c>
      <c r="F744" s="82" t="s">
        <v>174</v>
      </c>
      <c r="G744" s="84"/>
      <c r="H744" s="90"/>
      <c r="I744" s="91"/>
      <c r="J744" s="97"/>
      <c r="K744" s="294">
        <v>45819</v>
      </c>
      <c r="L744" s="332"/>
      <c r="M744" s="295"/>
      <c r="N744" s="251" t="s">
        <v>799</v>
      </c>
      <c r="O744" s="113" t="s">
        <v>4781</v>
      </c>
      <c r="P744" s="57"/>
      <c r="Q744" s="132">
        <v>0.1075</v>
      </c>
      <c r="R744" s="132"/>
      <c r="S744" s="63" t="s">
        <v>113</v>
      </c>
      <c r="T744" s="66" t="s">
        <v>4782</v>
      </c>
      <c r="U744" s="67" t="s">
        <v>324</v>
      </c>
      <c r="V744" s="113" t="s">
        <v>106</v>
      </c>
      <c r="W744" s="222">
        <v>94501</v>
      </c>
      <c r="X744" s="141"/>
      <c r="Z744" s="236"/>
      <c r="AA744" s="200"/>
      <c r="AB744" s="130"/>
      <c r="AC744" s="202"/>
      <c r="AD744" s="200"/>
      <c r="AE744" s="113"/>
      <c r="AF744" s="113"/>
      <c r="AG744" s="113"/>
      <c r="AH744" s="113"/>
      <c r="AI744" s="130"/>
      <c r="AK744" s="57"/>
      <c r="AM744" s="288">
        <v>13305</v>
      </c>
      <c r="AO744" s="288">
        <v>62245</v>
      </c>
      <c r="AS744" s="207"/>
      <c r="AT744" s="116" t="s">
        <v>3369</v>
      </c>
      <c r="AU744" s="79" t="s">
        <v>4783</v>
      </c>
      <c r="AV744" s="251"/>
      <c r="AW744" s="67" t="s">
        <v>324</v>
      </c>
      <c r="AX744" s="113" t="s">
        <v>106</v>
      </c>
      <c r="AY744" s="222">
        <v>94501</v>
      </c>
      <c r="AZ744" s="199" t="s">
        <v>4784</v>
      </c>
      <c r="BA744" s="317"/>
    </row>
    <row r="745" spans="1:53" ht="13.5" customHeight="1" x14ac:dyDescent="0.4">
      <c r="A745" s="258" t="s">
        <v>4785</v>
      </c>
      <c r="B745" s="66" t="s">
        <v>244</v>
      </c>
      <c r="C745" s="224" t="s">
        <v>878</v>
      </c>
      <c r="D745" s="115"/>
      <c r="E745" s="120" t="s">
        <v>173</v>
      </c>
      <c r="F745" s="82" t="s">
        <v>174</v>
      </c>
      <c r="G745" s="84"/>
      <c r="H745" s="90"/>
      <c r="I745" s="91"/>
      <c r="J745" s="97"/>
      <c r="K745" s="294"/>
      <c r="L745" s="332"/>
      <c r="M745" s="295"/>
      <c r="N745" s="367" t="s">
        <v>4786</v>
      </c>
      <c r="O745" s="130" t="s">
        <v>4787</v>
      </c>
      <c r="P745" s="252" t="s">
        <v>4788</v>
      </c>
      <c r="Q745" s="132">
        <v>9.375E-2</v>
      </c>
      <c r="R745" s="132"/>
      <c r="S745" s="63" t="s">
        <v>177</v>
      </c>
      <c r="T745" s="66" t="s">
        <v>4789</v>
      </c>
      <c r="U745" s="67" t="s">
        <v>4790</v>
      </c>
      <c r="V745" s="113" t="s">
        <v>106</v>
      </c>
      <c r="W745" s="222">
        <v>95110</v>
      </c>
      <c r="X745" s="141" t="s">
        <v>4791</v>
      </c>
      <c r="Y745" s="139" t="s">
        <v>4791</v>
      </c>
      <c r="Z745" s="139" t="s">
        <v>4791</v>
      </c>
      <c r="AA745" s="200"/>
      <c r="AB745" s="130"/>
      <c r="AC745" s="202"/>
      <c r="AD745" s="200"/>
      <c r="AE745" s="113"/>
      <c r="AF745" s="113"/>
      <c r="AG745" s="113"/>
      <c r="AH745" s="113"/>
      <c r="AI745" s="130"/>
      <c r="AK745" s="57"/>
      <c r="AS745" s="207"/>
      <c r="AU745" s="79" t="s">
        <v>4789</v>
      </c>
      <c r="AV745" s="251"/>
      <c r="AW745" s="67" t="s">
        <v>148</v>
      </c>
      <c r="AX745" s="113" t="s">
        <v>106</v>
      </c>
      <c r="AY745" s="222">
        <v>95110</v>
      </c>
      <c r="AZ745" s="199" t="s">
        <v>4787</v>
      </c>
      <c r="BA745" s="317"/>
    </row>
    <row r="746" spans="1:53" ht="13.5" customHeight="1" x14ac:dyDescent="0.4">
      <c r="A746" s="258" t="s">
        <v>4792</v>
      </c>
      <c r="B746" s="66" t="s">
        <v>174</v>
      </c>
      <c r="C746" s="224" t="s">
        <v>99</v>
      </c>
      <c r="D746" s="113"/>
      <c r="E746" s="120" t="s">
        <v>173</v>
      </c>
      <c r="F746" s="82" t="s">
        <v>174</v>
      </c>
      <c r="G746" s="84"/>
      <c r="H746" s="90" t="s">
        <v>100</v>
      </c>
      <c r="I746" s="91"/>
      <c r="J746" s="97"/>
      <c r="K746" s="294">
        <v>45434</v>
      </c>
      <c r="L746" s="332"/>
      <c r="M746" s="295"/>
      <c r="N746" s="251" t="s">
        <v>4793</v>
      </c>
      <c r="O746" s="113" t="s">
        <v>4794</v>
      </c>
      <c r="P746" s="57"/>
      <c r="Q746" s="132">
        <v>9.375E-2</v>
      </c>
      <c r="R746" s="132"/>
      <c r="S746" s="63" t="s">
        <v>4592</v>
      </c>
      <c r="T746" s="66" t="s">
        <v>4795</v>
      </c>
      <c r="U746" s="67" t="s">
        <v>148</v>
      </c>
      <c r="V746" s="113" t="s">
        <v>106</v>
      </c>
      <c r="W746" s="222">
        <v>95128</v>
      </c>
      <c r="X746" s="141"/>
      <c r="Y746" s="141"/>
      <c r="Z746" s="141"/>
      <c r="AA746" s="200"/>
      <c r="AB746" s="130"/>
      <c r="AC746" s="202"/>
      <c r="AD746" s="200"/>
      <c r="AE746" s="113"/>
      <c r="AF746" s="113"/>
      <c r="AG746" s="113"/>
      <c r="AH746" s="113"/>
      <c r="AI746" s="130"/>
      <c r="AK746" s="57"/>
      <c r="AL746" s="290"/>
      <c r="AM746" s="290">
        <v>13305</v>
      </c>
      <c r="AN746" s="290"/>
      <c r="AO746" s="290"/>
      <c r="AP746" s="290"/>
      <c r="AQ746" s="290"/>
      <c r="AR746" s="290"/>
      <c r="AS746" s="207"/>
      <c r="AT746" s="116" t="s">
        <v>3369</v>
      </c>
      <c r="AU746" s="79" t="s">
        <v>4795</v>
      </c>
      <c r="AV746" s="251"/>
      <c r="AW746" s="67" t="s">
        <v>148</v>
      </c>
      <c r="AX746" s="113" t="s">
        <v>106</v>
      </c>
      <c r="AY746" s="222">
        <v>95128</v>
      </c>
      <c r="AZ746" s="199" t="s">
        <v>4794</v>
      </c>
      <c r="BA746" s="317"/>
    </row>
    <row r="747" spans="1:53" ht="13.5" customHeight="1" x14ac:dyDescent="0.4">
      <c r="A747" s="258" t="s">
        <v>4796</v>
      </c>
      <c r="B747" s="66" t="s">
        <v>98</v>
      </c>
      <c r="C747" s="225" t="s">
        <v>99</v>
      </c>
      <c r="D747" s="112"/>
      <c r="E747" s="119" t="s">
        <v>100</v>
      </c>
      <c r="F747" s="83"/>
      <c r="G747" s="209"/>
      <c r="H747" s="88" t="s">
        <v>100</v>
      </c>
      <c r="I747" s="89"/>
      <c r="J747" s="98"/>
      <c r="K747" s="300">
        <v>45883</v>
      </c>
      <c r="L747" s="364"/>
      <c r="M747" s="301"/>
      <c r="N747" s="366" t="s">
        <v>2158</v>
      </c>
      <c r="O747" s="112" t="s">
        <v>4797</v>
      </c>
      <c r="P747" s="198"/>
      <c r="Q747" s="132">
        <v>9.1249999999999998E-2</v>
      </c>
      <c r="R747" s="132">
        <v>8.7499999999999994E-2</v>
      </c>
      <c r="S747" s="63" t="s">
        <v>177</v>
      </c>
      <c r="T747" s="366" t="s">
        <v>4798</v>
      </c>
      <c r="U747" s="198" t="s">
        <v>476</v>
      </c>
      <c r="V747" s="112" t="s">
        <v>106</v>
      </c>
      <c r="W747" s="205">
        <v>94306</v>
      </c>
      <c r="X747" s="293" t="s">
        <v>4799</v>
      </c>
      <c r="Y747" s="205"/>
      <c r="Z747" s="205"/>
      <c r="AA747" s="203" t="s">
        <v>4800</v>
      </c>
      <c r="AB747" s="205" t="s">
        <v>4801</v>
      </c>
      <c r="AC747" s="206"/>
      <c r="AD747" s="203"/>
      <c r="AE747" s="205"/>
      <c r="AF747" s="205"/>
      <c r="AG747" s="205"/>
      <c r="AH747" s="205"/>
      <c r="AI747" s="205" t="s">
        <v>4802</v>
      </c>
      <c r="AK747" s="318"/>
      <c r="AL747" s="289" t="s">
        <v>149</v>
      </c>
      <c r="AM747" s="289">
        <v>13305</v>
      </c>
      <c r="AN747" s="289" t="s">
        <v>198</v>
      </c>
      <c r="AO747" s="289">
        <v>62245</v>
      </c>
      <c r="AP747" s="289"/>
      <c r="AQ747" s="289"/>
      <c r="AR747" s="289"/>
      <c r="AS747" s="207" t="s">
        <v>132</v>
      </c>
      <c r="AT747" s="116" t="s">
        <v>447</v>
      </c>
      <c r="AU747" s="112" t="s">
        <v>4798</v>
      </c>
      <c r="AV747" s="39"/>
      <c r="AW747" s="198" t="s">
        <v>476</v>
      </c>
      <c r="AX747" s="112" t="s">
        <v>106</v>
      </c>
      <c r="AY747" s="205">
        <v>94306</v>
      </c>
      <c r="AZ747" s="198" t="s">
        <v>4797</v>
      </c>
      <c r="BA747" s="207"/>
    </row>
    <row r="748" spans="1:53" ht="13.5" customHeight="1" x14ac:dyDescent="0.4">
      <c r="A748" s="258" t="s">
        <v>4803</v>
      </c>
      <c r="B748" s="66" t="s">
        <v>244</v>
      </c>
      <c r="C748" s="224" t="s">
        <v>472</v>
      </c>
      <c r="D748" s="115"/>
      <c r="E748" s="120" t="s">
        <v>173</v>
      </c>
      <c r="F748" s="82" t="s">
        <v>174</v>
      </c>
      <c r="G748" s="84"/>
      <c r="H748" s="90"/>
      <c r="I748" s="91"/>
      <c r="J748" s="97"/>
      <c r="K748" s="294">
        <v>44784</v>
      </c>
      <c r="L748" s="332"/>
      <c r="M748" s="295"/>
      <c r="N748" s="251" t="s">
        <v>223</v>
      </c>
      <c r="O748" s="113" t="s">
        <v>4804</v>
      </c>
      <c r="P748" s="57"/>
      <c r="Q748" s="132">
        <v>8.6249999999999993E-2</v>
      </c>
      <c r="R748" s="132"/>
      <c r="S748" s="63" t="s">
        <v>103</v>
      </c>
      <c r="T748" s="66" t="s">
        <v>4805</v>
      </c>
      <c r="U748" s="67" t="s">
        <v>105</v>
      </c>
      <c r="V748" s="113" t="s">
        <v>106</v>
      </c>
      <c r="W748" s="222">
        <v>94133</v>
      </c>
      <c r="X748" s="141"/>
      <c r="Z748" s="236"/>
      <c r="AA748" s="200"/>
      <c r="AB748" s="130"/>
      <c r="AC748" s="202"/>
      <c r="AD748" s="200"/>
      <c r="AE748" s="113"/>
      <c r="AF748" s="113"/>
      <c r="AG748" s="113"/>
      <c r="AH748" s="113"/>
      <c r="AI748" s="130"/>
      <c r="AK748" s="57"/>
      <c r="AM748" s="288" t="s">
        <v>180</v>
      </c>
      <c r="AS748" s="207"/>
      <c r="AT748" s="116" t="s">
        <v>1469</v>
      </c>
      <c r="AU748" s="79" t="s">
        <v>4805</v>
      </c>
      <c r="AV748" s="251"/>
      <c r="AW748" s="67" t="s">
        <v>105</v>
      </c>
      <c r="AX748" s="113" t="s">
        <v>106</v>
      </c>
      <c r="AY748" s="222">
        <v>94133</v>
      </c>
      <c r="AZ748" s="199" t="s">
        <v>4806</v>
      </c>
      <c r="BA748" s="317"/>
    </row>
    <row r="749" spans="1:53" ht="12.75" customHeight="1" x14ac:dyDescent="0.4">
      <c r="A749" s="258" t="s">
        <v>4807</v>
      </c>
      <c r="B749" s="66" t="s">
        <v>174</v>
      </c>
      <c r="C749" s="224" t="s">
        <v>99</v>
      </c>
      <c r="D749" s="115"/>
      <c r="E749" s="120" t="s">
        <v>1166</v>
      </c>
      <c r="F749" s="82" t="s">
        <v>174</v>
      </c>
      <c r="G749" s="84"/>
      <c r="H749" s="90" t="s">
        <v>100</v>
      </c>
      <c r="I749" s="91"/>
      <c r="J749" s="97"/>
      <c r="K749" s="294">
        <v>45785</v>
      </c>
      <c r="L749" s="332"/>
      <c r="M749" s="295"/>
      <c r="N749" s="113" t="s">
        <v>4808</v>
      </c>
      <c r="O749" s="113" t="s">
        <v>4809</v>
      </c>
      <c r="P749" s="57"/>
      <c r="Q749" s="132">
        <v>8.6249999999999993E-2</v>
      </c>
      <c r="R749" s="132"/>
      <c r="S749" s="63" t="s">
        <v>103</v>
      </c>
      <c r="T749" s="67" t="s">
        <v>4810</v>
      </c>
      <c r="U749" s="67" t="s">
        <v>105</v>
      </c>
      <c r="V749" s="113" t="s">
        <v>106</v>
      </c>
      <c r="W749" s="222">
        <v>94123</v>
      </c>
      <c r="X749" s="141"/>
      <c r="Z749" s="236"/>
      <c r="AA749" s="200"/>
      <c r="AB749" s="130"/>
      <c r="AC749" s="202"/>
      <c r="AD749" s="200"/>
      <c r="AE749" s="113"/>
      <c r="AF749" s="113"/>
      <c r="AG749" s="113"/>
      <c r="AH749" s="113"/>
      <c r="AI749" s="130"/>
      <c r="AK749" s="57"/>
      <c r="AL749" s="287" t="s">
        <v>251</v>
      </c>
      <c r="AN749" s="288" t="s">
        <v>257</v>
      </c>
      <c r="AS749" s="207"/>
      <c r="AT749" s="116" t="s">
        <v>1176</v>
      </c>
      <c r="AU749" s="67" t="s">
        <v>4810</v>
      </c>
      <c r="AV749" s="251"/>
      <c r="AW749" s="67" t="s">
        <v>105</v>
      </c>
      <c r="AX749" s="113" t="s">
        <v>106</v>
      </c>
      <c r="AY749" s="222">
        <v>94123</v>
      </c>
      <c r="AZ749" s="199" t="s">
        <v>4809</v>
      </c>
      <c r="BA749" s="317"/>
    </row>
    <row r="750" spans="1:53" ht="12.75" customHeight="1" x14ac:dyDescent="0.4">
      <c r="A750" s="258" t="s">
        <v>4811</v>
      </c>
      <c r="B750" s="66" t="s">
        <v>98</v>
      </c>
      <c r="C750" s="225" t="s">
        <v>254</v>
      </c>
      <c r="D750" s="112"/>
      <c r="E750" s="119" t="s">
        <v>100</v>
      </c>
      <c r="F750" s="83"/>
      <c r="G750" s="209"/>
      <c r="H750" s="88" t="s">
        <v>100</v>
      </c>
      <c r="I750" s="89"/>
      <c r="J750" s="98"/>
      <c r="K750" s="300">
        <v>45902</v>
      </c>
      <c r="L750" s="364"/>
      <c r="M750" s="301"/>
      <c r="N750" s="112" t="s">
        <v>4812</v>
      </c>
      <c r="O750" s="112" t="s">
        <v>4813</v>
      </c>
      <c r="P750" s="198"/>
      <c r="Q750" s="132">
        <v>9.2499999999999999E-2</v>
      </c>
      <c r="R750" s="132"/>
      <c r="S750" s="63" t="s">
        <v>507</v>
      </c>
      <c r="T750" s="198" t="s">
        <v>1393</v>
      </c>
      <c r="U750" s="198" t="s">
        <v>509</v>
      </c>
      <c r="V750" s="112" t="s">
        <v>106</v>
      </c>
      <c r="W750" s="205">
        <v>94965</v>
      </c>
      <c r="X750" s="141" t="s">
        <v>4814</v>
      </c>
      <c r="Y750" s="139" t="s">
        <v>4815</v>
      </c>
      <c r="Z750" s="139" t="s">
        <v>4815</v>
      </c>
      <c r="AA750" s="203" t="s">
        <v>4816</v>
      </c>
      <c r="AB750" s="205" t="s">
        <v>4817</v>
      </c>
      <c r="AC750" s="206"/>
      <c r="AD750" s="203"/>
      <c r="AE750" s="205"/>
      <c r="AF750" s="205"/>
      <c r="AG750" s="205"/>
      <c r="AH750" s="205"/>
      <c r="AI750" s="205"/>
      <c r="AK750" s="318"/>
      <c r="AL750" s="287" t="s">
        <v>289</v>
      </c>
      <c r="AM750" s="288">
        <v>13305</v>
      </c>
      <c r="AN750" s="288" t="s">
        <v>4818</v>
      </c>
      <c r="AO750" s="288">
        <v>62245</v>
      </c>
      <c r="AS750" s="207" t="s">
        <v>132</v>
      </c>
      <c r="AT750" s="116" t="s">
        <v>447</v>
      </c>
      <c r="AU750" s="198" t="s">
        <v>4819</v>
      </c>
      <c r="AV750" s="39"/>
      <c r="AW750" s="198" t="s">
        <v>509</v>
      </c>
      <c r="AX750" s="112" t="s">
        <v>106</v>
      </c>
      <c r="AY750" s="205">
        <v>94965</v>
      </c>
      <c r="AZ750" s="198" t="s">
        <v>4813</v>
      </c>
      <c r="BA750" s="207"/>
    </row>
    <row r="751" spans="1:53" ht="12.75" customHeight="1" x14ac:dyDescent="0.4">
      <c r="A751" s="258" t="s">
        <v>4820</v>
      </c>
      <c r="B751" s="66" t="s">
        <v>244</v>
      </c>
      <c r="C751" s="224" t="s">
        <v>99</v>
      </c>
      <c r="D751" s="115"/>
      <c r="E751" s="120" t="s">
        <v>1166</v>
      </c>
      <c r="F751" s="82" t="s">
        <v>174</v>
      </c>
      <c r="G751" s="84"/>
      <c r="H751" s="90" t="s">
        <v>100</v>
      </c>
      <c r="I751" s="91"/>
      <c r="J751" s="97"/>
      <c r="K751" s="294">
        <v>46021</v>
      </c>
      <c r="L751" s="332"/>
      <c r="M751" s="295"/>
      <c r="N751" s="113" t="s">
        <v>4821</v>
      </c>
      <c r="O751" s="113" t="s">
        <v>4822</v>
      </c>
      <c r="P751" s="57"/>
      <c r="Q751" s="132">
        <v>9.2499999999999999E-2</v>
      </c>
      <c r="R751" s="132"/>
      <c r="S751" s="63" t="s">
        <v>420</v>
      </c>
      <c r="T751" s="67" t="s">
        <v>4823</v>
      </c>
      <c r="U751" s="67" t="s">
        <v>420</v>
      </c>
      <c r="V751" s="113" t="s">
        <v>106</v>
      </c>
      <c r="W751" s="222">
        <v>94945</v>
      </c>
      <c r="X751" s="141"/>
      <c r="Y751" s="139" t="s">
        <v>6328</v>
      </c>
      <c r="Z751" s="236"/>
      <c r="AA751" s="200" t="s">
        <v>1354</v>
      </c>
      <c r="AB751" s="130"/>
      <c r="AC751" s="202"/>
      <c r="AD751" s="200"/>
      <c r="AE751" s="113"/>
      <c r="AF751" s="113"/>
      <c r="AG751" s="113"/>
      <c r="AH751" s="113"/>
      <c r="AI751" s="130"/>
      <c r="AK751" s="57"/>
      <c r="AL751" s="287" t="s">
        <v>251</v>
      </c>
      <c r="AM751" s="288" t="s">
        <v>916</v>
      </c>
      <c r="AS751" s="207"/>
      <c r="AT751" s="116" t="s">
        <v>406</v>
      </c>
      <c r="AU751" s="67" t="s">
        <v>4823</v>
      </c>
      <c r="AV751" s="251"/>
      <c r="AW751" s="67" t="s">
        <v>420</v>
      </c>
      <c r="AX751" s="113" t="s">
        <v>106</v>
      </c>
      <c r="AY751" s="222">
        <v>94945</v>
      </c>
      <c r="AZ751" s="199" t="s">
        <v>4822</v>
      </c>
      <c r="BA751" s="317"/>
    </row>
    <row r="752" spans="1:53" ht="10.5" customHeight="1" x14ac:dyDescent="0.4">
      <c r="A752" s="258" t="s">
        <v>4824</v>
      </c>
      <c r="B752" s="66" t="s">
        <v>244</v>
      </c>
      <c r="C752" s="224" t="s">
        <v>4825</v>
      </c>
      <c r="D752" s="115"/>
      <c r="E752" s="120" t="s">
        <v>1166</v>
      </c>
      <c r="F752" s="82" t="s">
        <v>174</v>
      </c>
      <c r="G752" s="84"/>
      <c r="H752" s="90"/>
      <c r="I752" s="91"/>
      <c r="J752" s="97"/>
      <c r="K752" s="294"/>
      <c r="L752" s="332"/>
      <c r="M752" s="295"/>
      <c r="N752" s="130" t="s">
        <v>4826</v>
      </c>
      <c r="O752" s="130" t="s">
        <v>4827</v>
      </c>
      <c r="P752" s="57"/>
      <c r="Q752" s="132">
        <v>8.7499999999999994E-2</v>
      </c>
      <c r="R752" s="132"/>
      <c r="S752" s="63" t="s">
        <v>205</v>
      </c>
      <c r="T752" s="67" t="s">
        <v>4828</v>
      </c>
      <c r="U752" s="67" t="s">
        <v>1103</v>
      </c>
      <c r="V752" s="113" t="s">
        <v>106</v>
      </c>
      <c r="W752" s="222">
        <v>94526</v>
      </c>
      <c r="X752" s="141" t="s">
        <v>4829</v>
      </c>
      <c r="Y752" s="141" t="s">
        <v>4829</v>
      </c>
      <c r="Z752" s="141" t="s">
        <v>4829</v>
      </c>
      <c r="AA752" s="200"/>
      <c r="AB752" s="130"/>
      <c r="AC752" s="202"/>
      <c r="AD752" s="200"/>
      <c r="AE752" s="113"/>
      <c r="AF752" s="113"/>
      <c r="AG752" s="113"/>
      <c r="AH752" s="113"/>
      <c r="AI752" s="130"/>
      <c r="AK752" s="57"/>
      <c r="AS752" s="207"/>
      <c r="AU752" s="67" t="s">
        <v>4828</v>
      </c>
      <c r="AV752" s="251"/>
      <c r="AW752" s="67" t="s">
        <v>1103</v>
      </c>
      <c r="AX752" s="113" t="s">
        <v>106</v>
      </c>
      <c r="AY752" s="222">
        <v>94526</v>
      </c>
      <c r="AZ752" s="57" t="s">
        <v>4827</v>
      </c>
      <c r="BA752" s="317"/>
    </row>
    <row r="753" spans="1:53" ht="12" customHeight="1" x14ac:dyDescent="0.4">
      <c r="A753" s="258" t="s">
        <v>4830</v>
      </c>
      <c r="B753" s="66" t="s">
        <v>174</v>
      </c>
      <c r="C753" s="224" t="s">
        <v>435</v>
      </c>
      <c r="D753" s="115"/>
      <c r="E753" s="120" t="s">
        <v>1166</v>
      </c>
      <c r="F753" s="82" t="s">
        <v>174</v>
      </c>
      <c r="G753" s="84"/>
      <c r="H753" s="90" t="s">
        <v>174</v>
      </c>
      <c r="I753" s="91"/>
      <c r="J753" s="97"/>
      <c r="K753" s="294">
        <v>45429</v>
      </c>
      <c r="L753" s="332"/>
      <c r="M753" s="295"/>
      <c r="N753" s="113" t="s">
        <v>2512</v>
      </c>
      <c r="O753" s="113" t="s">
        <v>4204</v>
      </c>
      <c r="P753" s="57"/>
      <c r="Q753" s="132">
        <v>9.2499999999999999E-2</v>
      </c>
      <c r="R753" s="132"/>
      <c r="S753" s="63" t="s">
        <v>2127</v>
      </c>
      <c r="T753" s="67" t="s">
        <v>4205</v>
      </c>
      <c r="U753" s="67" t="s">
        <v>2129</v>
      </c>
      <c r="V753" s="113" t="s">
        <v>106</v>
      </c>
      <c r="W753" s="222">
        <v>95437</v>
      </c>
      <c r="X753" s="141"/>
      <c r="Z753" s="236"/>
      <c r="AA753" s="200"/>
      <c r="AB753" s="130"/>
      <c r="AC753" s="202"/>
      <c r="AD753" s="200"/>
      <c r="AE753" s="113"/>
      <c r="AF753" s="113"/>
      <c r="AG753" s="113"/>
      <c r="AH753" s="113"/>
      <c r="AI753" s="130"/>
      <c r="AK753" s="57"/>
      <c r="AL753" s="287" t="s">
        <v>251</v>
      </c>
      <c r="AM753" s="288">
        <v>13305</v>
      </c>
      <c r="AO753" s="288">
        <v>62245</v>
      </c>
      <c r="AS753" s="207"/>
      <c r="AT753" s="116" t="s">
        <v>258</v>
      </c>
      <c r="AU753" s="67" t="s">
        <v>4210</v>
      </c>
      <c r="AV753" s="251"/>
      <c r="AW753" s="67" t="s">
        <v>2129</v>
      </c>
      <c r="AX753" s="113" t="s">
        <v>106</v>
      </c>
      <c r="AY753" s="222">
        <v>95437</v>
      </c>
      <c r="AZ753" s="199" t="s">
        <v>4204</v>
      </c>
      <c r="BA753" s="317"/>
    </row>
    <row r="754" spans="1:53" ht="12" customHeight="1" x14ac:dyDescent="0.4">
      <c r="A754" s="258" t="s">
        <v>4831</v>
      </c>
      <c r="B754" s="66" t="s">
        <v>269</v>
      </c>
      <c r="C754" s="224" t="s">
        <v>254</v>
      </c>
      <c r="D754" s="115"/>
      <c r="E754" s="120" t="s">
        <v>100</v>
      </c>
      <c r="F754" s="82"/>
      <c r="G754" s="84"/>
      <c r="H754" s="90" t="s">
        <v>100</v>
      </c>
      <c r="I754" s="91"/>
      <c r="J754" s="97"/>
      <c r="K754" s="294">
        <v>44855</v>
      </c>
      <c r="L754" s="332"/>
      <c r="M754" s="295">
        <v>44725</v>
      </c>
      <c r="N754" s="113" t="s">
        <v>3174</v>
      </c>
      <c r="O754" s="113" t="s">
        <v>4832</v>
      </c>
      <c r="P754" s="57"/>
      <c r="Q754" s="132">
        <v>9.2499999999999999E-2</v>
      </c>
      <c r="R754" s="132"/>
      <c r="S754" s="63" t="s">
        <v>226</v>
      </c>
      <c r="T754" s="67" t="s">
        <v>4833</v>
      </c>
      <c r="U754" s="67" t="s">
        <v>228</v>
      </c>
      <c r="V754" s="113" t="s">
        <v>106</v>
      </c>
      <c r="W754" s="222">
        <v>94901</v>
      </c>
      <c r="X754" s="141"/>
      <c r="Y754" s="141"/>
      <c r="Z754" s="139"/>
      <c r="AA754" s="200"/>
      <c r="AB754" s="130"/>
      <c r="AC754" s="202"/>
      <c r="AD754" s="200"/>
      <c r="AE754" s="113"/>
      <c r="AF754" s="113"/>
      <c r="AG754" s="113"/>
      <c r="AH754" s="113"/>
      <c r="AI754" s="130"/>
      <c r="AK754" s="57"/>
      <c r="AL754" s="287" t="s">
        <v>251</v>
      </c>
      <c r="AM754" s="288">
        <v>13305</v>
      </c>
      <c r="AS754" s="207"/>
      <c r="AT754" s="116" t="s">
        <v>589</v>
      </c>
      <c r="AU754" s="67" t="s">
        <v>4834</v>
      </c>
      <c r="AV754" s="251"/>
      <c r="AW754" s="67" t="s">
        <v>228</v>
      </c>
      <c r="AX754" s="113" t="s">
        <v>106</v>
      </c>
      <c r="AY754" s="222">
        <v>94901</v>
      </c>
      <c r="AZ754" s="199" t="s">
        <v>4832</v>
      </c>
      <c r="BA754" s="317"/>
    </row>
    <row r="755" spans="1:53" ht="12.75" customHeight="1" x14ac:dyDescent="0.4">
      <c r="A755" s="258" t="s">
        <v>4835</v>
      </c>
      <c r="B755" s="66" t="s">
        <v>98</v>
      </c>
      <c r="C755" s="224" t="s">
        <v>563</v>
      </c>
      <c r="D755" s="115"/>
      <c r="E755" s="120" t="s">
        <v>100</v>
      </c>
      <c r="F755" s="82"/>
      <c r="G755" s="84"/>
      <c r="H755" s="90" t="s">
        <v>100</v>
      </c>
      <c r="I755" s="91"/>
      <c r="J755" s="97"/>
      <c r="K755" s="294">
        <v>44655</v>
      </c>
      <c r="L755" s="332"/>
      <c r="M755" s="295">
        <v>44098</v>
      </c>
      <c r="N755" s="113" t="s">
        <v>4836</v>
      </c>
      <c r="O755" s="113" t="s">
        <v>4837</v>
      </c>
      <c r="P755" s="57" t="s">
        <v>4838</v>
      </c>
      <c r="Q755" s="132">
        <v>0</v>
      </c>
      <c r="R755" s="132"/>
      <c r="S755" s="63" t="s">
        <v>943</v>
      </c>
      <c r="T755" s="67" t="s">
        <v>4839</v>
      </c>
      <c r="U755" s="67" t="s">
        <v>4840</v>
      </c>
      <c r="V755" s="113" t="s">
        <v>4841</v>
      </c>
      <c r="W755" s="222">
        <v>19438</v>
      </c>
      <c r="X755" s="141" t="s">
        <v>4842</v>
      </c>
      <c r="Y755" s="141" t="s">
        <v>4843</v>
      </c>
      <c r="Z755" s="141" t="s">
        <v>4842</v>
      </c>
      <c r="AA755" s="200" t="s">
        <v>4844</v>
      </c>
      <c r="AB755" s="130"/>
      <c r="AC755" s="202"/>
      <c r="AD755" s="200"/>
      <c r="AE755" s="113"/>
      <c r="AF755" s="113"/>
      <c r="AG755" s="113"/>
      <c r="AH755" s="113"/>
      <c r="AI755" s="130"/>
      <c r="AK755" s="57"/>
      <c r="AL755" s="287" t="s">
        <v>149</v>
      </c>
      <c r="AM755" s="288">
        <v>13305</v>
      </c>
      <c r="AO755" s="288">
        <v>62245</v>
      </c>
      <c r="AS755" s="207"/>
      <c r="AU755" s="67" t="s">
        <v>4839</v>
      </c>
      <c r="AV755" s="251"/>
      <c r="AW755" s="67" t="s">
        <v>4840</v>
      </c>
      <c r="AX755" s="113" t="s">
        <v>4841</v>
      </c>
      <c r="AY755" s="222">
        <v>19438</v>
      </c>
      <c r="AZ755" s="199" t="s">
        <v>4837</v>
      </c>
      <c r="BA755" s="317"/>
    </row>
    <row r="756" spans="1:53" ht="12.75" customHeight="1" x14ac:dyDescent="0.4">
      <c r="A756" s="258" t="s">
        <v>4845</v>
      </c>
      <c r="B756" s="66" t="s">
        <v>98</v>
      </c>
      <c r="C756" s="224" t="s">
        <v>563</v>
      </c>
      <c r="D756" s="115"/>
      <c r="E756" s="120" t="s">
        <v>100</v>
      </c>
      <c r="F756" s="82"/>
      <c r="G756" s="84"/>
      <c r="H756" s="90" t="s">
        <v>100</v>
      </c>
      <c r="I756" s="91"/>
      <c r="J756" s="97"/>
      <c r="K756" s="294">
        <v>45505</v>
      </c>
      <c r="L756" s="332"/>
      <c r="M756" s="295"/>
      <c r="N756" s="113" t="s">
        <v>4572</v>
      </c>
      <c r="O756" s="113" t="s">
        <v>4846</v>
      </c>
      <c r="P756" s="57" t="s">
        <v>4847</v>
      </c>
      <c r="Q756" s="132">
        <v>0</v>
      </c>
      <c r="R756" s="132"/>
      <c r="S756" s="63" t="s">
        <v>943</v>
      </c>
      <c r="T756" s="67" t="s">
        <v>4848</v>
      </c>
      <c r="U756" s="67" t="s">
        <v>4849</v>
      </c>
      <c r="V756" s="113" t="s">
        <v>4841</v>
      </c>
      <c r="W756" s="222">
        <v>19460</v>
      </c>
      <c r="X756" s="141"/>
      <c r="Z756" s="236"/>
      <c r="AA756" s="200"/>
      <c r="AB756" s="130"/>
      <c r="AC756" s="202"/>
      <c r="AD756" s="200"/>
      <c r="AE756" s="113"/>
      <c r="AF756" s="113"/>
      <c r="AG756" s="113"/>
      <c r="AH756" s="113"/>
      <c r="AI756" s="130"/>
      <c r="AK756" s="57"/>
      <c r="AL756" s="287" t="s">
        <v>251</v>
      </c>
      <c r="AM756" s="288">
        <v>13305</v>
      </c>
      <c r="AN756" s="288">
        <v>62445</v>
      </c>
      <c r="AS756" s="207"/>
      <c r="AU756" s="67" t="s">
        <v>4850</v>
      </c>
      <c r="AV756" s="251"/>
      <c r="AW756" s="67" t="s">
        <v>4849</v>
      </c>
      <c r="AX756" s="113" t="s">
        <v>4841</v>
      </c>
      <c r="AY756" s="222">
        <v>19460</v>
      </c>
      <c r="AZ756" s="199" t="s">
        <v>4846</v>
      </c>
      <c r="BA756" s="317"/>
    </row>
    <row r="757" spans="1:53" ht="12.75" customHeight="1" x14ac:dyDescent="0.4">
      <c r="A757" s="258" t="s">
        <v>4851</v>
      </c>
      <c r="B757" s="66" t="s">
        <v>98</v>
      </c>
      <c r="C757" s="224" t="s">
        <v>563</v>
      </c>
      <c r="D757" s="115"/>
      <c r="E757" s="120" t="s">
        <v>100</v>
      </c>
      <c r="F757" s="82"/>
      <c r="G757" s="84"/>
      <c r="H757" s="90" t="s">
        <v>100</v>
      </c>
      <c r="I757" s="91"/>
      <c r="J757" s="97"/>
      <c r="K757" s="294">
        <v>45204</v>
      </c>
      <c r="L757" s="332"/>
      <c r="M757" s="295">
        <v>44102</v>
      </c>
      <c r="N757" s="113" t="s">
        <v>4836</v>
      </c>
      <c r="O757" s="79" t="s">
        <v>4852</v>
      </c>
      <c r="P757" s="199" t="s">
        <v>4838</v>
      </c>
      <c r="Q757" s="132">
        <v>0</v>
      </c>
      <c r="R757" s="132"/>
      <c r="S757" s="63" t="s">
        <v>943</v>
      </c>
      <c r="T757" s="67" t="s">
        <v>4853</v>
      </c>
      <c r="U757" s="67" t="s">
        <v>4854</v>
      </c>
      <c r="V757" s="113" t="s">
        <v>4841</v>
      </c>
      <c r="W757" s="222">
        <v>19464</v>
      </c>
      <c r="X757" s="141" t="s">
        <v>4842</v>
      </c>
      <c r="Y757" s="141" t="s">
        <v>4843</v>
      </c>
      <c r="Z757" s="141" t="s">
        <v>4842</v>
      </c>
      <c r="AA757" s="200" t="s">
        <v>4844</v>
      </c>
      <c r="AB757" s="130"/>
      <c r="AC757" s="202"/>
      <c r="AD757" s="200"/>
      <c r="AE757" s="113"/>
      <c r="AF757" s="113"/>
      <c r="AG757" s="113"/>
      <c r="AH757" s="113"/>
      <c r="AI757" s="130"/>
      <c r="AK757" s="57"/>
      <c r="AL757" s="287" t="s">
        <v>149</v>
      </c>
      <c r="AM757" s="288">
        <v>13305</v>
      </c>
      <c r="AO757" s="288">
        <v>62245</v>
      </c>
      <c r="AS757" s="207"/>
      <c r="AT757" s="116" t="s">
        <v>406</v>
      </c>
      <c r="AU757" s="67" t="s">
        <v>4853</v>
      </c>
      <c r="AV757" s="251"/>
      <c r="AW757" s="67" t="s">
        <v>4855</v>
      </c>
      <c r="AX757" s="113" t="s">
        <v>4841</v>
      </c>
      <c r="AY757" s="222">
        <v>19464</v>
      </c>
      <c r="AZ757" s="199" t="s">
        <v>4852</v>
      </c>
      <c r="BA757" s="317"/>
    </row>
    <row r="758" spans="1:53" ht="12.75" customHeight="1" x14ac:dyDescent="0.4">
      <c r="A758" s="258" t="s">
        <v>4856</v>
      </c>
      <c r="B758" s="66" t="s">
        <v>244</v>
      </c>
      <c r="C758" s="224" t="s">
        <v>119</v>
      </c>
      <c r="D758" s="115"/>
      <c r="E758" s="120" t="s">
        <v>173</v>
      </c>
      <c r="F758" s="82" t="s">
        <v>174</v>
      </c>
      <c r="G758" s="84"/>
      <c r="H758" s="90" t="s">
        <v>100</v>
      </c>
      <c r="I758" s="91"/>
      <c r="J758" s="97"/>
      <c r="K758" s="294">
        <v>45959</v>
      </c>
      <c r="L758" s="332"/>
      <c r="M758" s="295"/>
      <c r="N758" s="113" t="s">
        <v>624</v>
      </c>
      <c r="O758" s="113" t="s">
        <v>4857</v>
      </c>
      <c r="P758" s="57"/>
      <c r="Q758" s="132">
        <v>8.6249999999999993E-2</v>
      </c>
      <c r="R758" s="132"/>
      <c r="S758" s="63" t="s">
        <v>103</v>
      </c>
      <c r="T758" s="67" t="s">
        <v>4858</v>
      </c>
      <c r="U758" s="67" t="s">
        <v>105</v>
      </c>
      <c r="V758" s="113" t="s">
        <v>106</v>
      </c>
      <c r="W758" s="222">
        <v>94121</v>
      </c>
      <c r="X758" s="141"/>
      <c r="Z758" s="236"/>
      <c r="AA758" s="200"/>
      <c r="AB758" s="130"/>
      <c r="AC758" s="202"/>
      <c r="AD758" s="200"/>
      <c r="AE758" s="113"/>
      <c r="AF758" s="113"/>
      <c r="AG758" s="113"/>
      <c r="AH758" s="113"/>
      <c r="AI758" s="130"/>
      <c r="AK758" s="57"/>
      <c r="AL758" s="287" t="s">
        <v>251</v>
      </c>
      <c r="AM758" s="288" t="s">
        <v>545</v>
      </c>
      <c r="AO758" s="288">
        <v>62245</v>
      </c>
      <c r="AS758" s="207"/>
      <c r="AT758" s="116" t="s">
        <v>406</v>
      </c>
      <c r="AU758" s="67" t="s">
        <v>4858</v>
      </c>
      <c r="AV758" s="251"/>
      <c r="AW758" s="67" t="s">
        <v>105</v>
      </c>
      <c r="AX758" s="113" t="s">
        <v>106</v>
      </c>
      <c r="AY758" s="222">
        <v>94121</v>
      </c>
      <c r="AZ758" s="199" t="s">
        <v>4857</v>
      </c>
      <c r="BA758" s="317"/>
    </row>
    <row r="759" spans="1:53" ht="12.75" customHeight="1" x14ac:dyDescent="0.4">
      <c r="A759" s="258" t="s">
        <v>4859</v>
      </c>
      <c r="B759" s="66" t="s">
        <v>98</v>
      </c>
      <c r="C759" s="224" t="s">
        <v>99</v>
      </c>
      <c r="D759" s="115"/>
      <c r="E759" s="120" t="s">
        <v>100</v>
      </c>
      <c r="F759" s="82"/>
      <c r="G759" s="84"/>
      <c r="H759" s="90" t="s">
        <v>100</v>
      </c>
      <c r="I759" s="91"/>
      <c r="J759" s="97"/>
      <c r="K759" s="294">
        <v>45495</v>
      </c>
      <c r="L759" s="332"/>
      <c r="M759" s="295"/>
      <c r="N759" s="113" t="s">
        <v>4860</v>
      </c>
      <c r="O759" s="113" t="s">
        <v>4861</v>
      </c>
      <c r="P759" s="57"/>
      <c r="Q759" s="132">
        <v>0</v>
      </c>
      <c r="R759" s="132"/>
      <c r="S759" s="63" t="s">
        <v>943</v>
      </c>
      <c r="T759" s="67" t="s">
        <v>4862</v>
      </c>
      <c r="U759" s="67" t="s">
        <v>4863</v>
      </c>
      <c r="V759" s="113" t="s">
        <v>4864</v>
      </c>
      <c r="W759" s="222">
        <v>37861</v>
      </c>
      <c r="X759" s="141"/>
      <c r="Z759" s="236"/>
      <c r="AA759" s="200"/>
      <c r="AB759" s="130"/>
      <c r="AC759" s="202"/>
      <c r="AD759" s="200"/>
      <c r="AE759" s="113"/>
      <c r="AF759" s="113"/>
      <c r="AG759" s="113"/>
      <c r="AH759" s="113"/>
      <c r="AI759" s="130"/>
      <c r="AK759" s="57"/>
      <c r="AL759" s="287" t="s">
        <v>251</v>
      </c>
      <c r="AM759" s="288">
        <v>13305</v>
      </c>
      <c r="AO759" s="288">
        <v>62245</v>
      </c>
      <c r="AS759" s="207"/>
      <c r="AT759" s="116" t="s">
        <v>2357</v>
      </c>
      <c r="AU759" s="67" t="s">
        <v>4865</v>
      </c>
      <c r="AV759" s="251"/>
      <c r="AW759" s="67" t="s">
        <v>4863</v>
      </c>
      <c r="AX759" s="113" t="s">
        <v>4864</v>
      </c>
      <c r="AY759" s="222">
        <v>37861</v>
      </c>
      <c r="AZ759" s="199" t="s">
        <v>4861</v>
      </c>
      <c r="BA759" s="317"/>
    </row>
    <row r="760" spans="1:53" ht="12.75" customHeight="1" x14ac:dyDescent="0.4">
      <c r="A760" s="258" t="s">
        <v>4866</v>
      </c>
      <c r="B760" s="66" t="s">
        <v>269</v>
      </c>
      <c r="C760" s="224" t="s">
        <v>119</v>
      </c>
      <c r="D760" s="115"/>
      <c r="E760" s="120" t="s">
        <v>100</v>
      </c>
      <c r="F760" s="82"/>
      <c r="G760" s="84"/>
      <c r="H760" s="90" t="s">
        <v>100</v>
      </c>
      <c r="I760" s="91"/>
      <c r="J760" s="97"/>
      <c r="K760" s="294"/>
      <c r="L760" s="332"/>
      <c r="M760" s="295">
        <v>45138</v>
      </c>
      <c r="N760" s="113" t="s">
        <v>4175</v>
      </c>
      <c r="O760" s="113" t="s">
        <v>4176</v>
      </c>
      <c r="P760" s="57"/>
      <c r="Q760" s="132">
        <v>8.6249999999999993E-2</v>
      </c>
      <c r="R760" s="132"/>
      <c r="S760" s="63" t="s">
        <v>103</v>
      </c>
      <c r="T760" s="67" t="s">
        <v>4867</v>
      </c>
      <c r="U760" s="67" t="s">
        <v>105</v>
      </c>
      <c r="V760" s="113" t="s">
        <v>106</v>
      </c>
      <c r="W760" s="222">
        <v>94114</v>
      </c>
      <c r="X760" s="141" t="s">
        <v>4179</v>
      </c>
      <c r="Y760" s="139" t="s">
        <v>4179</v>
      </c>
      <c r="Z760" s="139" t="s">
        <v>4179</v>
      </c>
      <c r="AA760" s="200"/>
      <c r="AB760" s="130"/>
      <c r="AC760" s="202"/>
      <c r="AD760" s="200"/>
      <c r="AE760" s="113"/>
      <c r="AF760" s="113"/>
      <c r="AG760" s="113"/>
      <c r="AH760" s="113"/>
      <c r="AI760" s="130"/>
      <c r="AK760" s="57"/>
      <c r="AS760" s="207"/>
      <c r="AU760" s="67" t="s">
        <v>4867</v>
      </c>
      <c r="AV760" s="251"/>
      <c r="AW760" s="67" t="s">
        <v>105</v>
      </c>
      <c r="AX760" s="113" t="s">
        <v>106</v>
      </c>
      <c r="AY760" s="222">
        <v>94114</v>
      </c>
      <c r="AZ760" s="199" t="s">
        <v>4176</v>
      </c>
      <c r="BA760" s="317"/>
    </row>
    <row r="761" spans="1:53" ht="12.75" customHeight="1" x14ac:dyDescent="0.25">
      <c r="A761" s="258" t="s">
        <v>4868</v>
      </c>
      <c r="B761" s="66" t="s">
        <v>98</v>
      </c>
      <c r="C761" s="68" t="s">
        <v>563</v>
      </c>
      <c r="E761" s="118" t="s">
        <v>100</v>
      </c>
      <c r="F761" s="80"/>
      <c r="G761" s="81"/>
      <c r="H761" s="92" t="s">
        <v>100</v>
      </c>
      <c r="I761" s="86"/>
      <c r="J761" s="96"/>
      <c r="K761" s="297">
        <v>45966</v>
      </c>
      <c r="M761" s="298">
        <v>45047</v>
      </c>
      <c r="N761" s="128" t="s">
        <v>4869</v>
      </c>
      <c r="O761" s="128" t="s">
        <v>4784</v>
      </c>
      <c r="Q761" s="132">
        <v>0.1075</v>
      </c>
      <c r="R761" s="132">
        <v>9.5000000000000001E-2</v>
      </c>
      <c r="S761" s="63" t="s">
        <v>324</v>
      </c>
      <c r="T761" s="67" t="s">
        <v>4870</v>
      </c>
      <c r="U761" s="67" t="s">
        <v>324</v>
      </c>
      <c r="V761" s="79" t="s">
        <v>106</v>
      </c>
      <c r="W761" s="76">
        <v>94501</v>
      </c>
      <c r="X761" s="141" t="s">
        <v>6399</v>
      </c>
      <c r="Y761" s="139" t="s">
        <v>6403</v>
      </c>
      <c r="Z761" s="141" t="s">
        <v>6400</v>
      </c>
      <c r="AA761" s="79" t="s">
        <v>4874</v>
      </c>
      <c r="AC761" s="136" t="s">
        <v>4875</v>
      </c>
      <c r="AD761" s="79" t="s">
        <v>4876</v>
      </c>
      <c r="AE761" s="128" t="s">
        <v>4877</v>
      </c>
      <c r="AI761" s="135" t="s">
        <v>4878</v>
      </c>
      <c r="AJ761" s="135" t="s">
        <v>4879</v>
      </c>
      <c r="AL761" s="289" t="s">
        <v>289</v>
      </c>
      <c r="AM761" s="289">
        <v>13305</v>
      </c>
      <c r="AN761" s="289"/>
      <c r="AO761" s="289">
        <v>62245</v>
      </c>
      <c r="AP761" s="289"/>
      <c r="AQ761" s="289"/>
      <c r="AR761" s="289"/>
      <c r="AS761" s="207" t="s">
        <v>4880</v>
      </c>
      <c r="AT761" s="116" t="s">
        <v>3542</v>
      </c>
      <c r="AU761" s="67" t="s">
        <v>4870</v>
      </c>
      <c r="AW761" s="67" t="s">
        <v>324</v>
      </c>
      <c r="AX761" s="79" t="s">
        <v>106</v>
      </c>
      <c r="AY761" s="76">
        <v>46242</v>
      </c>
      <c r="AZ761" s="77" t="s">
        <v>4876</v>
      </c>
      <c r="BA761" s="207"/>
    </row>
    <row r="762" spans="1:53" ht="12.75" customHeight="1" x14ac:dyDescent="0.4">
      <c r="A762" s="258" t="s">
        <v>4881</v>
      </c>
      <c r="B762" s="66" t="s">
        <v>98</v>
      </c>
      <c r="C762" s="224" t="s">
        <v>563</v>
      </c>
      <c r="D762" s="115"/>
      <c r="E762" s="120" t="s">
        <v>100</v>
      </c>
      <c r="F762" s="82"/>
      <c r="G762" s="84"/>
      <c r="H762" s="90" t="s">
        <v>100</v>
      </c>
      <c r="I762" s="91"/>
      <c r="J762" s="97"/>
      <c r="K762" s="294">
        <v>45909</v>
      </c>
      <c r="L762" s="332"/>
      <c r="M762" s="295">
        <v>44537</v>
      </c>
      <c r="N762" s="113" t="s">
        <v>4882</v>
      </c>
      <c r="O762" s="113" t="s">
        <v>4883</v>
      </c>
      <c r="P762" s="57"/>
      <c r="Q762" s="132">
        <v>7.7499999999999999E-2</v>
      </c>
      <c r="R762" s="132"/>
      <c r="S762" s="63" t="s">
        <v>1249</v>
      </c>
      <c r="T762" s="67" t="s">
        <v>4884</v>
      </c>
      <c r="U762" s="67" t="s">
        <v>1249</v>
      </c>
      <c r="V762" s="113" t="s">
        <v>106</v>
      </c>
      <c r="W762" s="222">
        <v>95678</v>
      </c>
      <c r="X762" s="141" t="s">
        <v>6399</v>
      </c>
      <c r="Y762" s="141" t="s">
        <v>6398</v>
      </c>
      <c r="Z762" s="141" t="s">
        <v>6400</v>
      </c>
      <c r="AA762" s="200"/>
      <c r="AB762" s="130"/>
      <c r="AC762" s="202"/>
      <c r="AD762" s="200"/>
      <c r="AE762" s="113"/>
      <c r="AF762" s="113"/>
      <c r="AG762" s="113"/>
      <c r="AH762" s="113"/>
      <c r="AI762" s="130"/>
      <c r="AK762" s="57"/>
      <c r="AL762" s="287" t="s">
        <v>289</v>
      </c>
      <c r="AM762" s="288">
        <v>13305</v>
      </c>
      <c r="AO762" s="288">
        <v>62245</v>
      </c>
      <c r="AS762" s="207"/>
      <c r="AT762" s="116" t="s">
        <v>3542</v>
      </c>
      <c r="AU762" s="67" t="s">
        <v>4884</v>
      </c>
      <c r="AV762" s="251"/>
      <c r="AW762" s="67" t="s">
        <v>1249</v>
      </c>
      <c r="AX762" s="113" t="s">
        <v>106</v>
      </c>
      <c r="AY762" s="222">
        <v>95678</v>
      </c>
      <c r="AZ762" s="199" t="s">
        <v>4876</v>
      </c>
      <c r="BA762" s="317"/>
    </row>
    <row r="763" spans="1:53" ht="12.75" customHeight="1" x14ac:dyDescent="0.25">
      <c r="A763" s="258" t="s">
        <v>4885</v>
      </c>
      <c r="B763" s="66" t="s">
        <v>98</v>
      </c>
      <c r="C763" s="68" t="s">
        <v>563</v>
      </c>
      <c r="E763" s="118" t="s">
        <v>100</v>
      </c>
      <c r="F763" s="80"/>
      <c r="G763" s="81"/>
      <c r="H763" s="92" t="s">
        <v>100</v>
      </c>
      <c r="I763" s="86"/>
      <c r="J763" s="96"/>
      <c r="K763" s="297">
        <v>45887</v>
      </c>
      <c r="M763" s="298">
        <v>44228</v>
      </c>
      <c r="N763" s="128" t="s">
        <v>4886</v>
      </c>
      <c r="O763" s="128" t="s">
        <v>4887</v>
      </c>
      <c r="Q763" s="132">
        <v>9.6250000000000002E-2</v>
      </c>
      <c r="R763" s="132">
        <v>9.2499999999999999E-2</v>
      </c>
      <c r="S763" s="63" t="s">
        <v>1206</v>
      </c>
      <c r="T763" s="67" t="s">
        <v>4888</v>
      </c>
      <c r="U763" s="67" t="s">
        <v>1208</v>
      </c>
      <c r="V763" s="79" t="s">
        <v>106</v>
      </c>
      <c r="W763" s="76">
        <v>94401</v>
      </c>
      <c r="X763" s="141" t="s">
        <v>6399</v>
      </c>
      <c r="Y763" s="139" t="s">
        <v>6404</v>
      </c>
      <c r="Z763" s="141" t="s">
        <v>6400</v>
      </c>
      <c r="AC763" s="136" t="s">
        <v>4875</v>
      </c>
      <c r="AD763" s="79" t="s">
        <v>4876</v>
      </c>
      <c r="AI763" s="135" t="s">
        <v>0</v>
      </c>
      <c r="AJ763" s="135" t="s">
        <v>116</v>
      </c>
      <c r="AK763" s="58" t="s">
        <v>1176</v>
      </c>
      <c r="AL763" s="289" t="s">
        <v>289</v>
      </c>
      <c r="AM763" s="289">
        <v>13305</v>
      </c>
      <c r="AN763" s="289"/>
      <c r="AO763" s="289">
        <v>62245</v>
      </c>
      <c r="AP763" s="289"/>
      <c r="AQ763" s="289"/>
      <c r="AR763" s="289"/>
      <c r="AS763" s="207" t="s">
        <v>4889</v>
      </c>
      <c r="AT763" s="116" t="s">
        <v>3542</v>
      </c>
      <c r="AU763" s="67" t="s">
        <v>4888</v>
      </c>
      <c r="AW763" s="67" t="s">
        <v>1208</v>
      </c>
      <c r="AX763" s="79" t="s">
        <v>106</v>
      </c>
      <c r="AY763" s="76">
        <v>94401</v>
      </c>
      <c r="AZ763" s="77" t="s">
        <v>4887</v>
      </c>
      <c r="BA763" s="78"/>
    </row>
    <row r="764" spans="1:53" ht="12.75" customHeight="1" x14ac:dyDescent="0.25">
      <c r="A764" s="258" t="s">
        <v>4890</v>
      </c>
      <c r="B764" s="66" t="s">
        <v>98</v>
      </c>
      <c r="C764" s="68" t="s">
        <v>563</v>
      </c>
      <c r="E764" s="118" t="s">
        <v>100</v>
      </c>
      <c r="F764" s="80"/>
      <c r="G764" s="81"/>
      <c r="H764" s="92" t="s">
        <v>100</v>
      </c>
      <c r="I764" s="86"/>
      <c r="J764" s="96"/>
      <c r="K764" s="297">
        <v>46000</v>
      </c>
      <c r="M764" s="298">
        <v>44312</v>
      </c>
      <c r="N764" s="128" t="s">
        <v>4891</v>
      </c>
      <c r="O764" s="128" t="s">
        <v>4892</v>
      </c>
      <c r="Q764" s="132">
        <v>9.1249999999999998E-2</v>
      </c>
      <c r="R764" s="132">
        <v>8.7499999999999994E-2</v>
      </c>
      <c r="S764" s="63" t="s">
        <v>177</v>
      </c>
      <c r="T764" s="67" t="s">
        <v>4893</v>
      </c>
      <c r="U764" s="67" t="s">
        <v>2595</v>
      </c>
      <c r="V764" s="79" t="s">
        <v>106</v>
      </c>
      <c r="W764" s="76">
        <v>95054</v>
      </c>
      <c r="X764" s="141" t="s">
        <v>6399</v>
      </c>
      <c r="Y764" s="139" t="s">
        <v>6402</v>
      </c>
      <c r="Z764" s="226" t="s">
        <v>6400</v>
      </c>
      <c r="AC764" s="136" t="s">
        <v>4875</v>
      </c>
      <c r="AD764" s="79" t="s">
        <v>4876</v>
      </c>
      <c r="AI764" s="135" t="s">
        <v>0</v>
      </c>
      <c r="AJ764" s="135" t="s">
        <v>116</v>
      </c>
      <c r="AL764" s="289" t="s">
        <v>289</v>
      </c>
      <c r="AM764" s="289">
        <v>13305</v>
      </c>
      <c r="AN764" s="289"/>
      <c r="AO764" s="289">
        <v>62245</v>
      </c>
      <c r="AP764" s="289"/>
      <c r="AQ764" s="289"/>
      <c r="AR764" s="289"/>
      <c r="AS764" s="207" t="s">
        <v>4894</v>
      </c>
      <c r="AT764" s="116" t="s">
        <v>3542</v>
      </c>
      <c r="AU764" s="67" t="s">
        <v>4893</v>
      </c>
      <c r="AW764" s="67" t="s">
        <v>2595</v>
      </c>
      <c r="AX764" s="79" t="s">
        <v>106</v>
      </c>
      <c r="AY764" s="76">
        <v>95054</v>
      </c>
      <c r="AZ764" s="77" t="s">
        <v>4876</v>
      </c>
      <c r="BA764" s="207"/>
    </row>
    <row r="765" spans="1:53" ht="12.75" customHeight="1" x14ac:dyDescent="0.25">
      <c r="A765" s="258" t="s">
        <v>4895</v>
      </c>
      <c r="B765" s="66" t="s">
        <v>98</v>
      </c>
      <c r="C765" s="68" t="s">
        <v>563</v>
      </c>
      <c r="E765" s="118" t="s">
        <v>100</v>
      </c>
      <c r="F765" s="80"/>
      <c r="G765" s="81"/>
      <c r="H765" s="92" t="s">
        <v>100</v>
      </c>
      <c r="I765" s="86"/>
      <c r="J765" s="96"/>
      <c r="K765" s="297">
        <v>45909</v>
      </c>
      <c r="M765" s="298">
        <v>44832</v>
      </c>
      <c r="N765" s="128" t="s">
        <v>1677</v>
      </c>
      <c r="O765" s="128" t="s">
        <v>4896</v>
      </c>
      <c r="Q765" s="132">
        <v>0.1</v>
      </c>
      <c r="R765" s="132">
        <v>8.2500000000000004E-2</v>
      </c>
      <c r="S765" s="63" t="s">
        <v>186</v>
      </c>
      <c r="T765" s="67" t="s">
        <v>4897</v>
      </c>
      <c r="U765" s="67" t="s">
        <v>188</v>
      </c>
      <c r="V765" s="79" t="s">
        <v>106</v>
      </c>
      <c r="W765" s="76">
        <v>95405</v>
      </c>
      <c r="X765" s="141" t="s">
        <v>6399</v>
      </c>
      <c r="Y765" s="139" t="s">
        <v>6406</v>
      </c>
      <c r="Z765" s="226" t="s">
        <v>6400</v>
      </c>
      <c r="AA765" s="79" t="s">
        <v>4898</v>
      </c>
      <c r="AC765" s="136" t="s">
        <v>4875</v>
      </c>
      <c r="AD765" s="79" t="s">
        <v>4876</v>
      </c>
      <c r="AL765" s="289" t="s">
        <v>289</v>
      </c>
      <c r="AM765" s="289">
        <v>13305</v>
      </c>
      <c r="AN765" s="289"/>
      <c r="AO765" s="289">
        <v>62245</v>
      </c>
      <c r="AP765" s="289"/>
      <c r="AQ765" s="289"/>
      <c r="AR765" s="289"/>
      <c r="AS765" s="207" t="s">
        <v>4899</v>
      </c>
      <c r="AT765" s="116" t="s">
        <v>3542</v>
      </c>
      <c r="AU765" s="67" t="s">
        <v>4897</v>
      </c>
      <c r="AW765" s="67" t="s">
        <v>188</v>
      </c>
      <c r="AX765" s="79" t="s">
        <v>106</v>
      </c>
      <c r="AY765" s="76">
        <v>95405</v>
      </c>
      <c r="AZ765" s="77" t="s">
        <v>4896</v>
      </c>
      <c r="BA765" s="207"/>
    </row>
    <row r="766" spans="1:53" ht="12.75" customHeight="1" x14ac:dyDescent="0.25">
      <c r="A766" s="258" t="s">
        <v>4900</v>
      </c>
      <c r="B766" s="66" t="s">
        <v>98</v>
      </c>
      <c r="C766" s="68" t="s">
        <v>563</v>
      </c>
      <c r="E766" s="118" t="s">
        <v>100</v>
      </c>
      <c r="F766" s="80"/>
      <c r="G766" s="81"/>
      <c r="H766" s="92" t="s">
        <v>100</v>
      </c>
      <c r="I766" s="86"/>
      <c r="J766" s="96"/>
      <c r="K766" s="297">
        <v>45866</v>
      </c>
      <c r="M766" s="298">
        <v>44729</v>
      </c>
      <c r="N766" s="128" t="s">
        <v>4901</v>
      </c>
      <c r="O766" s="128" t="s">
        <v>4902</v>
      </c>
      <c r="P766" s="59" t="s">
        <v>4903</v>
      </c>
      <c r="Q766" s="132">
        <v>0.1075</v>
      </c>
      <c r="R766" s="132">
        <v>0.1</v>
      </c>
      <c r="S766" s="63" t="s">
        <v>2618</v>
      </c>
      <c r="T766" s="67" t="s">
        <v>4904</v>
      </c>
      <c r="U766" s="67" t="s">
        <v>2620</v>
      </c>
      <c r="V766" s="79" t="s">
        <v>106</v>
      </c>
      <c r="W766" s="76">
        <v>94587</v>
      </c>
      <c r="X766" s="141" t="s">
        <v>6399</v>
      </c>
      <c r="Y766" s="139" t="s">
        <v>6405</v>
      </c>
      <c r="Z766" s="226" t="s">
        <v>6400</v>
      </c>
      <c r="AA766" s="79" t="s">
        <v>4905</v>
      </c>
      <c r="AC766" s="136" t="s">
        <v>4875</v>
      </c>
      <c r="AD766" s="79" t="s">
        <v>4876</v>
      </c>
      <c r="AJ766" s="135" t="s">
        <v>116</v>
      </c>
      <c r="AL766" s="289" t="s">
        <v>289</v>
      </c>
      <c r="AM766" s="289">
        <v>13305</v>
      </c>
      <c r="AN766" s="289"/>
      <c r="AO766" s="289">
        <v>62245</v>
      </c>
      <c r="AP766" s="289"/>
      <c r="AQ766" s="289"/>
      <c r="AR766" s="289"/>
      <c r="AS766" s="207" t="s">
        <v>4906</v>
      </c>
      <c r="AT766" s="116" t="s">
        <v>3542</v>
      </c>
      <c r="AU766" s="67" t="s">
        <v>4904</v>
      </c>
      <c r="AW766" s="67" t="s">
        <v>2620</v>
      </c>
      <c r="AX766" s="79" t="s">
        <v>106</v>
      </c>
      <c r="AY766" s="76">
        <v>94587</v>
      </c>
      <c r="AZ766" s="77" t="s">
        <v>4876</v>
      </c>
      <c r="BA766" s="207"/>
    </row>
    <row r="767" spans="1:53" ht="12.75" customHeight="1" x14ac:dyDescent="0.25">
      <c r="A767" s="258" t="s">
        <v>4907</v>
      </c>
      <c r="B767" s="66" t="s">
        <v>98</v>
      </c>
      <c r="C767" s="68" t="s">
        <v>563</v>
      </c>
      <c r="E767" s="118" t="s">
        <v>100</v>
      </c>
      <c r="F767" s="80"/>
      <c r="G767" s="81"/>
      <c r="H767" s="92" t="s">
        <v>100</v>
      </c>
      <c r="I767" s="86"/>
      <c r="J767" s="96"/>
      <c r="K767" s="297">
        <v>45979</v>
      </c>
      <c r="M767" s="298"/>
      <c r="N767" s="128" t="s">
        <v>813</v>
      </c>
      <c r="O767" s="128" t="s">
        <v>4908</v>
      </c>
      <c r="Q767" s="132">
        <v>9.2499999999999999E-2</v>
      </c>
      <c r="R767" s="132">
        <v>8.5000000000000006E-2</v>
      </c>
      <c r="S767" s="63" t="s">
        <v>205</v>
      </c>
      <c r="T767" s="67" t="s">
        <v>4909</v>
      </c>
      <c r="U767" s="67" t="s">
        <v>207</v>
      </c>
      <c r="V767" s="79" t="s">
        <v>106</v>
      </c>
      <c r="W767" s="76">
        <v>94596</v>
      </c>
      <c r="X767" s="141" t="s">
        <v>6399</v>
      </c>
      <c r="Y767" s="139" t="s">
        <v>6401</v>
      </c>
      <c r="Z767" s="226" t="s">
        <v>6400</v>
      </c>
      <c r="AA767" s="79" t="s">
        <v>4910</v>
      </c>
      <c r="AC767" s="136" t="s">
        <v>4875</v>
      </c>
      <c r="AD767" s="79" t="s">
        <v>4876</v>
      </c>
      <c r="AI767" s="135" t="s">
        <v>4911</v>
      </c>
      <c r="AJ767" s="135" t="s">
        <v>116</v>
      </c>
      <c r="AL767" s="289" t="s">
        <v>289</v>
      </c>
      <c r="AM767" s="289">
        <v>13305</v>
      </c>
      <c r="AN767" s="289"/>
      <c r="AO767" s="289">
        <v>62245</v>
      </c>
      <c r="AP767" s="289"/>
      <c r="AQ767" s="289"/>
      <c r="AR767" s="289"/>
      <c r="AS767" s="207" t="s">
        <v>4912</v>
      </c>
      <c r="AT767" s="116" t="s">
        <v>3542</v>
      </c>
      <c r="AU767" s="67" t="s">
        <v>4909</v>
      </c>
      <c r="AW767" s="67" t="s">
        <v>207</v>
      </c>
      <c r="AX767" s="79" t="s">
        <v>3545</v>
      </c>
      <c r="AY767" s="76">
        <v>94596</v>
      </c>
      <c r="AZ767" s="77" t="s">
        <v>4876</v>
      </c>
      <c r="BA767" s="207"/>
    </row>
    <row r="768" spans="1:53" ht="12.75" customHeight="1" x14ac:dyDescent="0.25">
      <c r="A768" s="258" t="s">
        <v>4913</v>
      </c>
      <c r="B768" s="66" t="s">
        <v>98</v>
      </c>
      <c r="C768" s="68" t="s">
        <v>563</v>
      </c>
      <c r="E768" s="118" t="s">
        <v>100</v>
      </c>
      <c r="F768" s="80"/>
      <c r="G768" s="81"/>
      <c r="H768" s="92" t="s">
        <v>100</v>
      </c>
      <c r="I768" s="86"/>
      <c r="J768" s="96"/>
      <c r="K768" s="297">
        <v>45790</v>
      </c>
      <c r="M768" s="298">
        <v>44652</v>
      </c>
      <c r="N768" s="128" t="s">
        <v>1187</v>
      </c>
      <c r="O768" s="128" t="s">
        <v>4914</v>
      </c>
      <c r="P768" s="59" t="s">
        <v>4915</v>
      </c>
      <c r="Q768" s="132">
        <v>9.375E-2</v>
      </c>
      <c r="R768" s="132">
        <v>0.09</v>
      </c>
      <c r="S768" s="63" t="s">
        <v>146</v>
      </c>
      <c r="T768" s="67" t="s">
        <v>4916</v>
      </c>
      <c r="U768" s="67" t="s">
        <v>148</v>
      </c>
      <c r="V768" s="79" t="s">
        <v>106</v>
      </c>
      <c r="W768" s="76">
        <v>95129</v>
      </c>
      <c r="X768" s="141" t="s">
        <v>6399</v>
      </c>
      <c r="Y768" s="139" t="s">
        <v>6407</v>
      </c>
      <c r="Z768" s="226" t="s">
        <v>6400</v>
      </c>
      <c r="AA768" s="79" t="s">
        <v>4917</v>
      </c>
      <c r="AB768" s="135" t="s">
        <v>4918</v>
      </c>
      <c r="AC768" s="136" t="s">
        <v>4875</v>
      </c>
      <c r="AD768" s="79" t="s">
        <v>4876</v>
      </c>
      <c r="AJ768" s="135" t="s">
        <v>116</v>
      </c>
      <c r="AL768" s="289" t="s">
        <v>289</v>
      </c>
      <c r="AM768" s="289">
        <v>13305</v>
      </c>
      <c r="AN768" s="289"/>
      <c r="AO768" s="289">
        <v>62245</v>
      </c>
      <c r="AP768" s="289"/>
      <c r="AQ768" s="289"/>
      <c r="AR768" s="289"/>
      <c r="AS768" s="207" t="s">
        <v>4919</v>
      </c>
      <c r="AT768" s="116" t="s">
        <v>3542</v>
      </c>
      <c r="AU768" s="67" t="s">
        <v>4916</v>
      </c>
      <c r="AW768" s="67" t="s">
        <v>148</v>
      </c>
      <c r="AX768" s="79" t="s">
        <v>106</v>
      </c>
      <c r="AY768" s="76">
        <v>95129</v>
      </c>
      <c r="AZ768" s="77" t="s">
        <v>4876</v>
      </c>
      <c r="BA768" s="207"/>
    </row>
    <row r="769" spans="1:53" ht="12.75" customHeight="1" x14ac:dyDescent="0.4">
      <c r="A769" s="258" t="s">
        <v>4920</v>
      </c>
      <c r="B769" s="66" t="s">
        <v>125</v>
      </c>
      <c r="C769" s="224" t="s">
        <v>563</v>
      </c>
      <c r="D769" s="113" t="s">
        <v>4582</v>
      </c>
      <c r="E769" s="120" t="s">
        <v>100</v>
      </c>
      <c r="F769" s="82"/>
      <c r="G769" s="84"/>
      <c r="H769" s="125" t="s">
        <v>100</v>
      </c>
      <c r="I769" s="91"/>
      <c r="J769" s="97"/>
      <c r="K769" s="294">
        <v>44641</v>
      </c>
      <c r="L769" s="332"/>
      <c r="M769" s="295">
        <v>45110</v>
      </c>
      <c r="N769" s="113" t="s">
        <v>3120</v>
      </c>
      <c r="O769" s="113" t="s">
        <v>4921</v>
      </c>
      <c r="P769" s="57" t="s">
        <v>4922</v>
      </c>
      <c r="Q769" s="132">
        <v>8.6249999999999993E-2</v>
      </c>
      <c r="R769" s="132">
        <v>8.7499999999999994E-2</v>
      </c>
      <c r="S769" s="63" t="s">
        <v>103</v>
      </c>
      <c r="T769" s="67" t="s">
        <v>4923</v>
      </c>
      <c r="U769" s="67" t="s">
        <v>105</v>
      </c>
      <c r="V769" s="113" t="s">
        <v>106</v>
      </c>
      <c r="W769" s="222">
        <v>94115</v>
      </c>
      <c r="X769" s="139" t="s">
        <v>4924</v>
      </c>
      <c r="Y769" s="139" t="s">
        <v>4924</v>
      </c>
      <c r="Z769" s="139" t="s">
        <v>4924</v>
      </c>
      <c r="AA769" s="200" t="s">
        <v>2652</v>
      </c>
      <c r="AB769" s="130" t="s">
        <v>4925</v>
      </c>
      <c r="AC769" s="202"/>
      <c r="AD769" s="200"/>
      <c r="AE769" s="113"/>
      <c r="AF769" s="113"/>
      <c r="AG769" s="113"/>
      <c r="AH769" s="113"/>
      <c r="AI769" s="130" t="s">
        <v>0</v>
      </c>
      <c r="AJ769" s="135" t="s">
        <v>116</v>
      </c>
      <c r="AK769" s="57"/>
      <c r="AL769" s="287">
        <v>15157</v>
      </c>
      <c r="AM769" s="288">
        <v>3501</v>
      </c>
      <c r="AS769" s="207" t="s">
        <v>132</v>
      </c>
      <c r="AT769" s="116" t="s">
        <v>447</v>
      </c>
      <c r="AU769" s="67" t="str">
        <f>PROPER(AV769)</f>
        <v>2500 Geary Blvd</v>
      </c>
      <c r="AV769" s="251" t="s">
        <v>4926</v>
      </c>
      <c r="AW769" s="67" t="s">
        <v>105</v>
      </c>
      <c r="AX769" s="113" t="s">
        <v>106</v>
      </c>
      <c r="AY769" s="222">
        <v>94115</v>
      </c>
      <c r="AZ769" s="199" t="s">
        <v>4921</v>
      </c>
      <c r="BA769" s="207"/>
    </row>
    <row r="770" spans="1:53" ht="12.75" customHeight="1" x14ac:dyDescent="0.25">
      <c r="A770" s="258" t="s">
        <v>4927</v>
      </c>
      <c r="B770" s="66" t="s">
        <v>125</v>
      </c>
      <c r="C770" s="68" t="s">
        <v>99</v>
      </c>
      <c r="D770" s="79" t="s">
        <v>4928</v>
      </c>
      <c r="E770" s="118" t="s">
        <v>100</v>
      </c>
      <c r="F770" s="80"/>
      <c r="G770" s="81"/>
      <c r="H770" s="92" t="s">
        <v>100</v>
      </c>
      <c r="I770" s="86"/>
      <c r="J770" s="96"/>
      <c r="K770" s="297">
        <v>42733</v>
      </c>
      <c r="M770" s="298">
        <v>44448</v>
      </c>
      <c r="N770" s="128" t="s">
        <v>657</v>
      </c>
      <c r="O770" s="128" t="s">
        <v>4929</v>
      </c>
      <c r="P770" s="59" t="s">
        <v>4930</v>
      </c>
      <c r="Q770" s="132">
        <v>8.6249999999999993E-2</v>
      </c>
      <c r="R770" s="132">
        <v>8.7499999999999994E-2</v>
      </c>
      <c r="S770" s="63" t="s">
        <v>103</v>
      </c>
      <c r="T770" s="67" t="s">
        <v>4931</v>
      </c>
      <c r="U770" s="67" t="s">
        <v>105</v>
      </c>
      <c r="V770" s="79" t="s">
        <v>106</v>
      </c>
      <c r="W770" s="76">
        <v>94109</v>
      </c>
      <c r="AI770" s="135" t="s">
        <v>4932</v>
      </c>
      <c r="AL770" s="289"/>
      <c r="AM770" s="289"/>
      <c r="AN770" s="289"/>
      <c r="AO770" s="289">
        <v>67655</v>
      </c>
      <c r="AP770" s="289"/>
      <c r="AQ770" s="289"/>
      <c r="AR770" s="289"/>
      <c r="AS770" s="207" t="s">
        <v>132</v>
      </c>
      <c r="AT770" s="116" t="s">
        <v>447</v>
      </c>
      <c r="AU770" s="67" t="s">
        <v>4931</v>
      </c>
      <c r="AW770" s="67" t="s">
        <v>105</v>
      </c>
      <c r="AX770" s="79" t="s">
        <v>106</v>
      </c>
      <c r="AY770" s="76">
        <v>94109</v>
      </c>
      <c r="AZ770" s="77" t="s">
        <v>4929</v>
      </c>
      <c r="BA770" s="207"/>
    </row>
    <row r="771" spans="1:53" ht="12.75" customHeight="1" x14ac:dyDescent="0.4">
      <c r="A771" s="258" t="s">
        <v>4933</v>
      </c>
      <c r="B771" s="66" t="s">
        <v>125</v>
      </c>
      <c r="C771" s="224" t="s">
        <v>99</v>
      </c>
      <c r="D771" s="115" t="s">
        <v>3663</v>
      </c>
      <c r="E771" s="120" t="s">
        <v>100</v>
      </c>
      <c r="F771" s="82"/>
      <c r="G771" s="84"/>
      <c r="H771" s="90" t="s">
        <v>100</v>
      </c>
      <c r="I771" s="91"/>
      <c r="J771" s="97"/>
      <c r="K771" s="294"/>
      <c r="L771" s="332"/>
      <c r="M771" s="295">
        <v>44586</v>
      </c>
      <c r="N771" s="113" t="s">
        <v>4934</v>
      </c>
      <c r="O771" s="113" t="s">
        <v>4935</v>
      </c>
      <c r="P771" s="57" t="s">
        <v>4936</v>
      </c>
      <c r="Q771" s="132">
        <v>9.5000000000000001E-2</v>
      </c>
      <c r="R771" s="132"/>
      <c r="S771" s="63" t="s">
        <v>6341</v>
      </c>
      <c r="T771" s="67" t="s">
        <v>4937</v>
      </c>
      <c r="U771" s="67" t="s">
        <v>869</v>
      </c>
      <c r="V771" s="113" t="s">
        <v>106</v>
      </c>
      <c r="W771" s="222">
        <v>95476</v>
      </c>
      <c r="X771" s="141"/>
      <c r="Z771" s="236"/>
      <c r="AA771" s="200"/>
      <c r="AB771" s="130"/>
      <c r="AC771" s="202"/>
      <c r="AD771" s="200"/>
      <c r="AE771" s="113"/>
      <c r="AF771" s="113"/>
      <c r="AG771" s="113"/>
      <c r="AH771" s="113"/>
      <c r="AI771" s="130"/>
      <c r="AK771" s="57"/>
      <c r="AS771" s="207"/>
      <c r="AU771" s="67" t="s">
        <v>4937</v>
      </c>
      <c r="AV771" s="251"/>
      <c r="AW771" s="67" t="s">
        <v>869</v>
      </c>
      <c r="AX771" s="113" t="s">
        <v>106</v>
      </c>
      <c r="AY771" s="222">
        <v>95476</v>
      </c>
      <c r="AZ771" s="199" t="s">
        <v>4935</v>
      </c>
      <c r="BA771" s="317"/>
    </row>
    <row r="772" spans="1:53" ht="12.75" customHeight="1" x14ac:dyDescent="0.4">
      <c r="A772" s="258" t="s">
        <v>4938</v>
      </c>
      <c r="B772" s="66" t="s">
        <v>98</v>
      </c>
      <c r="C772" s="68" t="s">
        <v>99</v>
      </c>
      <c r="E772" s="120" t="s">
        <v>100</v>
      </c>
      <c r="F772" s="82"/>
      <c r="G772" s="84"/>
      <c r="H772" s="90" t="s">
        <v>100</v>
      </c>
      <c r="I772" s="91"/>
      <c r="J772" s="97"/>
      <c r="K772" s="294">
        <v>45044</v>
      </c>
      <c r="L772" s="332"/>
      <c r="M772" s="295"/>
      <c r="N772" s="128" t="s">
        <v>4939</v>
      </c>
      <c r="O772" s="128" t="s">
        <v>4940</v>
      </c>
      <c r="Q772" s="131">
        <v>8.2500000000000004E-2</v>
      </c>
      <c r="S772" s="63" t="s">
        <v>2343</v>
      </c>
      <c r="T772" s="67" t="s">
        <v>4941</v>
      </c>
      <c r="U772" s="67" t="s">
        <v>2343</v>
      </c>
      <c r="V772" s="79" t="s">
        <v>106</v>
      </c>
      <c r="W772" s="76">
        <v>95376</v>
      </c>
      <c r="AL772" s="287" t="s">
        <v>251</v>
      </c>
      <c r="AS772" s="207" t="s">
        <v>132</v>
      </c>
      <c r="AT772" s="116" t="s">
        <v>532</v>
      </c>
      <c r="AU772" s="67" t="s">
        <v>4941</v>
      </c>
      <c r="AW772" s="67" t="s">
        <v>2343</v>
      </c>
      <c r="AX772" s="79" t="s">
        <v>106</v>
      </c>
      <c r="AY772" s="76">
        <v>95376</v>
      </c>
      <c r="AZ772" s="77" t="s">
        <v>4940</v>
      </c>
    </row>
    <row r="773" spans="1:53" ht="12.75" customHeight="1" x14ac:dyDescent="0.4">
      <c r="A773" s="258" t="s">
        <v>4942</v>
      </c>
      <c r="B773" s="66" t="s">
        <v>244</v>
      </c>
      <c r="C773" s="224" t="s">
        <v>3452</v>
      </c>
      <c r="D773" s="115"/>
      <c r="E773" s="120" t="s">
        <v>173</v>
      </c>
      <c r="F773" s="82" t="s">
        <v>174</v>
      </c>
      <c r="G773" s="84"/>
      <c r="H773" s="90"/>
      <c r="I773" s="91"/>
      <c r="J773" s="97"/>
      <c r="K773" s="294">
        <v>44774</v>
      </c>
      <c r="L773" s="332"/>
      <c r="M773" s="295"/>
      <c r="N773" s="113" t="s">
        <v>1053</v>
      </c>
      <c r="O773" s="113" t="s">
        <v>4943</v>
      </c>
      <c r="P773" s="57"/>
      <c r="Q773" s="132">
        <v>7.2499999999999995E-2</v>
      </c>
      <c r="R773" s="132"/>
      <c r="S773" s="63" t="s">
        <v>2208</v>
      </c>
      <c r="T773" s="67" t="s">
        <v>4944</v>
      </c>
      <c r="U773" s="67" t="s">
        <v>4945</v>
      </c>
      <c r="V773" s="113" t="s">
        <v>106</v>
      </c>
      <c r="W773" s="222">
        <v>96143</v>
      </c>
      <c r="X773" s="141"/>
      <c r="Z773" s="236"/>
      <c r="AA773" s="200"/>
      <c r="AB773" s="130"/>
      <c r="AC773" s="202"/>
      <c r="AD773" s="200"/>
      <c r="AE773" s="113"/>
      <c r="AF773" s="113"/>
      <c r="AG773" s="113"/>
      <c r="AH773" s="113"/>
      <c r="AI773" s="130"/>
      <c r="AK773" s="57"/>
      <c r="AM773" s="288" t="s">
        <v>545</v>
      </c>
      <c r="AS773" s="207"/>
      <c r="AT773" s="116" t="s">
        <v>1498</v>
      </c>
      <c r="AU773" s="67" t="s">
        <v>4944</v>
      </c>
      <c r="AV773" s="251"/>
      <c r="AW773" s="67" t="s">
        <v>4945</v>
      </c>
      <c r="AX773" s="113" t="s">
        <v>106</v>
      </c>
      <c r="AY773" s="222">
        <v>96143</v>
      </c>
      <c r="AZ773" s="199" t="s">
        <v>4943</v>
      </c>
      <c r="BA773" s="317"/>
    </row>
    <row r="774" spans="1:53" ht="12.75" customHeight="1" x14ac:dyDescent="0.4">
      <c r="A774" s="258" t="s">
        <v>4946</v>
      </c>
      <c r="B774" s="66" t="s">
        <v>98</v>
      </c>
      <c r="C774" s="224" t="s">
        <v>563</v>
      </c>
      <c r="D774" s="115"/>
      <c r="E774" s="120" t="s">
        <v>100</v>
      </c>
      <c r="F774" s="82"/>
      <c r="G774" s="84"/>
      <c r="H774" s="90" t="s">
        <v>100</v>
      </c>
      <c r="I774" s="91"/>
      <c r="J774" s="97"/>
      <c r="K774" s="294">
        <v>44783</v>
      </c>
      <c r="L774" s="332"/>
      <c r="M774" s="295"/>
      <c r="N774" s="113" t="s">
        <v>4947</v>
      </c>
      <c r="O774" s="113" t="s">
        <v>4948</v>
      </c>
      <c r="P774" s="57"/>
      <c r="Q774" s="132">
        <v>0.10249999999999999</v>
      </c>
      <c r="R774" s="132"/>
      <c r="S774" s="63" t="s">
        <v>113</v>
      </c>
      <c r="T774" s="67" t="s">
        <v>4949</v>
      </c>
      <c r="U774" s="67" t="s">
        <v>115</v>
      </c>
      <c r="V774" s="113" t="s">
        <v>106</v>
      </c>
      <c r="W774" s="222">
        <v>94612</v>
      </c>
      <c r="X774" s="139" t="s">
        <v>4950</v>
      </c>
      <c r="Y774" s="139" t="s">
        <v>4950</v>
      </c>
      <c r="Z774" s="139" t="s">
        <v>4951</v>
      </c>
      <c r="AA774" s="200"/>
      <c r="AB774" s="130"/>
      <c r="AC774" s="202"/>
      <c r="AD774" s="200"/>
      <c r="AE774" s="113"/>
      <c r="AF774" s="113"/>
      <c r="AG774" s="113"/>
      <c r="AH774" s="113"/>
      <c r="AI774" s="130"/>
      <c r="AK774" s="57"/>
      <c r="AL774" s="287" t="s">
        <v>251</v>
      </c>
      <c r="AM774" s="288" t="s">
        <v>405</v>
      </c>
      <c r="AN774" s="288" t="s">
        <v>198</v>
      </c>
      <c r="AO774" s="288">
        <v>62245</v>
      </c>
      <c r="AS774" s="207"/>
      <c r="AU774" s="67" t="s">
        <v>4949</v>
      </c>
      <c r="AV774" s="251"/>
      <c r="AW774" s="67" t="s">
        <v>115</v>
      </c>
      <c r="AX774" s="113" t="s">
        <v>106</v>
      </c>
      <c r="AY774" s="222">
        <v>94612</v>
      </c>
      <c r="AZ774" s="199" t="s">
        <v>4948</v>
      </c>
      <c r="BA774" s="317"/>
    </row>
    <row r="775" spans="1:53" ht="12.75" customHeight="1" x14ac:dyDescent="0.4">
      <c r="A775" s="258" t="s">
        <v>6428</v>
      </c>
      <c r="B775" s="66" t="s">
        <v>98</v>
      </c>
      <c r="C775" s="224" t="s">
        <v>99</v>
      </c>
      <c r="D775" s="115"/>
      <c r="E775" s="120" t="s">
        <v>100</v>
      </c>
      <c r="F775" s="82"/>
      <c r="G775" s="84"/>
      <c r="H775" s="90" t="s">
        <v>100</v>
      </c>
      <c r="I775" s="91"/>
      <c r="J775" s="97"/>
      <c r="K775" s="294">
        <v>45807</v>
      </c>
      <c r="L775" s="332"/>
      <c r="M775" s="295"/>
      <c r="N775" s="113" t="s">
        <v>6429</v>
      </c>
      <c r="O775" s="113" t="s">
        <v>6430</v>
      </c>
      <c r="P775" s="57"/>
      <c r="Q775" s="132">
        <v>9.2499999999999999E-2</v>
      </c>
      <c r="R775" s="132"/>
      <c r="S775" s="63" t="s">
        <v>205</v>
      </c>
      <c r="T775" s="67" t="s">
        <v>6431</v>
      </c>
      <c r="U775" s="67" t="s">
        <v>2846</v>
      </c>
      <c r="V775" s="113" t="s">
        <v>106</v>
      </c>
      <c r="W775" s="222">
        <v>94549</v>
      </c>
      <c r="X775" s="139" t="s">
        <v>6434</v>
      </c>
      <c r="Y775" s="139"/>
      <c r="Z775" s="139"/>
      <c r="AA775" s="200" t="s">
        <v>4772</v>
      </c>
      <c r="AB775" s="130" t="s">
        <v>4773</v>
      </c>
      <c r="AC775" s="202"/>
      <c r="AD775" s="200"/>
      <c r="AE775" s="113"/>
      <c r="AF775" s="113"/>
      <c r="AG775" s="113"/>
      <c r="AH775" s="113"/>
      <c r="AI775" s="130"/>
      <c r="AK775" s="57"/>
      <c r="AL775" s="287" t="s">
        <v>251</v>
      </c>
      <c r="AM775" s="288" t="s">
        <v>916</v>
      </c>
      <c r="AS775" s="207"/>
      <c r="AU775" s="67" t="s">
        <v>6432</v>
      </c>
      <c r="AV775" s="251"/>
      <c r="AW775" s="67" t="s">
        <v>2846</v>
      </c>
      <c r="AX775" s="113" t="s">
        <v>106</v>
      </c>
      <c r="AY775" s="222">
        <v>94549</v>
      </c>
      <c r="AZ775" s="199" t="s">
        <v>6433</v>
      </c>
      <c r="BA775" s="317"/>
    </row>
    <row r="776" spans="1:53" ht="12.75" customHeight="1" x14ac:dyDescent="0.4">
      <c r="A776" s="258" t="s">
        <v>4952</v>
      </c>
      <c r="B776" s="66" t="s">
        <v>244</v>
      </c>
      <c r="C776" s="224" t="s">
        <v>4744</v>
      </c>
      <c r="D776" s="115"/>
      <c r="E776" s="120" t="s">
        <v>173</v>
      </c>
      <c r="F776" s="82" t="s">
        <v>174</v>
      </c>
      <c r="G776" s="84"/>
      <c r="H776" s="90"/>
      <c r="I776" s="91"/>
      <c r="J776" s="97"/>
      <c r="K776" s="294">
        <v>44656</v>
      </c>
      <c r="L776" s="332"/>
      <c r="M776" s="295"/>
      <c r="N776" s="130" t="s">
        <v>4745</v>
      </c>
      <c r="O776" s="113" t="s">
        <v>4953</v>
      </c>
      <c r="P776" s="57" t="s">
        <v>4954</v>
      </c>
      <c r="Q776" s="132">
        <v>0.1075</v>
      </c>
      <c r="R776" s="132"/>
      <c r="S776" s="63" t="s">
        <v>113</v>
      </c>
      <c r="T776" s="67" t="s">
        <v>4955</v>
      </c>
      <c r="U776" s="67" t="s">
        <v>324</v>
      </c>
      <c r="V776" s="113" t="s">
        <v>106</v>
      </c>
      <c r="W776" s="222">
        <v>94501</v>
      </c>
      <c r="X776" s="141"/>
      <c r="Y776" s="139" t="s">
        <v>4956</v>
      </c>
      <c r="Z776" s="236"/>
      <c r="AA776" s="200"/>
      <c r="AB776" s="130"/>
      <c r="AC776" s="202"/>
      <c r="AD776" s="200"/>
      <c r="AE776" s="113"/>
      <c r="AF776" s="113"/>
      <c r="AG776" s="113"/>
      <c r="AH776" s="113"/>
      <c r="AI776" s="130"/>
      <c r="AK776" s="57"/>
      <c r="AS776" s="207"/>
      <c r="AU776" s="67" t="s">
        <v>4955</v>
      </c>
      <c r="AV776" s="251"/>
      <c r="AW776" s="67" t="s">
        <v>324</v>
      </c>
      <c r="AX776" s="113" t="s">
        <v>106</v>
      </c>
      <c r="AY776" s="222">
        <v>94501</v>
      </c>
      <c r="AZ776" s="199" t="s">
        <v>4953</v>
      </c>
      <c r="BA776" s="317"/>
    </row>
    <row r="777" spans="1:53" ht="12.75" customHeight="1" x14ac:dyDescent="0.4">
      <c r="A777" s="258" t="s">
        <v>4957</v>
      </c>
      <c r="B777" s="66" t="s">
        <v>244</v>
      </c>
      <c r="C777" s="224" t="s">
        <v>4744</v>
      </c>
      <c r="D777" s="115"/>
      <c r="E777" s="120" t="s">
        <v>173</v>
      </c>
      <c r="F777" s="82" t="s">
        <v>174</v>
      </c>
      <c r="G777" s="84"/>
      <c r="H777" s="90"/>
      <c r="I777" s="91"/>
      <c r="J777" s="97"/>
      <c r="K777" s="294">
        <v>44656</v>
      </c>
      <c r="L777" s="332"/>
      <c r="M777" s="295"/>
      <c r="N777" s="113" t="s">
        <v>4745</v>
      </c>
      <c r="O777" s="130" t="s">
        <v>4958</v>
      </c>
      <c r="P777" s="57" t="s">
        <v>4959</v>
      </c>
      <c r="Q777" s="132">
        <v>0.10249999999999999</v>
      </c>
      <c r="R777" s="132"/>
      <c r="S777" s="63" t="s">
        <v>113</v>
      </c>
      <c r="T777" s="67" t="s">
        <v>4960</v>
      </c>
      <c r="U777" s="67" t="s">
        <v>641</v>
      </c>
      <c r="V777" s="113" t="s">
        <v>106</v>
      </c>
      <c r="W777" s="222">
        <v>94707</v>
      </c>
      <c r="X777" s="139" t="s">
        <v>4961</v>
      </c>
      <c r="Y777" s="139" t="s">
        <v>4961</v>
      </c>
      <c r="Z777" s="139" t="s">
        <v>4961</v>
      </c>
      <c r="AA777" s="200"/>
      <c r="AB777" s="130"/>
      <c r="AC777" s="202"/>
      <c r="AD777" s="200"/>
      <c r="AE777" s="113"/>
      <c r="AF777" s="113"/>
      <c r="AG777" s="113"/>
      <c r="AH777" s="113"/>
      <c r="AI777" s="130"/>
      <c r="AK777" s="57"/>
      <c r="AS777" s="207"/>
      <c r="AU777" s="67" t="s">
        <v>4960</v>
      </c>
      <c r="AW777" s="67" t="s">
        <v>641</v>
      </c>
      <c r="AX777" s="113" t="s">
        <v>106</v>
      </c>
      <c r="AY777" s="222">
        <v>94707</v>
      </c>
      <c r="AZ777" s="199" t="s">
        <v>4958</v>
      </c>
      <c r="BA777" s="317"/>
    </row>
    <row r="778" spans="1:53" ht="12.5" customHeight="1" x14ac:dyDescent="0.4">
      <c r="A778" s="258" t="s">
        <v>4962</v>
      </c>
      <c r="B778" s="66" t="s">
        <v>244</v>
      </c>
      <c r="C778" s="224"/>
      <c r="D778" s="115"/>
      <c r="E778" s="120" t="s">
        <v>173</v>
      </c>
      <c r="F778" s="82" t="s">
        <v>174</v>
      </c>
      <c r="G778" s="84"/>
      <c r="H778" s="90"/>
      <c r="I778" s="91"/>
      <c r="J778" s="97"/>
      <c r="K778" s="294">
        <v>44656</v>
      </c>
      <c r="L778" s="332"/>
      <c r="M778" s="295"/>
      <c r="N778" s="113" t="s">
        <v>4745</v>
      </c>
      <c r="O778" s="113" t="s">
        <v>4959</v>
      </c>
      <c r="P778" s="57"/>
      <c r="Q778" s="132">
        <v>9.7500000000000003E-2</v>
      </c>
      <c r="R778" s="132"/>
      <c r="S778" s="63" t="s">
        <v>576</v>
      </c>
      <c r="T778" s="67" t="s">
        <v>4963</v>
      </c>
      <c r="U778" s="67" t="s">
        <v>576</v>
      </c>
      <c r="V778" s="113" t="s">
        <v>106</v>
      </c>
      <c r="W778" s="222">
        <v>94553</v>
      </c>
      <c r="X778" s="141"/>
      <c r="Z778" s="236"/>
      <c r="AA778" s="200"/>
      <c r="AB778" s="130"/>
      <c r="AC778" s="202"/>
      <c r="AD778" s="200"/>
      <c r="AE778" s="113"/>
      <c r="AF778" s="113"/>
      <c r="AG778" s="113"/>
      <c r="AH778" s="113"/>
      <c r="AI778" s="130"/>
      <c r="AK778" s="57"/>
      <c r="AL778" s="287" t="s">
        <v>149</v>
      </c>
      <c r="AM778" s="288">
        <v>15741</v>
      </c>
      <c r="AS778" s="207"/>
      <c r="AU778" s="67" t="s">
        <v>4963</v>
      </c>
      <c r="AV778" s="251"/>
      <c r="AW778" s="67" t="s">
        <v>576</v>
      </c>
      <c r="AX778" s="113" t="s">
        <v>106</v>
      </c>
      <c r="AY778" s="222">
        <v>94553</v>
      </c>
      <c r="AZ778" s="113" t="s">
        <v>4959</v>
      </c>
      <c r="BA778" s="317"/>
    </row>
    <row r="779" spans="1:53" ht="12.5" customHeight="1" x14ac:dyDescent="0.4">
      <c r="A779" s="258" t="s">
        <v>4964</v>
      </c>
      <c r="B779" s="66" t="s">
        <v>244</v>
      </c>
      <c r="C779" s="224" t="s">
        <v>4744</v>
      </c>
      <c r="D779" s="115"/>
      <c r="E779" s="120" t="s">
        <v>173</v>
      </c>
      <c r="F779" s="82" t="s">
        <v>174</v>
      </c>
      <c r="G779" s="84"/>
      <c r="H779" s="90"/>
      <c r="I779" s="91"/>
      <c r="J779" s="97"/>
      <c r="K779" s="294">
        <v>44474</v>
      </c>
      <c r="L779" s="332"/>
      <c r="M779" s="295"/>
      <c r="N779" s="130" t="s">
        <v>4745</v>
      </c>
      <c r="O779" s="113" t="s">
        <v>4746</v>
      </c>
      <c r="P779" s="57"/>
      <c r="Q779" s="132">
        <v>8.3750000000000005E-2</v>
      </c>
      <c r="R779" s="132"/>
      <c r="S779" s="63" t="s">
        <v>303</v>
      </c>
      <c r="T779" s="67" t="s">
        <v>4965</v>
      </c>
      <c r="U779" s="67" t="s">
        <v>305</v>
      </c>
      <c r="V779" s="113" t="s">
        <v>106</v>
      </c>
      <c r="W779" s="222">
        <v>94533</v>
      </c>
      <c r="X779" s="141"/>
      <c r="Y779" s="139" t="s">
        <v>4956</v>
      </c>
      <c r="Z779" s="236"/>
      <c r="AA779" s="200"/>
      <c r="AB779" s="130"/>
      <c r="AC779" s="202"/>
      <c r="AD779" s="200"/>
      <c r="AE779" s="113"/>
      <c r="AF779" s="113"/>
      <c r="AG779" s="113"/>
      <c r="AH779" s="113"/>
      <c r="AI779" s="130"/>
      <c r="AK779" s="57"/>
      <c r="AS779" s="207"/>
      <c r="AU779" s="67" t="s">
        <v>4965</v>
      </c>
      <c r="AV779" s="251"/>
      <c r="AW779" s="67" t="s">
        <v>305</v>
      </c>
      <c r="AX779" s="113" t="s">
        <v>106</v>
      </c>
      <c r="AY779" s="222">
        <v>94533</v>
      </c>
      <c r="AZ779" s="199" t="s">
        <v>4746</v>
      </c>
      <c r="BA779" s="317"/>
    </row>
    <row r="780" spans="1:53" ht="12.5" customHeight="1" x14ac:dyDescent="0.4">
      <c r="A780" s="258" t="s">
        <v>4966</v>
      </c>
      <c r="B780" s="66" t="s">
        <v>125</v>
      </c>
      <c r="C780" s="225" t="s">
        <v>99</v>
      </c>
      <c r="D780" s="112" t="s">
        <v>1895</v>
      </c>
      <c r="E780" s="119" t="s">
        <v>100</v>
      </c>
      <c r="F780" s="83"/>
      <c r="G780" s="209"/>
      <c r="H780" s="88" t="s">
        <v>100</v>
      </c>
      <c r="I780" s="89"/>
      <c r="J780" s="98"/>
      <c r="K780" s="300">
        <v>45007</v>
      </c>
      <c r="L780" s="364"/>
      <c r="M780" s="301">
        <v>44743</v>
      </c>
      <c r="N780" s="112" t="s">
        <v>794</v>
      </c>
      <c r="O780" s="112" t="s">
        <v>4967</v>
      </c>
      <c r="P780" s="198"/>
      <c r="Q780" s="132">
        <v>9.2499999999999999E-2</v>
      </c>
      <c r="R780" s="132">
        <v>8.7499999999999994E-2</v>
      </c>
      <c r="S780" s="63" t="s">
        <v>420</v>
      </c>
      <c r="T780" s="198" t="s">
        <v>4968</v>
      </c>
      <c r="U780" s="198" t="s">
        <v>420</v>
      </c>
      <c r="V780" s="112" t="s">
        <v>106</v>
      </c>
      <c r="W780" s="205">
        <v>94947</v>
      </c>
      <c r="X780" s="141"/>
      <c r="Y780" s="205"/>
      <c r="Z780" s="205"/>
      <c r="AA780" s="203"/>
      <c r="AB780" s="205"/>
      <c r="AC780" s="206"/>
      <c r="AD780" s="203"/>
      <c r="AE780" s="205"/>
      <c r="AF780" s="205"/>
      <c r="AG780" s="205"/>
      <c r="AH780" s="205"/>
      <c r="AI780" s="205"/>
      <c r="AJ780" s="205"/>
      <c r="AK780" s="318"/>
      <c r="AL780" s="287">
        <v>15157</v>
      </c>
      <c r="AS780" s="207" t="s">
        <v>132</v>
      </c>
      <c r="AT780" s="116" t="s">
        <v>447</v>
      </c>
      <c r="AU780" s="198" t="str">
        <f>T780</f>
        <v>1535-C So. Novato Blvd</v>
      </c>
      <c r="AV780" s="39"/>
      <c r="AW780" s="198" t="s">
        <v>420</v>
      </c>
      <c r="AX780" s="112" t="s">
        <v>106</v>
      </c>
      <c r="AY780" s="205">
        <v>94947</v>
      </c>
      <c r="AZ780" s="198" t="s">
        <v>2326</v>
      </c>
    </row>
    <row r="781" spans="1:53" ht="12.75" customHeight="1" x14ac:dyDescent="0.4">
      <c r="A781" s="258" t="s">
        <v>4969</v>
      </c>
      <c r="B781" s="66" t="s">
        <v>125</v>
      </c>
      <c r="C781" s="224" t="s">
        <v>99</v>
      </c>
      <c r="D781" s="115"/>
      <c r="E781" s="120" t="s">
        <v>100</v>
      </c>
      <c r="F781" s="82"/>
      <c r="G781" s="84"/>
      <c r="H781" s="90" t="s">
        <v>100</v>
      </c>
      <c r="I781" s="91"/>
      <c r="J781" s="97"/>
      <c r="K781" s="294">
        <v>44992</v>
      </c>
      <c r="L781" s="332"/>
      <c r="M781" s="295">
        <v>44992</v>
      </c>
      <c r="N781" s="113" t="s">
        <v>789</v>
      </c>
      <c r="O781" s="113" t="s">
        <v>4967</v>
      </c>
      <c r="P781" s="57" t="s">
        <v>4970</v>
      </c>
      <c r="Q781" s="132">
        <v>0.10249999999999999</v>
      </c>
      <c r="R781" s="132"/>
      <c r="S781" s="63" t="s">
        <v>3220</v>
      </c>
      <c r="T781" s="67" t="s">
        <v>4971</v>
      </c>
      <c r="U781" s="67" t="s">
        <v>3220</v>
      </c>
      <c r="V781" s="113" t="s">
        <v>106</v>
      </c>
      <c r="W781" s="222">
        <v>94931</v>
      </c>
      <c r="X781" s="141"/>
      <c r="Z781" s="236"/>
      <c r="AA781" s="200"/>
      <c r="AB781" s="130"/>
      <c r="AC781" s="202"/>
      <c r="AD781" s="200"/>
      <c r="AE781" s="113"/>
      <c r="AF781" s="113"/>
      <c r="AG781" s="113"/>
      <c r="AH781" s="113"/>
      <c r="AI781" s="130"/>
      <c r="AK781" s="57"/>
      <c r="AQ781" s="288" t="s">
        <v>4972</v>
      </c>
      <c r="AS781" s="207"/>
      <c r="AU781" s="67" t="s">
        <v>4971</v>
      </c>
      <c r="AV781" s="251"/>
      <c r="AW781" s="67" t="s">
        <v>3220</v>
      </c>
      <c r="AX781" s="113" t="s">
        <v>106</v>
      </c>
      <c r="AY781" s="222">
        <v>94931</v>
      </c>
      <c r="AZ781" s="199" t="s">
        <v>4967</v>
      </c>
      <c r="BA781" s="317"/>
    </row>
    <row r="782" spans="1:53" ht="12.75" customHeight="1" x14ac:dyDescent="0.4">
      <c r="A782" s="258" t="s">
        <v>4973</v>
      </c>
      <c r="B782" s="66" t="s">
        <v>125</v>
      </c>
      <c r="C782" s="224" t="s">
        <v>99</v>
      </c>
      <c r="D782" s="115" t="s">
        <v>4974</v>
      </c>
      <c r="E782" s="120" t="s">
        <v>100</v>
      </c>
      <c r="F782" s="82"/>
      <c r="G782" s="84"/>
      <c r="H782" s="90" t="s">
        <v>100</v>
      </c>
      <c r="I782" s="91"/>
      <c r="J782" s="97"/>
      <c r="K782" s="294"/>
      <c r="L782" s="332"/>
      <c r="M782" s="295">
        <v>44974</v>
      </c>
      <c r="N782" s="113" t="s">
        <v>4975</v>
      </c>
      <c r="O782" s="113" t="s">
        <v>4976</v>
      </c>
      <c r="P782" s="57"/>
      <c r="Q782" s="132">
        <v>8.6249999999999993E-2</v>
      </c>
      <c r="R782" s="132"/>
      <c r="S782" s="63" t="s">
        <v>103</v>
      </c>
      <c r="T782" s="67" t="s">
        <v>4977</v>
      </c>
      <c r="U782" s="67" t="s">
        <v>105</v>
      </c>
      <c r="V782" s="113" t="s">
        <v>106</v>
      </c>
      <c r="W782" s="222">
        <v>94122</v>
      </c>
      <c r="X782" s="141"/>
      <c r="Z782" s="236"/>
      <c r="AA782" s="200"/>
      <c r="AB782" s="130"/>
      <c r="AC782" s="202"/>
      <c r="AD782" s="200"/>
      <c r="AE782" s="113"/>
      <c r="AF782" s="113"/>
      <c r="AG782" s="113"/>
      <c r="AH782" s="113"/>
      <c r="AI782" s="130"/>
      <c r="AK782" s="57"/>
      <c r="AL782" s="287">
        <v>15157</v>
      </c>
      <c r="AS782" s="207"/>
      <c r="AU782" s="67" t="s">
        <v>4977</v>
      </c>
      <c r="AV782" s="251"/>
      <c r="AW782" s="67" t="s">
        <v>2156</v>
      </c>
      <c r="AX782" s="113" t="s">
        <v>106</v>
      </c>
      <c r="AY782" s="222">
        <v>94122</v>
      </c>
      <c r="AZ782" s="199" t="s">
        <v>4976</v>
      </c>
      <c r="BA782" s="317"/>
    </row>
    <row r="783" spans="1:53" ht="12.75" customHeight="1" x14ac:dyDescent="0.4">
      <c r="A783" s="258" t="s">
        <v>42</v>
      </c>
      <c r="B783" s="66" t="s">
        <v>98</v>
      </c>
      <c r="C783" s="225" t="s">
        <v>99</v>
      </c>
      <c r="D783" s="112"/>
      <c r="E783" s="119" t="s">
        <v>100</v>
      </c>
      <c r="F783" s="83"/>
      <c r="G783" s="209"/>
      <c r="H783" s="90" t="s">
        <v>100</v>
      </c>
      <c r="I783" s="89"/>
      <c r="J783" s="98"/>
      <c r="K783" s="300">
        <v>45888</v>
      </c>
      <c r="L783" s="364"/>
      <c r="M783" s="301">
        <v>43249</v>
      </c>
      <c r="N783" s="112" t="s">
        <v>4978</v>
      </c>
      <c r="O783" s="112" t="s">
        <v>4979</v>
      </c>
      <c r="P783" s="198" t="s">
        <v>4980</v>
      </c>
      <c r="Q783" s="132">
        <v>9.2499999999999999E-2</v>
      </c>
      <c r="R783" s="132">
        <v>9.2499999999999999E-2</v>
      </c>
      <c r="S783" s="63" t="s">
        <v>226</v>
      </c>
      <c r="T783" s="198" t="s">
        <v>4981</v>
      </c>
      <c r="U783" s="198" t="s">
        <v>228</v>
      </c>
      <c r="V783" s="112" t="s">
        <v>106</v>
      </c>
      <c r="W783" s="205">
        <v>94901</v>
      </c>
      <c r="X783" s="141" t="s">
        <v>4982</v>
      </c>
      <c r="Y783" s="139"/>
      <c r="Z783" s="205"/>
      <c r="AA783" s="203" t="s">
        <v>4983</v>
      </c>
      <c r="AB783" s="205" t="s">
        <v>4984</v>
      </c>
      <c r="AC783" s="206"/>
      <c r="AD783" s="203"/>
      <c r="AE783" s="205"/>
      <c r="AF783" s="205"/>
      <c r="AG783" s="205"/>
      <c r="AH783" s="205"/>
      <c r="AI783" s="205"/>
      <c r="AK783" s="318"/>
      <c r="AL783" s="287" t="s">
        <v>289</v>
      </c>
      <c r="AM783" s="288">
        <v>13305</v>
      </c>
      <c r="AO783" s="288">
        <v>62245</v>
      </c>
      <c r="AP783" s="288">
        <v>67240</v>
      </c>
      <c r="AS783" s="207" t="s">
        <v>132</v>
      </c>
      <c r="AT783" s="116" t="s">
        <v>447</v>
      </c>
      <c r="AU783" s="198" t="s">
        <v>4981</v>
      </c>
      <c r="AV783" s="39"/>
      <c r="AW783" s="198" t="s">
        <v>228</v>
      </c>
      <c r="AX783" s="112" t="s">
        <v>106</v>
      </c>
      <c r="AY783" s="205">
        <v>94901</v>
      </c>
      <c r="AZ783" s="198" t="s">
        <v>4980</v>
      </c>
    </row>
    <row r="784" spans="1:53" ht="12.75" customHeight="1" x14ac:dyDescent="0.4">
      <c r="A784" s="258" t="s">
        <v>4985</v>
      </c>
      <c r="B784" s="66" t="s">
        <v>269</v>
      </c>
      <c r="C784" s="224" t="s">
        <v>99</v>
      </c>
      <c r="D784" s="115"/>
      <c r="E784" s="120" t="s">
        <v>100</v>
      </c>
      <c r="F784" s="82"/>
      <c r="G784" s="84"/>
      <c r="H784" s="90" t="s">
        <v>100</v>
      </c>
      <c r="I784" s="91"/>
      <c r="J784" s="97"/>
      <c r="K784" s="294"/>
      <c r="L784" s="332"/>
      <c r="M784" s="295">
        <v>45560</v>
      </c>
      <c r="N784" s="113" t="s">
        <v>111</v>
      </c>
      <c r="O784" s="113" t="s">
        <v>4986</v>
      </c>
      <c r="P784" s="199" t="s">
        <v>4987</v>
      </c>
      <c r="Q784" s="132">
        <v>9.7500000000000003E-2</v>
      </c>
      <c r="R784" s="132"/>
      <c r="S784" s="63" t="s">
        <v>553</v>
      </c>
      <c r="T784" s="67" t="s">
        <v>4988</v>
      </c>
      <c r="U784" s="67" t="s">
        <v>553</v>
      </c>
      <c r="V784" s="113" t="s">
        <v>106</v>
      </c>
      <c r="W784" s="222">
        <v>94804</v>
      </c>
      <c r="X784" s="141"/>
      <c r="Z784" s="236"/>
      <c r="AA784" s="200"/>
      <c r="AB784" s="130"/>
      <c r="AC784" s="202"/>
      <c r="AD784" s="200"/>
      <c r="AE784" s="113"/>
      <c r="AF784" s="113"/>
      <c r="AG784" s="113"/>
      <c r="AH784" s="113"/>
      <c r="AI784" s="130"/>
      <c r="AK784" s="57"/>
      <c r="AS784" s="207"/>
      <c r="AU784" s="67" t="s">
        <v>4988</v>
      </c>
      <c r="AV784" s="251"/>
      <c r="AW784" s="67" t="s">
        <v>553</v>
      </c>
      <c r="AX784" s="113" t="s">
        <v>106</v>
      </c>
      <c r="AY784" s="222">
        <v>94804</v>
      </c>
      <c r="AZ784" s="199" t="s">
        <v>4986</v>
      </c>
      <c r="BA784" s="317"/>
    </row>
    <row r="785" spans="1:53" ht="12.75" customHeight="1" x14ac:dyDescent="0.25">
      <c r="A785" s="258" t="s">
        <v>4989</v>
      </c>
      <c r="B785" s="66" t="s">
        <v>98</v>
      </c>
      <c r="C785" s="68" t="s">
        <v>99</v>
      </c>
      <c r="E785" s="118" t="s">
        <v>100</v>
      </c>
      <c r="F785" s="80"/>
      <c r="G785" s="81"/>
      <c r="H785" s="87" t="s">
        <v>100</v>
      </c>
      <c r="I785" s="86"/>
      <c r="J785" s="96"/>
      <c r="K785" s="297">
        <v>46013</v>
      </c>
      <c r="M785" s="298"/>
      <c r="N785" s="128" t="s">
        <v>4990</v>
      </c>
      <c r="O785" s="128" t="s">
        <v>4991</v>
      </c>
      <c r="Q785" s="132">
        <v>0.10249999999999999</v>
      </c>
      <c r="R785" s="132">
        <v>9.5000000000000001E-2</v>
      </c>
      <c r="S785" s="63" t="s">
        <v>113</v>
      </c>
      <c r="T785" s="67" t="s">
        <v>4992</v>
      </c>
      <c r="U785" s="67" t="s">
        <v>1464</v>
      </c>
      <c r="V785" s="79" t="s">
        <v>106</v>
      </c>
      <c r="W785" s="76">
        <v>94550</v>
      </c>
      <c r="X785" s="261" t="s">
        <v>4993</v>
      </c>
      <c r="Y785" s="261" t="s">
        <v>4993</v>
      </c>
      <c r="Z785" s="261" t="s">
        <v>4993</v>
      </c>
      <c r="AC785" s="202"/>
      <c r="AD785" s="200"/>
      <c r="AE785" s="113"/>
      <c r="AF785" s="113"/>
      <c r="AG785" s="113"/>
      <c r="AH785" s="113"/>
      <c r="AI785" s="135" t="s">
        <v>4994</v>
      </c>
      <c r="AL785" s="290" t="s">
        <v>289</v>
      </c>
      <c r="AM785" s="290"/>
      <c r="AN785" s="290"/>
      <c r="AO785" s="290"/>
      <c r="AP785" s="290"/>
      <c r="AQ785" s="290"/>
      <c r="AR785" s="290"/>
      <c r="AS785" s="207" t="s">
        <v>132</v>
      </c>
      <c r="AT785" s="116" t="s">
        <v>670</v>
      </c>
      <c r="AU785" s="67" t="s">
        <v>4995</v>
      </c>
      <c r="AW785" s="67" t="s">
        <v>1464</v>
      </c>
      <c r="AX785" s="79" t="s">
        <v>106</v>
      </c>
      <c r="AY785" s="76">
        <v>94550</v>
      </c>
      <c r="AZ785" s="77" t="s">
        <v>4991</v>
      </c>
    </row>
    <row r="786" spans="1:53" ht="12.75" customHeight="1" x14ac:dyDescent="0.4">
      <c r="A786" s="258" t="s">
        <v>4996</v>
      </c>
      <c r="B786" s="66" t="s">
        <v>269</v>
      </c>
      <c r="C786" s="68" t="s">
        <v>119</v>
      </c>
      <c r="E786" s="120" t="s">
        <v>100</v>
      </c>
      <c r="F786" s="82"/>
      <c r="G786" s="84"/>
      <c r="H786" s="90" t="s">
        <v>100</v>
      </c>
      <c r="I786" s="91"/>
      <c r="J786" s="97"/>
      <c r="K786" s="294">
        <v>45250</v>
      </c>
      <c r="L786" s="332"/>
      <c r="M786" s="295">
        <v>720</v>
      </c>
      <c r="N786" s="128" t="s">
        <v>1918</v>
      </c>
      <c r="O786" s="128" t="s">
        <v>4997</v>
      </c>
      <c r="Q786" s="131">
        <v>8.6249999999999993E-2</v>
      </c>
      <c r="S786" s="63" t="s">
        <v>103</v>
      </c>
      <c r="T786" s="67" t="s">
        <v>4998</v>
      </c>
      <c r="U786" s="67" t="s">
        <v>105</v>
      </c>
      <c r="V786" s="79" t="s">
        <v>106</v>
      </c>
      <c r="W786" s="76">
        <v>94112</v>
      </c>
      <c r="AS786" s="207"/>
    </row>
    <row r="787" spans="1:53" ht="12.75" customHeight="1" x14ac:dyDescent="0.4">
      <c r="A787" s="258" t="s">
        <v>4999</v>
      </c>
      <c r="B787" s="66" t="s">
        <v>269</v>
      </c>
      <c r="C787" s="224" t="s">
        <v>109</v>
      </c>
      <c r="D787" s="115"/>
      <c r="E787" s="120" t="s">
        <v>100</v>
      </c>
      <c r="F787" s="82"/>
      <c r="G787" s="84"/>
      <c r="H787" s="90" t="s">
        <v>100</v>
      </c>
      <c r="I787" s="91"/>
      <c r="J787" s="97"/>
      <c r="K787" s="294">
        <v>45590</v>
      </c>
      <c r="L787" s="332"/>
      <c r="M787" s="295">
        <v>45680</v>
      </c>
      <c r="N787" s="113" t="s">
        <v>5000</v>
      </c>
      <c r="O787" s="113" t="s">
        <v>5001</v>
      </c>
      <c r="P787" s="57"/>
      <c r="Q787" s="132">
        <v>8.6249999999999993E-2</v>
      </c>
      <c r="R787" s="132"/>
      <c r="S787" s="63" t="s">
        <v>103</v>
      </c>
      <c r="T787" s="67" t="s">
        <v>5002</v>
      </c>
      <c r="U787" s="67" t="s">
        <v>105</v>
      </c>
      <c r="V787" s="113" t="s">
        <v>106</v>
      </c>
      <c r="W787" s="222">
        <v>94133</v>
      </c>
      <c r="X787" s="139" t="s">
        <v>5003</v>
      </c>
      <c r="Y787" s="139" t="s">
        <v>5003</v>
      </c>
      <c r="Z787" s="139" t="s">
        <v>5003</v>
      </c>
      <c r="AA787" s="200"/>
      <c r="AB787" s="130"/>
      <c r="AC787" s="202"/>
      <c r="AD787" s="200"/>
      <c r="AE787" s="113"/>
      <c r="AF787" s="113"/>
      <c r="AG787" s="113"/>
      <c r="AH787" s="113"/>
      <c r="AI787" s="130"/>
      <c r="AK787" s="57"/>
      <c r="AL787" s="287" t="s">
        <v>149</v>
      </c>
      <c r="AM787" s="288">
        <v>1493</v>
      </c>
      <c r="AS787" s="207"/>
      <c r="AU787" s="67" t="s">
        <v>5004</v>
      </c>
      <c r="AV787" s="251"/>
      <c r="AW787" s="67" t="s">
        <v>105</v>
      </c>
      <c r="AX787" s="113" t="s">
        <v>106</v>
      </c>
      <c r="AY787" s="222">
        <v>94133</v>
      </c>
      <c r="AZ787" s="199" t="s">
        <v>5001</v>
      </c>
      <c r="BA787" s="317"/>
    </row>
    <row r="788" spans="1:53" ht="12.75" customHeight="1" x14ac:dyDescent="0.4">
      <c r="A788" s="258" t="s">
        <v>5005</v>
      </c>
      <c r="B788" s="66" t="s">
        <v>125</v>
      </c>
      <c r="C788" s="224" t="s">
        <v>99</v>
      </c>
      <c r="D788" s="115" t="s">
        <v>5006</v>
      </c>
      <c r="E788" s="120" t="s">
        <v>100</v>
      </c>
      <c r="F788" s="82"/>
      <c r="G788" s="84"/>
      <c r="H788" s="90" t="s">
        <v>100</v>
      </c>
      <c r="I788" s="91"/>
      <c r="J788" s="97"/>
      <c r="K788" s="294"/>
      <c r="L788" s="332"/>
      <c r="M788" s="295">
        <v>44762</v>
      </c>
      <c r="N788" s="113" t="s">
        <v>5007</v>
      </c>
      <c r="O788" s="130" t="s">
        <v>5008</v>
      </c>
      <c r="P788" s="57" t="s">
        <v>5009</v>
      </c>
      <c r="Q788" s="132">
        <v>8.7499999999999994E-2</v>
      </c>
      <c r="R788" s="132"/>
      <c r="S788" s="63" t="s">
        <v>205</v>
      </c>
      <c r="T788" s="67" t="s">
        <v>5010</v>
      </c>
      <c r="U788" s="67" t="s">
        <v>4536</v>
      </c>
      <c r="V788" s="113" t="s">
        <v>106</v>
      </c>
      <c r="W788" s="222">
        <v>94803</v>
      </c>
      <c r="X788" s="141"/>
      <c r="Z788" s="236"/>
      <c r="AA788" s="200"/>
      <c r="AB788" s="130"/>
      <c r="AC788" s="202"/>
      <c r="AD788" s="200"/>
      <c r="AE788" s="113"/>
      <c r="AF788" s="113"/>
      <c r="AG788" s="113"/>
      <c r="AH788" s="113"/>
      <c r="AI788" s="130"/>
      <c r="AK788" s="57"/>
      <c r="AS788" s="207"/>
      <c r="AU788" s="67" t="s">
        <v>5011</v>
      </c>
      <c r="AV788" s="251"/>
      <c r="AW788" s="67" t="s">
        <v>4536</v>
      </c>
      <c r="AX788" s="113" t="s">
        <v>106</v>
      </c>
      <c r="AY788" s="222">
        <v>94803</v>
      </c>
      <c r="AZ788" s="199" t="s">
        <v>5009</v>
      </c>
      <c r="BA788" s="317"/>
    </row>
    <row r="789" spans="1:53" ht="12.75" customHeight="1" x14ac:dyDescent="0.4">
      <c r="A789" s="258" t="s">
        <v>5012</v>
      </c>
      <c r="B789" s="66" t="s">
        <v>1637</v>
      </c>
      <c r="C789" s="68" t="s">
        <v>563</v>
      </c>
      <c r="E789" s="120" t="s">
        <v>100</v>
      </c>
      <c r="F789" s="80"/>
      <c r="G789" s="81"/>
      <c r="H789" s="87" t="s">
        <v>100</v>
      </c>
      <c r="I789" s="86"/>
      <c r="J789" s="96"/>
      <c r="K789" s="297"/>
      <c r="M789" s="298">
        <v>44602</v>
      </c>
      <c r="N789" s="128" t="s">
        <v>1242</v>
      </c>
      <c r="O789" s="128" t="s">
        <v>5013</v>
      </c>
      <c r="P789" s="59" t="s">
        <v>5014</v>
      </c>
      <c r="Q789" s="132">
        <v>8.6249999999999993E-2</v>
      </c>
      <c r="R789" s="132">
        <v>8.7499999999999994E-2</v>
      </c>
      <c r="S789" s="63" t="s">
        <v>103</v>
      </c>
      <c r="T789" s="67" t="s">
        <v>5015</v>
      </c>
      <c r="U789" s="67" t="s">
        <v>105</v>
      </c>
      <c r="V789" s="79" t="s">
        <v>106</v>
      </c>
      <c r="W789" s="76">
        <v>94105</v>
      </c>
      <c r="X789" s="141" t="s">
        <v>197</v>
      </c>
      <c r="Y789" s="139" t="s">
        <v>5016</v>
      </c>
      <c r="Z789" s="146" t="s">
        <v>197</v>
      </c>
      <c r="AA789" s="79" t="s">
        <v>5017</v>
      </c>
      <c r="AB789" s="135" t="s">
        <v>5018</v>
      </c>
      <c r="AC789" s="202"/>
      <c r="AD789" s="200"/>
      <c r="AE789" s="113"/>
      <c r="AF789" s="113"/>
      <c r="AG789" s="113"/>
      <c r="AH789" s="113"/>
      <c r="AL789" s="290" t="s">
        <v>149</v>
      </c>
      <c r="AM789" s="290">
        <v>13305</v>
      </c>
      <c r="AN789" s="290" t="s">
        <v>198</v>
      </c>
      <c r="AO789" s="290">
        <v>62245</v>
      </c>
      <c r="AP789" s="290"/>
      <c r="AQ789" s="290"/>
      <c r="AR789" s="290"/>
      <c r="AS789" s="207" t="s">
        <v>132</v>
      </c>
      <c r="AT789" s="116" t="s">
        <v>447</v>
      </c>
      <c r="AU789" s="67" t="s">
        <v>5015</v>
      </c>
      <c r="AW789" s="67" t="s">
        <v>105</v>
      </c>
      <c r="AX789" s="79" t="s">
        <v>106</v>
      </c>
      <c r="AY789" s="76">
        <v>94105</v>
      </c>
      <c r="AZ789" s="77" t="s">
        <v>200</v>
      </c>
      <c r="BA789" s="317"/>
    </row>
    <row r="790" spans="1:53" ht="12.75" customHeight="1" x14ac:dyDescent="0.4">
      <c r="A790" s="258" t="s">
        <v>5019</v>
      </c>
      <c r="B790" s="66" t="s">
        <v>98</v>
      </c>
      <c r="C790" s="68" t="s">
        <v>99</v>
      </c>
      <c r="E790" s="120" t="s">
        <v>100</v>
      </c>
      <c r="F790" s="82"/>
      <c r="G790" s="84"/>
      <c r="H790" s="90" t="s">
        <v>100</v>
      </c>
      <c r="I790" s="91"/>
      <c r="J790" s="97"/>
      <c r="K790" s="294">
        <v>45056</v>
      </c>
      <c r="L790" s="332"/>
      <c r="M790" s="295"/>
      <c r="N790" s="128" t="s">
        <v>5020</v>
      </c>
      <c r="O790" s="128" t="s">
        <v>5021</v>
      </c>
      <c r="P790" s="59" t="s">
        <v>5022</v>
      </c>
      <c r="Q790" s="131">
        <v>9.7500000000000003E-2</v>
      </c>
      <c r="S790" s="63" t="s">
        <v>553</v>
      </c>
      <c r="T790" s="67" t="s">
        <v>5023</v>
      </c>
      <c r="U790" s="67" t="s">
        <v>5024</v>
      </c>
      <c r="V790" s="79" t="s">
        <v>106</v>
      </c>
      <c r="W790" s="76">
        <v>94801</v>
      </c>
      <c r="AA790" s="79" t="s">
        <v>5020</v>
      </c>
      <c r="AB790" s="135" t="s">
        <v>5022</v>
      </c>
      <c r="AL790" s="287" t="s">
        <v>251</v>
      </c>
      <c r="AS790" s="207"/>
      <c r="AU790" s="67" t="s">
        <v>5023</v>
      </c>
      <c r="AW790" s="67" t="s">
        <v>5024</v>
      </c>
      <c r="AX790" s="79" t="s">
        <v>106</v>
      </c>
      <c r="AY790" s="76">
        <v>94801</v>
      </c>
      <c r="AZ790" s="77" t="s">
        <v>5021</v>
      </c>
    </row>
    <row r="791" spans="1:53" ht="12.75" customHeight="1" x14ac:dyDescent="0.4">
      <c r="A791" s="258" t="s">
        <v>5025</v>
      </c>
      <c r="B791" s="66" t="s">
        <v>98</v>
      </c>
      <c r="C791" s="68" t="s">
        <v>99</v>
      </c>
      <c r="D791" s="79" t="s">
        <v>174</v>
      </c>
      <c r="E791" s="120" t="s">
        <v>1648</v>
      </c>
      <c r="F791" s="82" t="s">
        <v>174</v>
      </c>
      <c r="G791" s="84"/>
      <c r="H791" s="90" t="s">
        <v>100</v>
      </c>
      <c r="I791" s="91"/>
      <c r="J791" s="97"/>
      <c r="K791" s="294">
        <v>45316</v>
      </c>
      <c r="L791" s="332"/>
      <c r="M791" s="295"/>
      <c r="N791" s="128" t="s">
        <v>5026</v>
      </c>
      <c r="O791" s="128" t="s">
        <v>5027</v>
      </c>
      <c r="P791" s="59" t="s">
        <v>5028</v>
      </c>
      <c r="Q791" s="131">
        <v>0.10249999999999999</v>
      </c>
      <c r="S791" s="63" t="s">
        <v>653</v>
      </c>
      <c r="T791" s="67" t="s">
        <v>5029</v>
      </c>
      <c r="U791" s="67" t="s">
        <v>653</v>
      </c>
      <c r="V791" s="79" t="s">
        <v>3610</v>
      </c>
      <c r="W791" s="76">
        <v>9452</v>
      </c>
      <c r="AL791" s="287" t="s">
        <v>251</v>
      </c>
      <c r="AS791" s="207"/>
    </row>
    <row r="792" spans="1:53" ht="12.75" customHeight="1" x14ac:dyDescent="0.4">
      <c r="A792" s="258" t="s">
        <v>5030</v>
      </c>
      <c r="B792" s="66" t="s">
        <v>269</v>
      </c>
      <c r="C792" s="225" t="s">
        <v>1128</v>
      </c>
      <c r="D792" s="112" t="s">
        <v>2728</v>
      </c>
      <c r="E792" s="119" t="s">
        <v>100</v>
      </c>
      <c r="F792" s="83"/>
      <c r="G792" s="209"/>
      <c r="H792" s="88" t="s">
        <v>100</v>
      </c>
      <c r="I792" s="89"/>
      <c r="J792" s="98"/>
      <c r="K792" s="300">
        <v>44512</v>
      </c>
      <c r="L792" s="364"/>
      <c r="M792" s="301">
        <v>44610</v>
      </c>
      <c r="N792" s="112" t="s">
        <v>5031</v>
      </c>
      <c r="O792" s="112" t="s">
        <v>5032</v>
      </c>
      <c r="P792" s="198"/>
      <c r="Q792" s="132">
        <v>9.7500000000000003E-2</v>
      </c>
      <c r="R792" s="132">
        <v>9.5000000000000001E-2</v>
      </c>
      <c r="S792" s="63" t="s">
        <v>553</v>
      </c>
      <c r="T792" s="198" t="s">
        <v>5033</v>
      </c>
      <c r="U792" s="198" t="s">
        <v>553</v>
      </c>
      <c r="V792" s="112" t="s">
        <v>106</v>
      </c>
      <c r="W792" s="205">
        <v>94804</v>
      </c>
      <c r="X792" s="141"/>
      <c r="Z792" s="205"/>
      <c r="AA792" s="203"/>
      <c r="AB792" s="205"/>
      <c r="AC792" s="206"/>
      <c r="AD792" s="203"/>
      <c r="AE792" s="205"/>
      <c r="AF792" s="205"/>
      <c r="AG792" s="205"/>
      <c r="AH792" s="205"/>
      <c r="AI792" s="205"/>
      <c r="AJ792" s="205"/>
      <c r="AK792" s="318"/>
      <c r="AL792" s="287" t="s">
        <v>149</v>
      </c>
      <c r="AS792" s="207" t="s">
        <v>132</v>
      </c>
      <c r="AT792" s="116" t="s">
        <v>447</v>
      </c>
      <c r="AU792" s="198" t="s">
        <v>5033</v>
      </c>
      <c r="AV792" s="39"/>
      <c r="AW792" s="198" t="s">
        <v>553</v>
      </c>
      <c r="AX792" s="112" t="s">
        <v>106</v>
      </c>
      <c r="AY792" s="205">
        <v>94804</v>
      </c>
      <c r="AZ792" s="198" t="s">
        <v>5032</v>
      </c>
    </row>
    <row r="793" spans="1:53" ht="12.75" customHeight="1" x14ac:dyDescent="0.25">
      <c r="A793" s="258" t="s">
        <v>5034</v>
      </c>
      <c r="B793" s="66" t="s">
        <v>108</v>
      </c>
      <c r="C793" s="68" t="s">
        <v>109</v>
      </c>
      <c r="D793" s="79" t="s">
        <v>5035</v>
      </c>
      <c r="E793" s="118" t="s">
        <v>100</v>
      </c>
      <c r="F793" s="80"/>
      <c r="G793" s="81"/>
      <c r="H793" s="87" t="s">
        <v>100</v>
      </c>
      <c r="I793" s="86"/>
      <c r="J793" s="96"/>
      <c r="K793" s="297">
        <v>45861</v>
      </c>
      <c r="M793" s="298">
        <v>44902</v>
      </c>
      <c r="N793" s="128" t="s">
        <v>5036</v>
      </c>
      <c r="O793" s="128" t="s">
        <v>5037</v>
      </c>
      <c r="Q793" s="132">
        <v>8.6249999999999993E-2</v>
      </c>
      <c r="R793" s="132">
        <v>8.7499999999999994E-2</v>
      </c>
      <c r="S793" s="63" t="s">
        <v>103</v>
      </c>
      <c r="T793" s="67" t="s">
        <v>5038</v>
      </c>
      <c r="U793" s="67" t="s">
        <v>105</v>
      </c>
      <c r="V793" s="79" t="s">
        <v>106</v>
      </c>
      <c r="W793" s="76">
        <v>94110</v>
      </c>
      <c r="X793" s="139" t="s">
        <v>5039</v>
      </c>
      <c r="Y793" s="139" t="s">
        <v>5040</v>
      </c>
      <c r="Z793" s="226" t="s">
        <v>5039</v>
      </c>
      <c r="AC793" s="202"/>
      <c r="AD793" s="200"/>
      <c r="AE793" s="113"/>
      <c r="AF793" s="113"/>
      <c r="AG793" s="113"/>
      <c r="AH793" s="113"/>
      <c r="AL793" s="289">
        <v>15157</v>
      </c>
      <c r="AM793" s="289">
        <v>15741</v>
      </c>
      <c r="AN793" s="289" t="s">
        <v>251</v>
      </c>
      <c r="AO793" s="289"/>
      <c r="AP793" s="289"/>
      <c r="AQ793" s="289" t="s">
        <v>5041</v>
      </c>
      <c r="AR793" s="289" t="s">
        <v>5042</v>
      </c>
      <c r="AS793" s="207" t="s">
        <v>132</v>
      </c>
      <c r="AT793" s="116" t="s">
        <v>447</v>
      </c>
      <c r="AU793" s="67" t="s">
        <v>5038</v>
      </c>
      <c r="AW793" s="67" t="s">
        <v>105</v>
      </c>
      <c r="AX793" s="79" t="s">
        <v>106</v>
      </c>
      <c r="AY793" s="76">
        <v>94110</v>
      </c>
      <c r="AZ793" s="77" t="s">
        <v>5037</v>
      </c>
      <c r="BA793" s="317"/>
    </row>
    <row r="794" spans="1:53" ht="12.75" customHeight="1" x14ac:dyDescent="0.25">
      <c r="A794" s="258" t="s">
        <v>5043</v>
      </c>
      <c r="B794" s="66" t="s">
        <v>98</v>
      </c>
      <c r="C794" s="68" t="s">
        <v>563</v>
      </c>
      <c r="E794" s="118" t="s">
        <v>100</v>
      </c>
      <c r="F794" s="80"/>
      <c r="G794" s="81"/>
      <c r="H794" s="87" t="s">
        <v>100</v>
      </c>
      <c r="I794" s="86"/>
      <c r="J794" s="96"/>
      <c r="K794" s="297">
        <v>45729</v>
      </c>
      <c r="M794" s="298"/>
      <c r="N794" s="128" t="s">
        <v>5044</v>
      </c>
      <c r="O794" s="128" t="s">
        <v>5045</v>
      </c>
      <c r="Q794" s="132">
        <v>9.2499999999999999E-2</v>
      </c>
      <c r="R794" s="132">
        <v>0.09</v>
      </c>
      <c r="S794" s="63" t="s">
        <v>536</v>
      </c>
      <c r="T794" s="67" t="s">
        <v>5046</v>
      </c>
      <c r="U794" s="67" t="s">
        <v>538</v>
      </c>
      <c r="V794" s="79" t="s">
        <v>106</v>
      </c>
      <c r="W794" s="76">
        <v>94960</v>
      </c>
      <c r="AC794" s="202"/>
      <c r="AD794" s="200"/>
      <c r="AE794" s="113"/>
      <c r="AF794" s="113"/>
      <c r="AG794" s="113"/>
      <c r="AH794" s="113"/>
      <c r="AL794" s="289" t="s">
        <v>289</v>
      </c>
      <c r="AM794" s="289"/>
      <c r="AN794" s="289"/>
      <c r="AO794" s="289"/>
      <c r="AP794" s="289">
        <v>67240</v>
      </c>
      <c r="AQ794" s="289"/>
      <c r="AR794" s="289"/>
      <c r="AS794" s="207" t="s">
        <v>132</v>
      </c>
      <c r="AT794" s="116" t="s">
        <v>447</v>
      </c>
      <c r="AU794" s="67" t="s">
        <v>5047</v>
      </c>
      <c r="AW794" s="67" t="s">
        <v>538</v>
      </c>
      <c r="AX794" s="79" t="s">
        <v>106</v>
      </c>
      <c r="AY794" s="76">
        <v>94960</v>
      </c>
      <c r="AZ794" s="77" t="s">
        <v>5045</v>
      </c>
      <c r="BA794" s="207"/>
    </row>
    <row r="795" spans="1:53" ht="12.75" customHeight="1" x14ac:dyDescent="0.4">
      <c r="A795" s="258" t="s">
        <v>5048</v>
      </c>
      <c r="B795" s="66" t="s">
        <v>98</v>
      </c>
      <c r="C795" s="224" t="s">
        <v>99</v>
      </c>
      <c r="D795" s="115"/>
      <c r="E795" s="120" t="s">
        <v>100</v>
      </c>
      <c r="F795" s="82" t="s">
        <v>288</v>
      </c>
      <c r="G795" s="84"/>
      <c r="H795" s="90" t="s">
        <v>100</v>
      </c>
      <c r="I795" s="91"/>
      <c r="J795" s="97"/>
      <c r="K795" s="294">
        <v>43355</v>
      </c>
      <c r="L795" s="332"/>
      <c r="M795" s="295"/>
      <c r="N795" s="113" t="s">
        <v>5049</v>
      </c>
      <c r="O795" s="113" t="s">
        <v>5050</v>
      </c>
      <c r="P795" s="57" t="s">
        <v>5051</v>
      </c>
      <c r="Q795" s="132">
        <v>8.6249999999999993E-2</v>
      </c>
      <c r="R795" s="132">
        <v>8.7499999999999994E-2</v>
      </c>
      <c r="S795" s="63" t="s">
        <v>103</v>
      </c>
      <c r="T795" s="67" t="s">
        <v>5052</v>
      </c>
      <c r="U795" s="67" t="s">
        <v>105</v>
      </c>
      <c r="V795" s="113" t="s">
        <v>106</v>
      </c>
      <c r="W795" s="222">
        <v>94114</v>
      </c>
      <c r="Z795" s="236"/>
      <c r="AA795" s="200" t="s">
        <v>5053</v>
      </c>
      <c r="AB795" s="130" t="s">
        <v>5054</v>
      </c>
      <c r="AC795" s="202" t="s">
        <v>5055</v>
      </c>
      <c r="AD795" s="200" t="s">
        <v>5056</v>
      </c>
      <c r="AE795" s="113"/>
      <c r="AF795" s="113"/>
      <c r="AG795" s="113"/>
      <c r="AH795" s="113"/>
      <c r="AI795" s="130"/>
      <c r="AJ795" s="135" t="s">
        <v>116</v>
      </c>
      <c r="AK795" s="57"/>
      <c r="AL795" s="287" t="s">
        <v>149</v>
      </c>
      <c r="AS795" s="207" t="s">
        <v>132</v>
      </c>
      <c r="AT795" s="116" t="s">
        <v>447</v>
      </c>
      <c r="AU795" s="67" t="s">
        <v>5052</v>
      </c>
      <c r="AV795" s="251" t="s">
        <v>5057</v>
      </c>
      <c r="AW795" s="67" t="s">
        <v>105</v>
      </c>
      <c r="AX795" s="113" t="s">
        <v>106</v>
      </c>
      <c r="AY795" s="222">
        <v>94114</v>
      </c>
      <c r="AZ795" s="199" t="s">
        <v>5050</v>
      </c>
    </row>
    <row r="796" spans="1:53" ht="12.75" customHeight="1" x14ac:dyDescent="0.4">
      <c r="A796" s="258" t="s">
        <v>5058</v>
      </c>
      <c r="B796" s="66" t="s">
        <v>108</v>
      </c>
      <c r="C796" s="68" t="s">
        <v>109</v>
      </c>
      <c r="D796" s="115" t="s">
        <v>5059</v>
      </c>
      <c r="E796" s="120" t="s">
        <v>100</v>
      </c>
      <c r="F796" s="82"/>
      <c r="G796" s="84"/>
      <c r="H796" s="90" t="s">
        <v>100</v>
      </c>
      <c r="I796" s="91"/>
      <c r="J796" s="97"/>
      <c r="K796" s="294">
        <v>44035</v>
      </c>
      <c r="L796" s="332"/>
      <c r="M796" s="295"/>
      <c r="N796" s="113" t="s">
        <v>1100</v>
      </c>
      <c r="O796" s="113" t="s">
        <v>5060</v>
      </c>
      <c r="P796" s="57"/>
      <c r="Q796" s="132">
        <v>8.7499999999999994E-2</v>
      </c>
      <c r="R796" s="132"/>
      <c r="S796" s="63" t="s">
        <v>5061</v>
      </c>
      <c r="T796" s="67" t="s">
        <v>5062</v>
      </c>
      <c r="U796" s="67" t="s">
        <v>3027</v>
      </c>
      <c r="V796" s="113" t="s">
        <v>3610</v>
      </c>
      <c r="W796" s="222">
        <v>95330</v>
      </c>
      <c r="Z796" s="236"/>
      <c r="AA796" s="200"/>
      <c r="AB796" s="130"/>
      <c r="AC796" s="202"/>
      <c r="AD796" s="200"/>
      <c r="AE796" s="113"/>
      <c r="AF796" s="113"/>
      <c r="AG796" s="113"/>
      <c r="AH796" s="113"/>
      <c r="AI796" s="130"/>
      <c r="AK796" s="57"/>
      <c r="AL796" s="287">
        <v>15157</v>
      </c>
      <c r="AS796" s="207" t="s">
        <v>132</v>
      </c>
      <c r="AT796" s="116" t="s">
        <v>447</v>
      </c>
      <c r="AU796" s="67" t="s">
        <v>5062</v>
      </c>
      <c r="AV796" s="251"/>
      <c r="AW796" s="67" t="s">
        <v>3027</v>
      </c>
      <c r="AX796" s="113" t="s">
        <v>3610</v>
      </c>
      <c r="AY796" s="222">
        <v>95330</v>
      </c>
      <c r="AZ796" s="199" t="s">
        <v>5060</v>
      </c>
    </row>
    <row r="797" spans="1:53" ht="12.75" customHeight="1" x14ac:dyDescent="0.4">
      <c r="A797" s="258" t="s">
        <v>5063</v>
      </c>
      <c r="B797" s="66" t="s">
        <v>244</v>
      </c>
      <c r="C797" s="224" t="s">
        <v>5064</v>
      </c>
      <c r="D797" s="115"/>
      <c r="E797" s="120" t="s">
        <v>173</v>
      </c>
      <c r="F797" s="82" t="s">
        <v>174</v>
      </c>
      <c r="G797" s="84"/>
      <c r="H797" s="90"/>
      <c r="I797" s="91"/>
      <c r="J797" s="97"/>
      <c r="K797" s="294"/>
      <c r="L797" s="332"/>
      <c r="M797" s="295"/>
      <c r="N797" s="113" t="s">
        <v>5065</v>
      </c>
      <c r="O797" s="130" t="s">
        <v>5066</v>
      </c>
      <c r="P797" s="57"/>
      <c r="Q797" s="132">
        <v>8.6249999999999993E-2</v>
      </c>
      <c r="R797" s="132"/>
      <c r="S797" s="63" t="s">
        <v>103</v>
      </c>
      <c r="T797" s="67" t="s">
        <v>5067</v>
      </c>
      <c r="U797" s="67" t="s">
        <v>105</v>
      </c>
      <c r="V797" s="113" t="s">
        <v>106</v>
      </c>
      <c r="W797" s="222">
        <v>94109</v>
      </c>
      <c r="X797" s="141" t="s">
        <v>5068</v>
      </c>
      <c r="Y797" s="141" t="s">
        <v>5068</v>
      </c>
      <c r="Z797" s="141" t="s">
        <v>5068</v>
      </c>
      <c r="AA797" s="200"/>
      <c r="AB797" s="130"/>
      <c r="AC797" s="202"/>
      <c r="AD797" s="200"/>
      <c r="AE797" s="113"/>
      <c r="AF797" s="113"/>
      <c r="AG797" s="113"/>
      <c r="AH797" s="113"/>
      <c r="AI797" s="130"/>
      <c r="AK797" s="57"/>
      <c r="AS797" s="207"/>
      <c r="AU797" s="67" t="s">
        <v>5067</v>
      </c>
      <c r="AV797" s="251"/>
      <c r="AW797" s="67" t="s">
        <v>105</v>
      </c>
      <c r="AX797" s="113" t="s">
        <v>106</v>
      </c>
      <c r="AY797" s="222">
        <v>94109</v>
      </c>
      <c r="AZ797" s="57" t="s">
        <v>5066</v>
      </c>
      <c r="BA797" s="317"/>
    </row>
    <row r="798" spans="1:53" ht="12.75" customHeight="1" x14ac:dyDescent="0.4">
      <c r="A798" s="258" t="s">
        <v>5069</v>
      </c>
      <c r="B798" s="66" t="s">
        <v>253</v>
      </c>
      <c r="C798" s="224" t="s">
        <v>119</v>
      </c>
      <c r="D798" s="115"/>
      <c r="E798" s="120" t="s">
        <v>1648</v>
      </c>
      <c r="F798" s="82" t="s">
        <v>174</v>
      </c>
      <c r="G798" s="84"/>
      <c r="H798" s="90" t="s">
        <v>253</v>
      </c>
      <c r="I798" s="91"/>
      <c r="J798" s="97"/>
      <c r="K798" s="294">
        <v>46013</v>
      </c>
      <c r="L798" s="332"/>
      <c r="M798" s="295">
        <v>44498</v>
      </c>
      <c r="N798" s="113" t="s">
        <v>5070</v>
      </c>
      <c r="O798" s="113" t="s">
        <v>5071</v>
      </c>
      <c r="P798" s="57" t="s">
        <v>5072</v>
      </c>
      <c r="Q798" s="132">
        <v>8.6249999999999993E-2</v>
      </c>
      <c r="R798" s="132">
        <v>8.7499999999999994E-2</v>
      </c>
      <c r="S798" s="63" t="s">
        <v>103</v>
      </c>
      <c r="T798" s="67" t="s">
        <v>5073</v>
      </c>
      <c r="U798" s="67" t="s">
        <v>105</v>
      </c>
      <c r="V798" s="113" t="s">
        <v>106</v>
      </c>
      <c r="W798" s="222">
        <v>94133</v>
      </c>
      <c r="X798" s="141" t="s">
        <v>5074</v>
      </c>
      <c r="Y798" s="205"/>
      <c r="Z798" s="236"/>
      <c r="AA798" s="200" t="s">
        <v>3807</v>
      </c>
      <c r="AB798" s="130"/>
      <c r="AC798" s="202"/>
      <c r="AD798" s="200"/>
      <c r="AE798" s="113"/>
      <c r="AF798" s="113"/>
      <c r="AG798" s="113"/>
      <c r="AH798" s="113"/>
      <c r="AI798" s="130"/>
      <c r="AK798" s="57"/>
      <c r="AL798" s="287" t="s">
        <v>289</v>
      </c>
      <c r="AM798" s="288">
        <v>15741</v>
      </c>
      <c r="AS798" s="207" t="s">
        <v>132</v>
      </c>
      <c r="AT798" s="116" t="s">
        <v>447</v>
      </c>
      <c r="AU798" s="67" t="s">
        <v>5073</v>
      </c>
      <c r="AV798" s="251"/>
      <c r="AW798" s="67" t="s">
        <v>105</v>
      </c>
      <c r="AX798" s="113" t="s">
        <v>106</v>
      </c>
      <c r="AY798" s="222">
        <v>94133</v>
      </c>
      <c r="AZ798" s="113" t="s">
        <v>5071</v>
      </c>
    </row>
    <row r="799" spans="1:53" ht="12.75" customHeight="1" x14ac:dyDescent="0.4">
      <c r="A799" s="258" t="s">
        <v>5075</v>
      </c>
      <c r="B799" s="66" t="s">
        <v>244</v>
      </c>
      <c r="C799" s="224"/>
      <c r="D799" s="115"/>
      <c r="E799" s="120" t="s">
        <v>173</v>
      </c>
      <c r="F799" s="82" t="s">
        <v>174</v>
      </c>
      <c r="G799" s="84"/>
      <c r="H799" s="90"/>
      <c r="I799" s="91"/>
      <c r="J799" s="97"/>
      <c r="K799" s="294">
        <v>45947</v>
      </c>
      <c r="L799" s="332"/>
      <c r="M799" s="295"/>
      <c r="N799" s="113" t="s">
        <v>5076</v>
      </c>
      <c r="O799" s="113" t="s">
        <v>5077</v>
      </c>
      <c r="P799" s="57"/>
      <c r="Q799" s="132">
        <v>8.2500000000000004E-2</v>
      </c>
      <c r="R799" s="132"/>
      <c r="S799" s="63" t="s">
        <v>759</v>
      </c>
      <c r="T799" s="67" t="s">
        <v>5078</v>
      </c>
      <c r="U799" s="67" t="s">
        <v>2896</v>
      </c>
      <c r="V799" s="113" t="s">
        <v>106</v>
      </c>
      <c r="W799" s="222">
        <v>94920</v>
      </c>
      <c r="X799" s="141"/>
      <c r="Z799" s="236"/>
      <c r="AA799" s="200"/>
      <c r="AB799" s="130"/>
      <c r="AC799" s="202"/>
      <c r="AD799" s="200"/>
      <c r="AE799" s="113"/>
      <c r="AF799" s="113"/>
      <c r="AG799" s="113"/>
      <c r="AH799" s="113"/>
      <c r="AI799" s="130"/>
      <c r="AK799" s="57"/>
      <c r="AL799" s="287" t="s">
        <v>149</v>
      </c>
      <c r="AM799" s="288" t="s">
        <v>0</v>
      </c>
      <c r="AN799" s="288">
        <v>15741</v>
      </c>
      <c r="AO799" s="288">
        <v>62245</v>
      </c>
      <c r="AS799" s="207"/>
      <c r="AU799" s="67" t="s">
        <v>5078</v>
      </c>
      <c r="AV799" s="251"/>
      <c r="AW799" s="67" t="s">
        <v>2896</v>
      </c>
      <c r="AX799" s="113" t="s">
        <v>106</v>
      </c>
      <c r="AY799" s="222">
        <v>94920</v>
      </c>
      <c r="AZ799" s="199" t="s">
        <v>5077</v>
      </c>
      <c r="BA799" s="317"/>
    </row>
    <row r="800" spans="1:53" ht="12.75" customHeight="1" x14ac:dyDescent="0.4">
      <c r="A800" s="258" t="s">
        <v>5079</v>
      </c>
      <c r="B800" s="66" t="s">
        <v>244</v>
      </c>
      <c r="C800" s="224" t="s">
        <v>177</v>
      </c>
      <c r="D800" s="115"/>
      <c r="E800" s="120" t="s">
        <v>173</v>
      </c>
      <c r="F800" s="82" t="s">
        <v>174</v>
      </c>
      <c r="G800" s="84"/>
      <c r="H800" s="90"/>
      <c r="I800" s="91"/>
      <c r="J800" s="97"/>
      <c r="K800" s="294">
        <v>44980</v>
      </c>
      <c r="L800" s="332"/>
      <c r="M800" s="295"/>
      <c r="N800" s="130" t="s">
        <v>5080</v>
      </c>
      <c r="O800" s="130" t="s">
        <v>5081</v>
      </c>
      <c r="P800" s="57"/>
      <c r="Q800" s="132">
        <v>9.2499999999999999E-2</v>
      </c>
      <c r="R800" s="132"/>
      <c r="S800" s="63" t="s">
        <v>420</v>
      </c>
      <c r="T800" s="57" t="s">
        <v>5082</v>
      </c>
      <c r="U800" s="67" t="s">
        <v>420</v>
      </c>
      <c r="V800" s="113" t="s">
        <v>106</v>
      </c>
      <c r="W800" s="222">
        <v>94945</v>
      </c>
      <c r="X800" s="141" t="s">
        <v>5083</v>
      </c>
      <c r="Y800" s="141" t="s">
        <v>5083</v>
      </c>
      <c r="Z800" s="141" t="s">
        <v>5083</v>
      </c>
      <c r="AA800" s="200"/>
      <c r="AB800" s="130"/>
      <c r="AC800" s="202"/>
      <c r="AD800" s="200"/>
      <c r="AE800" s="113"/>
      <c r="AF800" s="113"/>
      <c r="AG800" s="113"/>
      <c r="AH800" s="113"/>
      <c r="AI800" s="130"/>
      <c r="AK800" s="57"/>
      <c r="AL800" s="287" t="s">
        <v>251</v>
      </c>
      <c r="AS800" s="207"/>
      <c r="AU800" s="57" t="s">
        <v>5082</v>
      </c>
      <c r="AV800" s="251"/>
      <c r="AW800" s="67" t="s">
        <v>420</v>
      </c>
      <c r="AX800" s="113" t="s">
        <v>106</v>
      </c>
      <c r="AY800" s="222">
        <v>94945</v>
      </c>
      <c r="AZ800" s="57" t="s">
        <v>5081</v>
      </c>
      <c r="BA800" s="317"/>
    </row>
    <row r="801" spans="1:53" ht="12.75" customHeight="1" x14ac:dyDescent="0.4">
      <c r="A801" s="258" t="s">
        <v>5084</v>
      </c>
      <c r="B801" s="66" t="s">
        <v>269</v>
      </c>
      <c r="C801" s="224" t="s">
        <v>119</v>
      </c>
      <c r="D801" s="115" t="s">
        <v>5085</v>
      </c>
      <c r="E801" s="120" t="s">
        <v>100</v>
      </c>
      <c r="F801" s="82"/>
      <c r="G801" s="84"/>
      <c r="H801" s="90" t="s">
        <v>100</v>
      </c>
      <c r="I801" s="91"/>
      <c r="J801" s="97"/>
      <c r="K801" s="294">
        <v>45898</v>
      </c>
      <c r="L801" s="332"/>
      <c r="M801" s="295">
        <v>45351</v>
      </c>
      <c r="N801" s="113" t="s">
        <v>5086</v>
      </c>
      <c r="O801" s="113" t="s">
        <v>5087</v>
      </c>
      <c r="P801" s="57" t="s">
        <v>5088</v>
      </c>
      <c r="Q801" s="132">
        <v>8.2500000000000004E-2</v>
      </c>
      <c r="R801" s="132">
        <v>0.08</v>
      </c>
      <c r="S801" s="63" t="s">
        <v>1741</v>
      </c>
      <c r="T801" s="67" t="s">
        <v>5089</v>
      </c>
      <c r="U801" s="67" t="s">
        <v>1743</v>
      </c>
      <c r="V801" s="113" t="s">
        <v>106</v>
      </c>
      <c r="W801" s="222">
        <v>94574</v>
      </c>
      <c r="X801" s="141" t="s">
        <v>5090</v>
      </c>
      <c r="Y801" s="141" t="s">
        <v>5090</v>
      </c>
      <c r="Z801" s="141" t="s">
        <v>5090</v>
      </c>
      <c r="AA801" s="200"/>
      <c r="AB801" s="130"/>
      <c r="AC801" s="202"/>
      <c r="AD801" s="200"/>
      <c r="AE801" s="113"/>
      <c r="AF801" s="113"/>
      <c r="AG801" s="113"/>
      <c r="AH801" s="113"/>
      <c r="AI801" s="130" t="s">
        <v>5091</v>
      </c>
      <c r="AJ801" s="135" t="s">
        <v>116</v>
      </c>
      <c r="AK801" s="57"/>
      <c r="AL801" s="287" t="s">
        <v>149</v>
      </c>
      <c r="AM801" s="288">
        <v>13305</v>
      </c>
      <c r="AN801" s="288">
        <v>15741</v>
      </c>
      <c r="AO801" s="288">
        <v>62245</v>
      </c>
      <c r="AS801" s="207" t="s">
        <v>132</v>
      </c>
      <c r="AT801" s="116" t="s">
        <v>447</v>
      </c>
      <c r="AU801" s="67" t="str">
        <f>PROPER(AV801)</f>
        <v>1138 Main Street</v>
      </c>
      <c r="AV801" s="251" t="s">
        <v>5092</v>
      </c>
      <c r="AW801" s="67" t="s">
        <v>1743</v>
      </c>
      <c r="AX801" s="113" t="s">
        <v>106</v>
      </c>
      <c r="AY801" s="222">
        <v>94574</v>
      </c>
      <c r="AZ801" s="199" t="s">
        <v>5087</v>
      </c>
    </row>
    <row r="802" spans="1:53" ht="12.75" customHeight="1" x14ac:dyDescent="0.4">
      <c r="A802" s="258" t="s">
        <v>5093</v>
      </c>
      <c r="B802" s="66" t="s">
        <v>98</v>
      </c>
      <c r="C802" s="224" t="s">
        <v>563</v>
      </c>
      <c r="D802" s="115" t="s">
        <v>3083</v>
      </c>
      <c r="E802" s="120" t="s">
        <v>100</v>
      </c>
      <c r="F802" s="82"/>
      <c r="G802" s="84"/>
      <c r="H802" s="90" t="s">
        <v>100</v>
      </c>
      <c r="I802" s="91"/>
      <c r="J802" s="97"/>
      <c r="K802" s="294">
        <v>45894</v>
      </c>
      <c r="L802" s="332"/>
      <c r="M802" s="295">
        <v>44410</v>
      </c>
      <c r="N802" s="113" t="s">
        <v>5094</v>
      </c>
      <c r="O802" s="113" t="s">
        <v>5095</v>
      </c>
      <c r="P802" s="57"/>
      <c r="Q802" s="132">
        <v>0</v>
      </c>
      <c r="R802" s="132">
        <v>0</v>
      </c>
      <c r="S802" s="63" t="s">
        <v>943</v>
      </c>
      <c r="T802" s="67" t="s">
        <v>5096</v>
      </c>
      <c r="U802" s="67" t="s">
        <v>5097</v>
      </c>
      <c r="V802" s="113" t="s">
        <v>5098</v>
      </c>
      <c r="W802" s="222">
        <v>97005</v>
      </c>
      <c r="X802" s="141" t="s">
        <v>4871</v>
      </c>
      <c r="Z802" s="139" t="s">
        <v>4873</v>
      </c>
      <c r="AA802" s="200"/>
      <c r="AB802" s="130"/>
      <c r="AC802" s="202"/>
      <c r="AD802" s="200"/>
      <c r="AE802" s="113"/>
      <c r="AF802" s="113"/>
      <c r="AG802" s="113"/>
      <c r="AH802" s="113"/>
      <c r="AI802" s="130" t="s">
        <v>3369</v>
      </c>
      <c r="AJ802" s="135" t="s">
        <v>3369</v>
      </c>
      <c r="AK802" s="57"/>
      <c r="AL802" s="287" t="s">
        <v>149</v>
      </c>
      <c r="AM802" s="288">
        <v>13305</v>
      </c>
      <c r="AN802" s="288" t="s">
        <v>198</v>
      </c>
      <c r="AO802" s="288">
        <v>62245</v>
      </c>
      <c r="AS802" s="207" t="s">
        <v>5099</v>
      </c>
      <c r="AT802" s="116" t="s">
        <v>3542</v>
      </c>
      <c r="AU802" s="67" t="s">
        <v>3543</v>
      </c>
      <c r="AV802" s="251"/>
      <c r="AW802" s="67" t="s">
        <v>3544</v>
      </c>
      <c r="AX802" s="113" t="s">
        <v>5100</v>
      </c>
      <c r="AY802" s="222">
        <v>46242</v>
      </c>
      <c r="AZ802" s="199" t="s">
        <v>5095</v>
      </c>
    </row>
    <row r="803" spans="1:53" ht="12.75" customHeight="1" x14ac:dyDescent="0.4">
      <c r="A803" s="258" t="s">
        <v>5101</v>
      </c>
      <c r="B803" s="66" t="s">
        <v>98</v>
      </c>
      <c r="C803" s="224" t="s">
        <v>563</v>
      </c>
      <c r="D803" s="115"/>
      <c r="E803" s="120" t="s">
        <v>100</v>
      </c>
      <c r="F803" s="82"/>
      <c r="G803" s="84"/>
      <c r="H803" s="90" t="s">
        <v>100</v>
      </c>
      <c r="I803" s="91"/>
      <c r="J803" s="97"/>
      <c r="K803" s="294">
        <v>43887</v>
      </c>
      <c r="L803" s="332"/>
      <c r="M803" s="295"/>
      <c r="N803" s="113" t="s">
        <v>5102</v>
      </c>
      <c r="O803" s="113" t="s">
        <v>5095</v>
      </c>
      <c r="P803" s="57" t="s">
        <v>5103</v>
      </c>
      <c r="Q803" s="132">
        <v>0</v>
      </c>
      <c r="R803" s="132"/>
      <c r="S803" s="63" t="s">
        <v>943</v>
      </c>
      <c r="T803" s="67" t="s">
        <v>5104</v>
      </c>
      <c r="U803" s="67" t="s">
        <v>5105</v>
      </c>
      <c r="V803" s="113" t="s">
        <v>1504</v>
      </c>
      <c r="W803" s="222">
        <v>77494</v>
      </c>
      <c r="X803" s="141"/>
      <c r="Z803" s="236"/>
      <c r="AA803" s="200"/>
      <c r="AB803" s="130"/>
      <c r="AC803" s="202"/>
      <c r="AD803" s="200"/>
      <c r="AE803" s="113"/>
      <c r="AF803" s="113"/>
      <c r="AG803" s="113"/>
      <c r="AH803" s="113"/>
      <c r="AI803" s="130"/>
      <c r="AK803" s="57"/>
      <c r="AL803" s="287" t="s">
        <v>149</v>
      </c>
      <c r="AM803" s="288">
        <v>13305</v>
      </c>
      <c r="AN803" s="288" t="s">
        <v>198</v>
      </c>
      <c r="AO803" s="288">
        <v>62245</v>
      </c>
      <c r="AS803" s="207"/>
      <c r="AT803" s="116" t="s">
        <v>3542</v>
      </c>
      <c r="AU803" s="67" t="s">
        <v>5106</v>
      </c>
      <c r="AV803" s="251"/>
      <c r="AW803" s="67" t="s">
        <v>3544</v>
      </c>
      <c r="AX803" s="113" t="s">
        <v>3545</v>
      </c>
      <c r="AY803" s="222">
        <v>46242</v>
      </c>
      <c r="AZ803" s="199" t="s">
        <v>5095</v>
      </c>
      <c r="BA803" s="317"/>
    </row>
    <row r="804" spans="1:53" ht="12.75" customHeight="1" x14ac:dyDescent="0.4">
      <c r="A804" s="258" t="s">
        <v>5107</v>
      </c>
      <c r="B804" s="66" t="s">
        <v>98</v>
      </c>
      <c r="C804" s="224" t="s">
        <v>563</v>
      </c>
      <c r="D804" s="115" t="s">
        <v>3083</v>
      </c>
      <c r="E804" s="120" t="s">
        <v>100</v>
      </c>
      <c r="F804" s="82"/>
      <c r="G804" s="84"/>
      <c r="H804" s="90" t="s">
        <v>100</v>
      </c>
      <c r="I804" s="91"/>
      <c r="J804" s="97"/>
      <c r="K804" s="294">
        <v>44417</v>
      </c>
      <c r="L804" s="332"/>
      <c r="M804" s="295">
        <v>44357</v>
      </c>
      <c r="N804" s="113" t="s">
        <v>2928</v>
      </c>
      <c r="O804" s="113" t="s">
        <v>5108</v>
      </c>
      <c r="P804" s="57"/>
      <c r="Q804" s="132">
        <v>0</v>
      </c>
      <c r="R804" s="132"/>
      <c r="S804" s="63" t="s">
        <v>943</v>
      </c>
      <c r="T804" s="67" t="s">
        <v>5109</v>
      </c>
      <c r="U804" s="67" t="s">
        <v>5110</v>
      </c>
      <c r="V804" s="113" t="s">
        <v>4645</v>
      </c>
      <c r="W804" s="222">
        <v>80923</v>
      </c>
      <c r="X804" s="141"/>
      <c r="Z804" s="139"/>
      <c r="AA804" s="200"/>
      <c r="AB804" s="130"/>
      <c r="AC804" s="202"/>
      <c r="AD804" s="200"/>
      <c r="AE804" s="113"/>
      <c r="AF804" s="113"/>
      <c r="AG804" s="113"/>
      <c r="AH804" s="113"/>
      <c r="AI804" s="130"/>
      <c r="AK804" s="57"/>
      <c r="AL804" s="287" t="s">
        <v>149</v>
      </c>
      <c r="AM804" s="288">
        <v>13305</v>
      </c>
      <c r="AN804" s="288" t="s">
        <v>198</v>
      </c>
      <c r="AO804" s="288">
        <v>62245</v>
      </c>
      <c r="AS804" s="207" t="s">
        <v>5111</v>
      </c>
      <c r="AT804" s="116" t="s">
        <v>3542</v>
      </c>
      <c r="AU804" s="67" t="s">
        <v>3543</v>
      </c>
      <c r="AV804" s="251"/>
      <c r="AW804" s="67" t="s">
        <v>3544</v>
      </c>
      <c r="AX804" s="113" t="s">
        <v>5100</v>
      </c>
      <c r="AY804" s="222">
        <v>46242</v>
      </c>
      <c r="AZ804" s="199" t="s">
        <v>5095</v>
      </c>
    </row>
    <row r="805" spans="1:53" ht="12.75" customHeight="1" x14ac:dyDescent="0.4">
      <c r="A805" s="258" t="s">
        <v>5112</v>
      </c>
      <c r="B805" s="66" t="s">
        <v>98</v>
      </c>
      <c r="C805" s="224" t="s">
        <v>563</v>
      </c>
      <c r="D805" s="115" t="s">
        <v>3083</v>
      </c>
      <c r="E805" s="120" t="s">
        <v>100</v>
      </c>
      <c r="F805" s="82"/>
      <c r="G805" s="84"/>
      <c r="H805" s="90" t="s">
        <v>100</v>
      </c>
      <c r="I805" s="91"/>
      <c r="J805" s="97"/>
      <c r="K805" s="294">
        <v>42970</v>
      </c>
      <c r="L805" s="332"/>
      <c r="M805" s="295">
        <v>43614</v>
      </c>
      <c r="N805" s="113" t="s">
        <v>4507</v>
      </c>
      <c r="O805" s="113" t="s">
        <v>5113</v>
      </c>
      <c r="P805" s="57"/>
      <c r="Q805" s="132">
        <v>0</v>
      </c>
      <c r="R805" s="132"/>
      <c r="S805" s="63" t="s">
        <v>943</v>
      </c>
      <c r="T805" s="67" t="s">
        <v>5114</v>
      </c>
      <c r="U805" s="67" t="s">
        <v>5115</v>
      </c>
      <c r="V805" s="113" t="s">
        <v>5116</v>
      </c>
      <c r="W805" s="222">
        <v>77429</v>
      </c>
      <c r="X805" s="141"/>
      <c r="Z805" s="139"/>
      <c r="AA805" s="200"/>
      <c r="AB805" s="130"/>
      <c r="AC805" s="202"/>
      <c r="AD805" s="200"/>
      <c r="AE805" s="113"/>
      <c r="AF805" s="113"/>
      <c r="AG805" s="113"/>
      <c r="AH805" s="113"/>
      <c r="AI805" s="130" t="s">
        <v>3032</v>
      </c>
      <c r="AJ805" s="135" t="s">
        <v>3369</v>
      </c>
      <c r="AK805" s="57"/>
      <c r="AL805" s="287" t="s">
        <v>149</v>
      </c>
      <c r="AM805" s="288">
        <v>13305</v>
      </c>
      <c r="AN805" s="288" t="s">
        <v>198</v>
      </c>
      <c r="AO805" s="288">
        <v>62245</v>
      </c>
      <c r="AS805" s="207" t="s">
        <v>5117</v>
      </c>
      <c r="AT805" s="116" t="s">
        <v>3542</v>
      </c>
      <c r="AU805" s="67" t="s">
        <v>3543</v>
      </c>
      <c r="AV805" s="251"/>
      <c r="AW805" s="67" t="s">
        <v>3544</v>
      </c>
      <c r="AX805" s="113" t="s">
        <v>5100</v>
      </c>
      <c r="AY805" s="222">
        <v>46242</v>
      </c>
      <c r="AZ805" s="199" t="s">
        <v>5095</v>
      </c>
    </row>
    <row r="806" spans="1:53" ht="12.75" customHeight="1" x14ac:dyDescent="0.4">
      <c r="A806" s="258" t="s">
        <v>5118</v>
      </c>
      <c r="B806" s="66" t="s">
        <v>98</v>
      </c>
      <c r="C806" s="224" t="s">
        <v>563</v>
      </c>
      <c r="D806" s="115" t="s">
        <v>3083</v>
      </c>
      <c r="E806" s="120" t="s">
        <v>100</v>
      </c>
      <c r="F806" s="82"/>
      <c r="G806" s="84"/>
      <c r="H806" s="90" t="s">
        <v>100</v>
      </c>
      <c r="I806" s="91"/>
      <c r="J806" s="97"/>
      <c r="K806" s="294">
        <v>43832</v>
      </c>
      <c r="L806" s="332"/>
      <c r="M806" s="295">
        <v>43608</v>
      </c>
      <c r="N806" s="113" t="s">
        <v>5119</v>
      </c>
      <c r="O806" s="113" t="s">
        <v>5120</v>
      </c>
      <c r="P806" s="57" t="s">
        <v>5095</v>
      </c>
      <c r="Q806" s="132">
        <v>7.7499999999999999E-2</v>
      </c>
      <c r="R806" s="132">
        <v>0</v>
      </c>
      <c r="S806" s="63" t="s">
        <v>1249</v>
      </c>
      <c r="T806" s="67" t="s">
        <v>5121</v>
      </c>
      <c r="U806" s="67" t="s">
        <v>1249</v>
      </c>
      <c r="V806" s="113" t="s">
        <v>106</v>
      </c>
      <c r="W806" s="222">
        <v>95678</v>
      </c>
      <c r="X806" s="141"/>
      <c r="Z806" s="139"/>
      <c r="AA806" s="200"/>
      <c r="AB806" s="130"/>
      <c r="AC806" s="202"/>
      <c r="AD806" s="200"/>
      <c r="AE806" s="113"/>
      <c r="AF806" s="113"/>
      <c r="AG806" s="113"/>
      <c r="AH806" s="113"/>
      <c r="AI806" s="130" t="s">
        <v>3369</v>
      </c>
      <c r="AJ806" s="135" t="s">
        <v>3369</v>
      </c>
      <c r="AK806" s="57"/>
      <c r="AL806" s="287" t="s">
        <v>149</v>
      </c>
      <c r="AM806" s="288">
        <v>13305</v>
      </c>
      <c r="AN806" s="288" t="s">
        <v>198</v>
      </c>
      <c r="AO806" s="288">
        <v>62245</v>
      </c>
      <c r="AS806" s="207" t="s">
        <v>5122</v>
      </c>
      <c r="AT806" s="116" t="s">
        <v>3542</v>
      </c>
      <c r="AU806" s="67" t="s">
        <v>3543</v>
      </c>
      <c r="AV806" s="251"/>
      <c r="AW806" s="67" t="s">
        <v>3544</v>
      </c>
      <c r="AX806" s="113" t="s">
        <v>5100</v>
      </c>
      <c r="AY806" s="222">
        <v>46242</v>
      </c>
      <c r="AZ806" s="199" t="s">
        <v>5095</v>
      </c>
    </row>
    <row r="807" spans="1:53" ht="12.75" customHeight="1" x14ac:dyDescent="0.4">
      <c r="A807" s="258" t="s">
        <v>5123</v>
      </c>
      <c r="B807" s="66" t="s">
        <v>98</v>
      </c>
      <c r="C807" s="224" t="s">
        <v>563</v>
      </c>
      <c r="D807" s="115" t="s">
        <v>3083</v>
      </c>
      <c r="E807" s="120" t="s">
        <v>100</v>
      </c>
      <c r="F807" s="82"/>
      <c r="G807" s="84"/>
      <c r="H807" s="90" t="s">
        <v>100</v>
      </c>
      <c r="I807" s="91"/>
      <c r="J807" s="97"/>
      <c r="K807" s="294">
        <v>44463</v>
      </c>
      <c r="L807" s="332"/>
      <c r="M807" s="295">
        <v>43885</v>
      </c>
      <c r="N807" s="113" t="s">
        <v>5124</v>
      </c>
      <c r="O807" s="113" t="s">
        <v>5125</v>
      </c>
      <c r="P807" s="57"/>
      <c r="Q807" s="132">
        <v>9.375E-2</v>
      </c>
      <c r="R807" s="132"/>
      <c r="S807" s="63" t="s">
        <v>146</v>
      </c>
      <c r="T807" s="67" t="s">
        <v>5126</v>
      </c>
      <c r="U807" s="67" t="s">
        <v>148</v>
      </c>
      <c r="V807" s="113" t="s">
        <v>106</v>
      </c>
      <c r="W807" s="222">
        <v>95132</v>
      </c>
      <c r="X807" s="141"/>
      <c r="Z807" s="139"/>
      <c r="AA807" s="200"/>
      <c r="AB807" s="130"/>
      <c r="AC807" s="202"/>
      <c r="AD807" s="200"/>
      <c r="AE807" s="113"/>
      <c r="AF807" s="113"/>
      <c r="AG807" s="113"/>
      <c r="AH807" s="113"/>
      <c r="AI807" s="130"/>
      <c r="AK807" s="57"/>
      <c r="AL807" s="287" t="s">
        <v>149</v>
      </c>
      <c r="AM807" s="288">
        <v>13305</v>
      </c>
      <c r="AN807" s="288" t="s">
        <v>198</v>
      </c>
      <c r="AO807" s="288">
        <v>62245</v>
      </c>
      <c r="AS807" s="207" t="s">
        <v>5127</v>
      </c>
      <c r="AT807" s="116" t="s">
        <v>3542</v>
      </c>
      <c r="AU807" s="67" t="s">
        <v>3543</v>
      </c>
      <c r="AV807" s="251"/>
      <c r="AW807" s="67" t="s">
        <v>3544</v>
      </c>
      <c r="AX807" s="113" t="s">
        <v>5100</v>
      </c>
      <c r="AY807" s="222">
        <v>46242</v>
      </c>
      <c r="AZ807" s="199" t="s">
        <v>5095</v>
      </c>
    </row>
    <row r="808" spans="1:53" ht="12.75" customHeight="1" x14ac:dyDescent="0.4">
      <c r="A808" s="258" t="s">
        <v>5128</v>
      </c>
      <c r="B808" s="66" t="s">
        <v>269</v>
      </c>
      <c r="C808" s="224" t="s">
        <v>109</v>
      </c>
      <c r="D808" s="115"/>
      <c r="E808" s="120" t="s">
        <v>100</v>
      </c>
      <c r="F808" s="82"/>
      <c r="G808" s="84"/>
      <c r="H808" s="90" t="s">
        <v>100</v>
      </c>
      <c r="I808" s="91"/>
      <c r="J808" s="97"/>
      <c r="K808" s="294"/>
      <c r="L808" s="332"/>
      <c r="M808" s="295">
        <v>44820</v>
      </c>
      <c r="N808" s="113" t="s">
        <v>5026</v>
      </c>
      <c r="O808" s="113" t="s">
        <v>5129</v>
      </c>
      <c r="P808" s="57"/>
      <c r="Q808" s="132">
        <v>0.1075</v>
      </c>
      <c r="R808" s="132"/>
      <c r="S808" s="63" t="s">
        <v>1272</v>
      </c>
      <c r="T808" s="67" t="s">
        <v>5130</v>
      </c>
      <c r="U808" s="67" t="s">
        <v>1274</v>
      </c>
      <c r="V808" s="113" t="s">
        <v>106</v>
      </c>
      <c r="W808" s="222">
        <v>94577</v>
      </c>
      <c r="X808" s="141"/>
      <c r="Z808" s="236"/>
      <c r="AA808" s="200"/>
      <c r="AB808" s="130"/>
      <c r="AC808" s="202"/>
      <c r="AD808" s="200"/>
      <c r="AE808" s="113"/>
      <c r="AF808" s="113"/>
      <c r="AG808" s="113"/>
      <c r="AH808" s="113"/>
      <c r="AI808" s="130"/>
      <c r="AK808" s="57"/>
      <c r="AS808" s="207"/>
      <c r="AT808" s="116" t="s">
        <v>1469</v>
      </c>
      <c r="AU808" s="67" t="s">
        <v>5131</v>
      </c>
      <c r="AV808" s="251"/>
      <c r="AW808" s="67" t="s">
        <v>1274</v>
      </c>
      <c r="AX808" s="113" t="s">
        <v>106</v>
      </c>
      <c r="AY808" s="222">
        <v>94577</v>
      </c>
      <c r="AZ808" s="199" t="s">
        <v>5129</v>
      </c>
      <c r="BA808" s="317"/>
    </row>
    <row r="809" spans="1:53" ht="12.75" customHeight="1" x14ac:dyDescent="0.4">
      <c r="A809" s="258" t="s">
        <v>5132</v>
      </c>
      <c r="B809" s="66" t="s">
        <v>98</v>
      </c>
      <c r="C809" s="224" t="s">
        <v>99</v>
      </c>
      <c r="D809" s="115"/>
      <c r="E809" s="120" t="s">
        <v>100</v>
      </c>
      <c r="F809" s="82"/>
      <c r="G809" s="84"/>
      <c r="H809" s="90" t="s">
        <v>100</v>
      </c>
      <c r="I809" s="91"/>
      <c r="J809" s="97"/>
      <c r="K809" s="294">
        <v>45562</v>
      </c>
      <c r="L809" s="332"/>
      <c r="M809" s="295"/>
      <c r="N809" s="113" t="s">
        <v>5133</v>
      </c>
      <c r="O809" s="113"/>
      <c r="P809" s="57" t="s">
        <v>6334</v>
      </c>
      <c r="Q809" s="132">
        <v>9.375E-2</v>
      </c>
      <c r="R809" s="132"/>
      <c r="S809" s="63" t="s">
        <v>148</v>
      </c>
      <c r="T809" s="67" t="s">
        <v>5134</v>
      </c>
      <c r="U809" s="67" t="s">
        <v>148</v>
      </c>
      <c r="V809" s="113" t="s">
        <v>106</v>
      </c>
      <c r="W809" s="222">
        <v>95136</v>
      </c>
      <c r="X809" s="141"/>
      <c r="Z809" s="236"/>
      <c r="AA809" s="200"/>
      <c r="AB809" s="130"/>
      <c r="AC809" s="202"/>
      <c r="AD809" s="200"/>
      <c r="AE809" s="113"/>
      <c r="AF809" s="113"/>
      <c r="AG809" s="113"/>
      <c r="AH809" s="113"/>
      <c r="AI809" s="130"/>
      <c r="AK809" s="57"/>
      <c r="AL809" s="287" t="s">
        <v>251</v>
      </c>
      <c r="AM809" s="288" t="s">
        <v>545</v>
      </c>
      <c r="AN809" s="288">
        <v>15741</v>
      </c>
      <c r="AS809" s="207"/>
      <c r="AT809" s="116" t="s">
        <v>406</v>
      </c>
      <c r="AU809" s="67" t="s">
        <v>5134</v>
      </c>
      <c r="AV809" s="251"/>
      <c r="AW809" s="67" t="s">
        <v>148</v>
      </c>
      <c r="AX809" s="113" t="s">
        <v>106</v>
      </c>
      <c r="AY809" s="222">
        <v>95136</v>
      </c>
      <c r="AZ809" s="199"/>
      <c r="BA809" s="317"/>
    </row>
    <row r="810" spans="1:53" ht="12.75" customHeight="1" x14ac:dyDescent="0.4">
      <c r="A810" s="258" t="s">
        <v>5135</v>
      </c>
      <c r="B810" s="66" t="s">
        <v>98</v>
      </c>
      <c r="C810" s="224" t="s">
        <v>99</v>
      </c>
      <c r="D810" s="113"/>
      <c r="E810" s="120" t="s">
        <v>100</v>
      </c>
      <c r="F810" s="82"/>
      <c r="G810" s="84"/>
      <c r="H810" s="90" t="s">
        <v>100</v>
      </c>
      <c r="I810" s="91"/>
      <c r="J810" s="97"/>
      <c r="K810" s="294">
        <v>44825</v>
      </c>
      <c r="L810" s="332"/>
      <c r="M810" s="295"/>
      <c r="N810" s="113" t="s">
        <v>5136</v>
      </c>
      <c r="O810" s="130" t="s">
        <v>5137</v>
      </c>
      <c r="P810" s="199" t="s">
        <v>5138</v>
      </c>
      <c r="Q810" s="132">
        <v>8.6249999999999993E-2</v>
      </c>
      <c r="R810" s="132">
        <v>8.7499999999999994E-2</v>
      </c>
      <c r="S810" s="63" t="s">
        <v>103</v>
      </c>
      <c r="T810" s="67" t="s">
        <v>5139</v>
      </c>
      <c r="U810" s="67" t="s">
        <v>105</v>
      </c>
      <c r="V810" s="113" t="s">
        <v>106</v>
      </c>
      <c r="W810" s="222">
        <v>94132</v>
      </c>
      <c r="X810" s="141" t="s">
        <v>5140</v>
      </c>
      <c r="Y810" s="143"/>
      <c r="Z810" s="143"/>
      <c r="AA810" s="200"/>
      <c r="AB810" s="130"/>
      <c r="AC810" s="202"/>
      <c r="AD810" s="200"/>
      <c r="AE810" s="113"/>
      <c r="AF810" s="113"/>
      <c r="AG810" s="113"/>
      <c r="AH810" s="113"/>
      <c r="AI810" s="130" t="s">
        <v>5141</v>
      </c>
      <c r="AK810" s="57"/>
      <c r="AL810" s="287" t="s">
        <v>289</v>
      </c>
      <c r="AM810" s="288">
        <v>13305</v>
      </c>
      <c r="AN810" s="288">
        <v>15303</v>
      </c>
      <c r="AO810" s="288">
        <v>62245</v>
      </c>
      <c r="AQ810" s="288">
        <v>15741</v>
      </c>
      <c r="AS810" s="207" t="s">
        <v>132</v>
      </c>
      <c r="AT810" s="116" t="s">
        <v>1961</v>
      </c>
      <c r="AU810" s="67" t="s">
        <v>5139</v>
      </c>
      <c r="AV810" s="251"/>
      <c r="AW810" s="67" t="s">
        <v>105</v>
      </c>
      <c r="AX810" s="113" t="s">
        <v>106</v>
      </c>
      <c r="AY810" s="222">
        <v>94132</v>
      </c>
      <c r="AZ810" s="199" t="s">
        <v>5138</v>
      </c>
    </row>
    <row r="811" spans="1:53" ht="12.75" customHeight="1" x14ac:dyDescent="0.4">
      <c r="A811" s="258" t="s">
        <v>5142</v>
      </c>
      <c r="B811" s="66" t="s">
        <v>98</v>
      </c>
      <c r="C811" s="224" t="s">
        <v>99</v>
      </c>
      <c r="D811" s="115"/>
      <c r="E811" s="120" t="s">
        <v>100</v>
      </c>
      <c r="F811" s="82"/>
      <c r="G811" s="84"/>
      <c r="H811" s="90" t="s">
        <v>100</v>
      </c>
      <c r="I811" s="91"/>
      <c r="J811" s="97"/>
      <c r="K811" s="294">
        <v>44712</v>
      </c>
      <c r="L811" s="332"/>
      <c r="M811" s="295"/>
      <c r="N811" s="113" t="s">
        <v>996</v>
      </c>
      <c r="O811" s="113" t="s">
        <v>5143</v>
      </c>
      <c r="P811" s="57"/>
      <c r="Q811" s="132">
        <v>8.6249999999999993E-2</v>
      </c>
      <c r="R811" s="132"/>
      <c r="S811" s="63" t="s">
        <v>103</v>
      </c>
      <c r="T811" s="67" t="s">
        <v>5144</v>
      </c>
      <c r="U811" s="67" t="s">
        <v>105</v>
      </c>
      <c r="V811" s="113" t="s">
        <v>106</v>
      </c>
      <c r="W811" s="222">
        <v>94114</v>
      </c>
      <c r="X811" s="141" t="s">
        <v>5145</v>
      </c>
      <c r="Y811" s="141" t="s">
        <v>5145</v>
      </c>
      <c r="Z811" s="141" t="s">
        <v>5145</v>
      </c>
      <c r="AA811" s="200"/>
      <c r="AB811" s="130"/>
      <c r="AC811" s="202"/>
      <c r="AD811" s="200"/>
      <c r="AE811" s="113"/>
      <c r="AF811" s="113"/>
      <c r="AG811" s="113"/>
      <c r="AH811" s="113"/>
      <c r="AI811" s="130"/>
      <c r="AK811" s="57"/>
      <c r="AS811" s="207"/>
      <c r="AU811" s="67" t="s">
        <v>5144</v>
      </c>
      <c r="AV811" s="251"/>
      <c r="AW811" s="67" t="s">
        <v>105</v>
      </c>
      <c r="AX811" s="113" t="s">
        <v>106</v>
      </c>
      <c r="AY811" s="222">
        <v>94114</v>
      </c>
      <c r="AZ811" s="199" t="s">
        <v>5143</v>
      </c>
      <c r="BA811" s="317"/>
    </row>
    <row r="812" spans="1:53" ht="12" customHeight="1" x14ac:dyDescent="0.4">
      <c r="A812" s="258" t="s">
        <v>5146</v>
      </c>
      <c r="B812" s="66" t="s">
        <v>125</v>
      </c>
      <c r="C812" s="224" t="s">
        <v>109</v>
      </c>
      <c r="D812" s="115"/>
      <c r="E812" s="120" t="s">
        <v>100</v>
      </c>
      <c r="F812" s="82"/>
      <c r="G812" s="84"/>
      <c r="H812" s="90" t="s">
        <v>100</v>
      </c>
      <c r="I812" s="91"/>
      <c r="J812" s="97"/>
      <c r="K812" s="294">
        <v>45159</v>
      </c>
      <c r="L812" s="332"/>
      <c r="M812" s="295">
        <v>44348</v>
      </c>
      <c r="N812" s="113" t="s">
        <v>5147</v>
      </c>
      <c r="O812" s="113" t="s">
        <v>5148</v>
      </c>
      <c r="P812" s="57" t="s">
        <v>5149</v>
      </c>
      <c r="Q812" s="132">
        <v>9.5000000000000001E-2</v>
      </c>
      <c r="R812" s="132"/>
      <c r="S812" s="63" t="s">
        <v>6341</v>
      </c>
      <c r="T812" s="67" t="s">
        <v>5150</v>
      </c>
      <c r="U812" s="67" t="s">
        <v>869</v>
      </c>
      <c r="V812" s="113" t="s">
        <v>106</v>
      </c>
      <c r="W812" s="222">
        <v>95476</v>
      </c>
      <c r="X812" s="141"/>
      <c r="Z812" s="236"/>
      <c r="AA812" s="200"/>
      <c r="AB812" s="130"/>
      <c r="AC812" s="202"/>
      <c r="AD812" s="200"/>
      <c r="AE812" s="113"/>
      <c r="AF812" s="113"/>
      <c r="AG812" s="113"/>
      <c r="AH812" s="113"/>
      <c r="AI812" s="130"/>
      <c r="AK812" s="57"/>
      <c r="AL812" s="287" t="s">
        <v>1268</v>
      </c>
      <c r="AM812" s="288" t="s">
        <v>5151</v>
      </c>
      <c r="AS812" s="207"/>
      <c r="AU812" s="67" t="s">
        <v>5150</v>
      </c>
      <c r="AV812" s="251"/>
      <c r="AW812" s="67" t="s">
        <v>869</v>
      </c>
      <c r="AX812" s="113" t="s">
        <v>106</v>
      </c>
      <c r="AY812" s="222">
        <v>95476</v>
      </c>
      <c r="AZ812" s="199" t="s">
        <v>5148</v>
      </c>
      <c r="BA812" s="317"/>
    </row>
    <row r="813" spans="1:53" ht="12.75" customHeight="1" x14ac:dyDescent="0.25">
      <c r="A813" s="258" t="s">
        <v>5152</v>
      </c>
      <c r="B813" s="66" t="s">
        <v>1295</v>
      </c>
      <c r="C813" s="68" t="s">
        <v>435</v>
      </c>
      <c r="E813" s="118" t="s">
        <v>100</v>
      </c>
      <c r="F813" s="80"/>
      <c r="G813" s="81"/>
      <c r="H813" s="92" t="s">
        <v>100</v>
      </c>
      <c r="I813" s="86"/>
      <c r="J813" s="96"/>
      <c r="K813" s="297">
        <v>45824</v>
      </c>
      <c r="M813" s="298">
        <v>43249</v>
      </c>
      <c r="N813" s="128" t="s">
        <v>5153</v>
      </c>
      <c r="O813" s="128" t="s">
        <v>5154</v>
      </c>
      <c r="P813" s="59" t="s">
        <v>5155</v>
      </c>
      <c r="Q813" s="132">
        <v>9.375E-2</v>
      </c>
      <c r="R813" s="132">
        <v>0.09</v>
      </c>
      <c r="S813" s="63" t="s">
        <v>146</v>
      </c>
      <c r="T813" s="67" t="s">
        <v>5156</v>
      </c>
      <c r="U813" s="67" t="s">
        <v>148</v>
      </c>
      <c r="V813" s="79" t="s">
        <v>106</v>
      </c>
      <c r="W813" s="76">
        <v>95128</v>
      </c>
      <c r="X813" s="139" t="s">
        <v>5157</v>
      </c>
      <c r="Y813" s="139" t="s">
        <v>5157</v>
      </c>
      <c r="Z813" s="139" t="s">
        <v>5158</v>
      </c>
      <c r="AB813" s="135" t="s">
        <v>5159</v>
      </c>
      <c r="AL813" s="290" t="s">
        <v>149</v>
      </c>
      <c r="AM813" s="290"/>
      <c r="AN813" s="290"/>
      <c r="AO813" s="290"/>
      <c r="AP813" s="290"/>
      <c r="AQ813" s="290"/>
      <c r="AR813" s="290"/>
      <c r="AS813" s="207" t="s">
        <v>132</v>
      </c>
      <c r="AT813" s="116" t="s">
        <v>1961</v>
      </c>
      <c r="AU813" s="67" t="s">
        <v>5156</v>
      </c>
      <c r="AW813" s="67" t="s">
        <v>148</v>
      </c>
      <c r="AX813" s="79" t="s">
        <v>106</v>
      </c>
      <c r="AY813" s="76">
        <v>95128</v>
      </c>
      <c r="AZ813" s="77" t="s">
        <v>5154</v>
      </c>
      <c r="BA813" s="207"/>
    </row>
    <row r="814" spans="1:53" ht="12.75" customHeight="1" x14ac:dyDescent="0.4">
      <c r="A814" s="258" t="s">
        <v>5160</v>
      </c>
      <c r="B814" s="66" t="s">
        <v>253</v>
      </c>
      <c r="C814" s="224" t="s">
        <v>1076</v>
      </c>
      <c r="D814" s="113"/>
      <c r="E814" s="120" t="s">
        <v>1166</v>
      </c>
      <c r="F814" s="82" t="s">
        <v>174</v>
      </c>
      <c r="G814" s="84"/>
      <c r="H814" s="90" t="s">
        <v>253</v>
      </c>
      <c r="I814" s="91"/>
      <c r="J814" s="97"/>
      <c r="K814" s="294">
        <v>45894</v>
      </c>
      <c r="L814" s="332"/>
      <c r="M814" s="295">
        <v>43321</v>
      </c>
      <c r="N814" s="113" t="s">
        <v>5161</v>
      </c>
      <c r="O814" s="113" t="s">
        <v>5162</v>
      </c>
      <c r="P814" s="57"/>
      <c r="Q814" s="132">
        <v>7.7499999999999999E-2</v>
      </c>
      <c r="R814" s="132"/>
      <c r="S814" s="63" t="s">
        <v>907</v>
      </c>
      <c r="T814" s="67" t="s">
        <v>5163</v>
      </c>
      <c r="U814" s="67" t="s">
        <v>5164</v>
      </c>
      <c r="V814" s="113" t="s">
        <v>106</v>
      </c>
      <c r="W814" s="222">
        <v>94599</v>
      </c>
      <c r="Y814" s="205"/>
      <c r="Z814" s="236"/>
      <c r="AA814" s="200"/>
      <c r="AB814" s="130"/>
      <c r="AC814" s="202"/>
      <c r="AD814" s="200"/>
      <c r="AE814" s="113"/>
      <c r="AF814" s="113"/>
      <c r="AG814" s="113"/>
      <c r="AH814" s="113"/>
      <c r="AI814" s="130" t="s">
        <v>288</v>
      </c>
      <c r="AJ814" s="135" t="s">
        <v>131</v>
      </c>
      <c r="AK814" s="57"/>
      <c r="AL814" s="290"/>
      <c r="AM814" s="290"/>
      <c r="AN814" s="290"/>
      <c r="AO814" s="290"/>
      <c r="AP814" s="290"/>
      <c r="AQ814" s="290"/>
      <c r="AR814" s="290"/>
      <c r="AS814" s="207" t="s">
        <v>132</v>
      </c>
      <c r="AT814" s="116" t="s">
        <v>1961</v>
      </c>
      <c r="AU814" s="67" t="s">
        <v>5165</v>
      </c>
      <c r="AV814" s="251"/>
      <c r="AW814" s="67" t="s">
        <v>5164</v>
      </c>
      <c r="AX814" s="113" t="s">
        <v>106</v>
      </c>
      <c r="AY814" s="222">
        <v>94599</v>
      </c>
      <c r="AZ814" s="199" t="s">
        <v>5162</v>
      </c>
      <c r="BA814" s="317"/>
    </row>
    <row r="815" spans="1:53" ht="12.75" customHeight="1" x14ac:dyDescent="0.4">
      <c r="A815" s="258" t="s">
        <v>5166</v>
      </c>
      <c r="B815" s="66" t="s">
        <v>125</v>
      </c>
      <c r="C815" s="224" t="s">
        <v>119</v>
      </c>
      <c r="D815" s="115" t="s">
        <v>5167</v>
      </c>
      <c r="E815" s="120" t="s">
        <v>100</v>
      </c>
      <c r="F815" s="82"/>
      <c r="G815" s="84"/>
      <c r="H815" s="90" t="s">
        <v>100</v>
      </c>
      <c r="I815" s="91"/>
      <c r="J815" s="97"/>
      <c r="K815" s="294"/>
      <c r="L815" s="332"/>
      <c r="M815" s="295">
        <v>44708</v>
      </c>
      <c r="N815" s="113" t="s">
        <v>5168</v>
      </c>
      <c r="O815" s="113" t="s">
        <v>5169</v>
      </c>
      <c r="P815" s="57"/>
      <c r="Q815" s="132">
        <v>8.6249999999999993E-2</v>
      </c>
      <c r="R815" s="132"/>
      <c r="S815" s="63" t="s">
        <v>103</v>
      </c>
      <c r="T815" s="67" t="s">
        <v>5170</v>
      </c>
      <c r="U815" s="67" t="s">
        <v>105</v>
      </c>
      <c r="V815" s="113" t="s">
        <v>106</v>
      </c>
      <c r="W815" s="222">
        <v>94133</v>
      </c>
      <c r="X815" s="141"/>
      <c r="Z815" s="236"/>
      <c r="AA815" s="200"/>
      <c r="AB815" s="130"/>
      <c r="AC815" s="202"/>
      <c r="AD815" s="200"/>
      <c r="AE815" s="113"/>
      <c r="AF815" s="113"/>
      <c r="AG815" s="113"/>
      <c r="AH815" s="113"/>
      <c r="AI815" s="130"/>
      <c r="AK815" s="57"/>
      <c r="AS815" s="207"/>
      <c r="AU815" s="67" t="s">
        <v>5170</v>
      </c>
      <c r="AV815" s="251"/>
      <c r="AW815" s="67" t="s">
        <v>2156</v>
      </c>
      <c r="AX815" s="113" t="s">
        <v>106</v>
      </c>
      <c r="AY815" s="222">
        <v>94133</v>
      </c>
      <c r="AZ815" s="199" t="s">
        <v>5169</v>
      </c>
      <c r="BA815" s="317"/>
    </row>
    <row r="816" spans="1:53" ht="12.75" customHeight="1" x14ac:dyDescent="0.4">
      <c r="A816" s="258" t="s">
        <v>5171</v>
      </c>
      <c r="B816" s="66" t="s">
        <v>174</v>
      </c>
      <c r="C816" s="225" t="s">
        <v>119</v>
      </c>
      <c r="D816" s="112" t="s">
        <v>5172</v>
      </c>
      <c r="E816" s="119" t="s">
        <v>1166</v>
      </c>
      <c r="F816" s="82" t="s">
        <v>174</v>
      </c>
      <c r="G816" s="209"/>
      <c r="H816" s="88" t="s">
        <v>174</v>
      </c>
      <c r="I816" s="91"/>
      <c r="J816" s="223"/>
      <c r="K816" s="300">
        <v>43648</v>
      </c>
      <c r="L816" s="364"/>
      <c r="M816" s="301">
        <v>44515</v>
      </c>
      <c r="N816" s="112" t="s">
        <v>5173</v>
      </c>
      <c r="O816" s="112" t="s">
        <v>5174</v>
      </c>
      <c r="P816" s="198"/>
      <c r="Q816" s="132">
        <v>8.6249999999999993E-2</v>
      </c>
      <c r="R816" s="132">
        <v>8.7499999999999994E-2</v>
      </c>
      <c r="S816" s="63" t="s">
        <v>103</v>
      </c>
      <c r="T816" s="198" t="s">
        <v>5175</v>
      </c>
      <c r="U816" s="198" t="s">
        <v>105</v>
      </c>
      <c r="V816" s="112" t="s">
        <v>106</v>
      </c>
      <c r="W816" s="205">
        <v>94133</v>
      </c>
      <c r="X816" s="139" t="s">
        <v>5176</v>
      </c>
      <c r="Y816" s="139" t="s">
        <v>5176</v>
      </c>
      <c r="Z816" s="139" t="s">
        <v>5176</v>
      </c>
      <c r="AA816" s="203"/>
      <c r="AB816" s="205"/>
      <c r="AC816" s="206"/>
      <c r="AD816" s="203"/>
      <c r="AE816" s="205"/>
      <c r="AF816" s="205"/>
      <c r="AG816" s="205"/>
      <c r="AH816" s="205"/>
      <c r="AI816" s="205"/>
      <c r="AK816" s="318"/>
      <c r="AL816" s="287" t="s">
        <v>149</v>
      </c>
      <c r="AS816" s="207" t="s">
        <v>132</v>
      </c>
      <c r="AT816" s="116" t="s">
        <v>447</v>
      </c>
      <c r="AU816" s="198" t="s">
        <v>5177</v>
      </c>
      <c r="AV816" s="39"/>
      <c r="AW816" s="198" t="s">
        <v>105</v>
      </c>
      <c r="AX816" s="112" t="s">
        <v>106</v>
      </c>
      <c r="AY816" s="205">
        <v>94133</v>
      </c>
      <c r="AZ816" s="198" t="s">
        <v>5178</v>
      </c>
    </row>
    <row r="817" spans="1:53" ht="12.75" customHeight="1" x14ac:dyDescent="0.4">
      <c r="A817" s="258" t="s">
        <v>5179</v>
      </c>
      <c r="B817" s="66" t="s">
        <v>269</v>
      </c>
      <c r="C817" s="224" t="s">
        <v>109</v>
      </c>
      <c r="D817" s="115"/>
      <c r="E817" s="120" t="s">
        <v>100</v>
      </c>
      <c r="F817" s="80"/>
      <c r="G817" s="84"/>
      <c r="H817" s="90" t="s">
        <v>100</v>
      </c>
      <c r="I817" s="91"/>
      <c r="J817" s="97"/>
      <c r="K817" s="294">
        <v>45281</v>
      </c>
      <c r="L817" s="332"/>
      <c r="M817" s="295">
        <v>44747</v>
      </c>
      <c r="N817" s="113" t="s">
        <v>5180</v>
      </c>
      <c r="O817" s="113" t="s">
        <v>5181</v>
      </c>
      <c r="P817" s="57" t="s">
        <v>5182</v>
      </c>
      <c r="Q817" s="132">
        <v>9.2499999999999999E-2</v>
      </c>
      <c r="R817" s="132"/>
      <c r="S817" s="63" t="s">
        <v>303</v>
      </c>
      <c r="T817" s="67" t="s">
        <v>5183</v>
      </c>
      <c r="U817" s="67" t="s">
        <v>1533</v>
      </c>
      <c r="V817" s="113" t="s">
        <v>106</v>
      </c>
      <c r="W817" s="222">
        <v>94591</v>
      </c>
      <c r="X817" s="141"/>
      <c r="Z817" s="236"/>
      <c r="AA817" s="200"/>
      <c r="AB817" s="130"/>
      <c r="AC817" s="202"/>
      <c r="AD817" s="200"/>
      <c r="AE817" s="113"/>
      <c r="AF817" s="113"/>
      <c r="AG817" s="113"/>
      <c r="AH817" s="113"/>
      <c r="AI817" s="130"/>
      <c r="AK817" s="57"/>
      <c r="AL817" s="287" t="s">
        <v>251</v>
      </c>
      <c r="AS817" s="207" t="s">
        <v>132</v>
      </c>
      <c r="AT817" s="116" t="s">
        <v>1961</v>
      </c>
      <c r="AU817" s="67" t="s">
        <v>5183</v>
      </c>
      <c r="AV817" s="251"/>
      <c r="AW817" s="67" t="s">
        <v>1533</v>
      </c>
      <c r="AX817" s="113" t="s">
        <v>106</v>
      </c>
      <c r="AY817" s="222">
        <v>94591</v>
      </c>
      <c r="AZ817" s="199" t="s">
        <v>5181</v>
      </c>
      <c r="BA817" s="317"/>
    </row>
    <row r="818" spans="1:53" ht="12.75" customHeight="1" x14ac:dyDescent="0.25">
      <c r="A818" s="258" t="s">
        <v>5184</v>
      </c>
      <c r="B818" s="66" t="s">
        <v>98</v>
      </c>
      <c r="C818" s="68" t="s">
        <v>99</v>
      </c>
      <c r="E818" s="118" t="s">
        <v>100</v>
      </c>
      <c r="F818" s="80"/>
      <c r="G818" s="81"/>
      <c r="H818" s="92" t="s">
        <v>100</v>
      </c>
      <c r="I818" s="86"/>
      <c r="J818" s="96"/>
      <c r="K818" s="297">
        <v>46017</v>
      </c>
      <c r="M818" s="298"/>
      <c r="N818" s="128" t="s">
        <v>2512</v>
      </c>
      <c r="O818" s="128" t="s">
        <v>5185</v>
      </c>
      <c r="Q818" s="132">
        <v>8.6249999999999993E-2</v>
      </c>
      <c r="R818" s="132">
        <v>8.7499999999999994E-2</v>
      </c>
      <c r="S818" s="63" t="s">
        <v>103</v>
      </c>
      <c r="T818" s="67" t="s">
        <v>5186</v>
      </c>
      <c r="U818" s="67" t="s">
        <v>105</v>
      </c>
      <c r="V818" s="79" t="s">
        <v>106</v>
      </c>
      <c r="W818" s="76">
        <v>94105</v>
      </c>
      <c r="AA818" s="79" t="s">
        <v>5187</v>
      </c>
      <c r="AI818" s="135" t="s">
        <v>5188</v>
      </c>
      <c r="AJ818" s="135" t="s">
        <v>5189</v>
      </c>
      <c r="AL818" s="290">
        <v>54230</v>
      </c>
      <c r="AM818" s="290">
        <v>13305</v>
      </c>
      <c r="AN818" s="290" t="s">
        <v>257</v>
      </c>
      <c r="AO818" s="290">
        <v>62245</v>
      </c>
      <c r="AP818" s="290"/>
      <c r="AQ818" s="290"/>
      <c r="AR818" s="290"/>
      <c r="AS818" s="207" t="s">
        <v>132</v>
      </c>
      <c r="AT818" s="116" t="s">
        <v>1961</v>
      </c>
      <c r="AU818" s="67" t="s">
        <v>5186</v>
      </c>
      <c r="AW818" s="67" t="s">
        <v>105</v>
      </c>
      <c r="AX818" s="79" t="s">
        <v>106</v>
      </c>
      <c r="AY818" s="76">
        <v>94105</v>
      </c>
      <c r="AZ818" s="77" t="s">
        <v>5185</v>
      </c>
    </row>
    <row r="819" spans="1:53" ht="12.75" customHeight="1" x14ac:dyDescent="0.4">
      <c r="A819" s="258" t="s">
        <v>6322</v>
      </c>
      <c r="B819" s="66" t="s">
        <v>5190</v>
      </c>
      <c r="C819" s="224" t="s">
        <v>563</v>
      </c>
      <c r="D819" s="113"/>
      <c r="E819" s="120" t="s">
        <v>100</v>
      </c>
      <c r="F819" s="82"/>
      <c r="G819" s="84"/>
      <c r="H819" s="90" t="s">
        <v>100</v>
      </c>
      <c r="I819" s="91"/>
      <c r="J819" s="97"/>
      <c r="K819" s="294"/>
      <c r="L819" s="332"/>
      <c r="M819" s="295">
        <v>46022</v>
      </c>
      <c r="N819" s="113" t="s">
        <v>1778</v>
      </c>
      <c r="O819" s="113" t="s">
        <v>6</v>
      </c>
      <c r="P819" s="57"/>
      <c r="Q819" s="132">
        <v>9.2499999999999999E-2</v>
      </c>
      <c r="R819" s="132"/>
      <c r="S819" s="63" t="s">
        <v>226</v>
      </c>
      <c r="T819" s="67" t="s">
        <v>2</v>
      </c>
      <c r="U819" s="67" t="s">
        <v>228</v>
      </c>
      <c r="V819" s="113" t="s">
        <v>106</v>
      </c>
      <c r="W819" s="222">
        <v>94901</v>
      </c>
      <c r="X819" s="141"/>
      <c r="Y819" s="141"/>
      <c r="Z819" s="141"/>
      <c r="AA819" s="200"/>
      <c r="AB819" s="130"/>
      <c r="AC819" s="202"/>
      <c r="AD819" s="200"/>
      <c r="AE819" s="113"/>
      <c r="AF819" s="113"/>
      <c r="AG819" s="113"/>
      <c r="AH819" s="113"/>
      <c r="AI819" s="130"/>
      <c r="AK819" s="57"/>
      <c r="AL819" s="290"/>
      <c r="AM819" s="290"/>
      <c r="AN819" s="290"/>
      <c r="AO819" s="290"/>
      <c r="AP819" s="290"/>
      <c r="AQ819" s="290"/>
      <c r="AR819" s="290"/>
      <c r="AS819" s="207"/>
      <c r="AT819" s="116" t="s">
        <v>1184</v>
      </c>
      <c r="AU819" s="67" t="s">
        <v>2</v>
      </c>
      <c r="AV819" s="251"/>
      <c r="AW819" s="67" t="s">
        <v>228</v>
      </c>
      <c r="AX819" s="113" t="s">
        <v>106</v>
      </c>
      <c r="AY819" s="222">
        <v>94901</v>
      </c>
      <c r="AZ819" s="199" t="s">
        <v>6</v>
      </c>
      <c r="BA819" s="317"/>
    </row>
    <row r="820" spans="1:53" ht="12.75" customHeight="1" x14ac:dyDescent="0.4">
      <c r="A820" s="258" t="s">
        <v>5191</v>
      </c>
      <c r="B820" s="66" t="s">
        <v>174</v>
      </c>
      <c r="C820" s="68" t="s">
        <v>963</v>
      </c>
      <c r="E820" s="120" t="s">
        <v>1166</v>
      </c>
      <c r="F820" s="82" t="s">
        <v>174</v>
      </c>
      <c r="G820" s="84"/>
      <c r="H820" s="90" t="s">
        <v>174</v>
      </c>
      <c r="I820" s="91"/>
      <c r="J820" s="97"/>
      <c r="K820" s="294">
        <v>45667</v>
      </c>
      <c r="L820" s="332"/>
      <c r="M820" s="295"/>
      <c r="N820" s="128" t="s">
        <v>1053</v>
      </c>
      <c r="P820" s="59" t="s">
        <v>5192</v>
      </c>
      <c r="Q820" s="131">
        <v>8.6249999999999993E-2</v>
      </c>
      <c r="S820" s="63" t="s">
        <v>103</v>
      </c>
      <c r="T820" s="67" t="s">
        <v>5193</v>
      </c>
      <c r="U820" s="67" t="s">
        <v>105</v>
      </c>
      <c r="V820" s="79" t="s">
        <v>106</v>
      </c>
      <c r="W820" s="76">
        <v>94109</v>
      </c>
      <c r="AL820" s="287" t="s">
        <v>251</v>
      </c>
      <c r="AN820" s="288" t="s">
        <v>257</v>
      </c>
      <c r="AO820" s="288">
        <v>62245</v>
      </c>
      <c r="AS820" s="207" t="s">
        <v>132</v>
      </c>
      <c r="AT820" s="116" t="s">
        <v>589</v>
      </c>
      <c r="AU820" s="67" t="s">
        <v>5193</v>
      </c>
      <c r="AW820" s="67" t="s">
        <v>105</v>
      </c>
      <c r="AX820" s="79" t="s">
        <v>106</v>
      </c>
      <c r="AY820" s="76">
        <v>94109</v>
      </c>
      <c r="AZ820" s="77" t="s">
        <v>5192</v>
      </c>
    </row>
    <row r="821" spans="1:53" ht="12.75" customHeight="1" x14ac:dyDescent="0.25">
      <c r="A821" s="258" t="s">
        <v>5194</v>
      </c>
      <c r="B821" s="66" t="s">
        <v>98</v>
      </c>
      <c r="C821" s="68" t="s">
        <v>563</v>
      </c>
      <c r="E821" s="118" t="s">
        <v>100</v>
      </c>
      <c r="F821" s="80"/>
      <c r="G821" s="81"/>
      <c r="H821" s="92" t="s">
        <v>100</v>
      </c>
      <c r="I821" s="86"/>
      <c r="J821" s="96"/>
      <c r="K821" s="297">
        <v>44876</v>
      </c>
      <c r="M821" s="298"/>
      <c r="N821" s="128" t="s">
        <v>5195</v>
      </c>
      <c r="O821" s="128" t="s">
        <v>5196</v>
      </c>
      <c r="Q821" s="132">
        <v>8.6249999999999993E-2</v>
      </c>
      <c r="R821" s="132"/>
      <c r="S821" s="63" t="s">
        <v>103</v>
      </c>
      <c r="T821" s="67" t="s">
        <v>5197</v>
      </c>
      <c r="U821" s="67" t="s">
        <v>105</v>
      </c>
      <c r="V821" s="79" t="s">
        <v>106</v>
      </c>
      <c r="W821" s="76">
        <v>94110</v>
      </c>
      <c r="X821" s="141"/>
      <c r="Y821" s="226" t="s">
        <v>5198</v>
      </c>
      <c r="Z821" s="226" t="s">
        <v>5198</v>
      </c>
      <c r="AA821" s="79" t="s">
        <v>5199</v>
      </c>
      <c r="AL821" s="290">
        <v>54273</v>
      </c>
      <c r="AM821" s="290">
        <v>13305</v>
      </c>
      <c r="AN821" s="290" t="s">
        <v>198</v>
      </c>
      <c r="AO821" s="290"/>
      <c r="AP821" s="290"/>
      <c r="AQ821" s="290"/>
      <c r="AR821" s="290"/>
      <c r="AS821" s="207" t="s">
        <v>132</v>
      </c>
      <c r="AT821" s="116" t="s">
        <v>1961</v>
      </c>
      <c r="AU821" s="67" t="s">
        <v>5197</v>
      </c>
      <c r="AW821" s="67" t="s">
        <v>105</v>
      </c>
      <c r="AX821" s="79" t="s">
        <v>106</v>
      </c>
      <c r="AY821" s="76">
        <v>94110</v>
      </c>
      <c r="AZ821" s="77" t="s">
        <v>5196</v>
      </c>
    </row>
    <row r="822" spans="1:53" ht="12.75" customHeight="1" x14ac:dyDescent="0.4">
      <c r="A822" s="258" t="s">
        <v>5200</v>
      </c>
      <c r="B822" s="66" t="s">
        <v>98</v>
      </c>
      <c r="C822" s="68" t="s">
        <v>99</v>
      </c>
      <c r="E822" s="120" t="s">
        <v>1166</v>
      </c>
      <c r="F822" s="82" t="s">
        <v>174</v>
      </c>
      <c r="G822" s="84"/>
      <c r="H822" s="90" t="s">
        <v>100</v>
      </c>
      <c r="I822" s="91"/>
      <c r="J822" s="97"/>
      <c r="K822" s="294">
        <v>45296</v>
      </c>
      <c r="L822" s="332"/>
      <c r="M822" s="295"/>
      <c r="N822" s="128" t="s">
        <v>5201</v>
      </c>
      <c r="O822" s="128" t="s">
        <v>5202</v>
      </c>
      <c r="Q822" s="131">
        <v>8.6249999999999993E-2</v>
      </c>
      <c r="S822" s="63" t="s">
        <v>103</v>
      </c>
      <c r="T822" s="67" t="s">
        <v>5203</v>
      </c>
      <c r="U822" s="67" t="s">
        <v>105</v>
      </c>
      <c r="V822" s="79" t="s">
        <v>106</v>
      </c>
      <c r="W822" s="76">
        <v>94127</v>
      </c>
      <c r="AL822" s="287" t="s">
        <v>251</v>
      </c>
      <c r="AS822" s="207"/>
      <c r="AU822" s="67" t="s">
        <v>5204</v>
      </c>
      <c r="AW822" s="67" t="s">
        <v>105</v>
      </c>
      <c r="AX822" s="79" t="s">
        <v>106</v>
      </c>
      <c r="AY822" s="76">
        <v>94127</v>
      </c>
      <c r="AZ822" s="77" t="s">
        <v>4358</v>
      </c>
    </row>
    <row r="823" spans="1:53" ht="12.75" customHeight="1" x14ac:dyDescent="0.4">
      <c r="A823" s="258" t="s">
        <v>5205</v>
      </c>
      <c r="B823" s="66" t="s">
        <v>125</v>
      </c>
      <c r="C823" s="224" t="s">
        <v>99</v>
      </c>
      <c r="D823" s="113"/>
      <c r="E823" s="120" t="s">
        <v>100</v>
      </c>
      <c r="F823" s="82"/>
      <c r="G823" s="84"/>
      <c r="H823" s="90" t="s">
        <v>100</v>
      </c>
      <c r="I823" s="91"/>
      <c r="J823" s="97"/>
      <c r="K823" s="294"/>
      <c r="L823" s="332"/>
      <c r="M823" s="295">
        <v>43903</v>
      </c>
      <c r="N823" s="113" t="s">
        <v>5206</v>
      </c>
      <c r="O823" s="113" t="s">
        <v>5207</v>
      </c>
      <c r="P823" s="57"/>
      <c r="Q823" s="132">
        <v>0.10249999999999999</v>
      </c>
      <c r="R823" s="132"/>
      <c r="S823" s="63" t="s">
        <v>113</v>
      </c>
      <c r="T823" s="67" t="s">
        <v>5208</v>
      </c>
      <c r="U823" s="67" t="s">
        <v>115</v>
      </c>
      <c r="V823" s="113" t="s">
        <v>106</v>
      </c>
      <c r="W823" s="222">
        <v>94601</v>
      </c>
      <c r="Y823" s="139" t="s">
        <v>4872</v>
      </c>
      <c r="Z823" s="236"/>
      <c r="AA823" s="200"/>
      <c r="AB823" s="130"/>
      <c r="AC823" s="202"/>
      <c r="AD823" s="200"/>
      <c r="AE823" s="113"/>
      <c r="AF823" s="113"/>
      <c r="AG823" s="113"/>
      <c r="AH823" s="113"/>
      <c r="AI823" s="130"/>
      <c r="AK823" s="57"/>
      <c r="AS823" s="207" t="s">
        <v>5209</v>
      </c>
      <c r="AT823" s="116" t="s">
        <v>5210</v>
      </c>
      <c r="AU823" s="67" t="s">
        <v>3543</v>
      </c>
      <c r="AV823" s="251"/>
      <c r="AW823" s="67" t="s">
        <v>3544</v>
      </c>
      <c r="AX823" s="113" t="s">
        <v>5100</v>
      </c>
      <c r="AY823" s="222">
        <v>46242</v>
      </c>
      <c r="AZ823" s="199" t="s">
        <v>5095</v>
      </c>
    </row>
    <row r="824" spans="1:53" ht="12.75" customHeight="1" x14ac:dyDescent="0.4">
      <c r="A824" s="258" t="s">
        <v>5211</v>
      </c>
      <c r="B824" s="66" t="s">
        <v>125</v>
      </c>
      <c r="C824" s="224" t="s">
        <v>99</v>
      </c>
      <c r="D824" s="115" t="s">
        <v>5212</v>
      </c>
      <c r="E824" s="120" t="s">
        <v>100</v>
      </c>
      <c r="F824" s="82"/>
      <c r="G824" s="84"/>
      <c r="H824" s="90" t="s">
        <v>100</v>
      </c>
      <c r="I824" s="91"/>
      <c r="J824" s="97"/>
      <c r="K824" s="294"/>
      <c r="L824" s="332"/>
      <c r="M824" s="295">
        <v>44637</v>
      </c>
      <c r="N824" s="113" t="s">
        <v>5213</v>
      </c>
      <c r="O824" s="130" t="s">
        <v>5214</v>
      </c>
      <c r="P824" s="57"/>
      <c r="Q824" s="132">
        <v>0</v>
      </c>
      <c r="R824" s="132"/>
      <c r="S824" s="63" t="s">
        <v>943</v>
      </c>
      <c r="T824" s="67" t="s">
        <v>5215</v>
      </c>
      <c r="U824" s="67" t="s">
        <v>1634</v>
      </c>
      <c r="V824" s="113" t="s">
        <v>2479</v>
      </c>
      <c r="W824" s="222">
        <v>85301</v>
      </c>
      <c r="X824" s="141"/>
      <c r="Y824" s="139" t="s">
        <v>4872</v>
      </c>
      <c r="Z824" s="236"/>
      <c r="AA824" s="200"/>
      <c r="AB824" s="130"/>
      <c r="AC824" s="202"/>
      <c r="AD824" s="200"/>
      <c r="AE824" s="113"/>
      <c r="AF824" s="113"/>
      <c r="AG824" s="113"/>
      <c r="AH824" s="113"/>
      <c r="AI824" s="130"/>
      <c r="AK824" s="57"/>
      <c r="AS824" s="207" t="s">
        <v>5216</v>
      </c>
      <c r="AT824" s="116" t="s">
        <v>3542</v>
      </c>
      <c r="AU824" s="67" t="s">
        <v>3543</v>
      </c>
      <c r="AV824" s="251"/>
      <c r="AW824" s="67" t="s">
        <v>3544</v>
      </c>
      <c r="AX824" s="113" t="s">
        <v>5100</v>
      </c>
      <c r="AY824" s="222">
        <v>46242</v>
      </c>
      <c r="AZ824" s="199" t="s">
        <v>5095</v>
      </c>
      <c r="BA824" s="317"/>
    </row>
    <row r="825" spans="1:53" ht="12.75" customHeight="1" x14ac:dyDescent="0.4">
      <c r="A825" s="258" t="s">
        <v>5217</v>
      </c>
      <c r="B825" s="66" t="s">
        <v>98</v>
      </c>
      <c r="C825" s="224" t="s">
        <v>99</v>
      </c>
      <c r="D825" s="115"/>
      <c r="E825" s="120" t="s">
        <v>100</v>
      </c>
      <c r="F825" s="82"/>
      <c r="G825" s="84"/>
      <c r="H825" s="90" t="s">
        <v>100</v>
      </c>
      <c r="I825" s="91"/>
      <c r="J825" s="97"/>
      <c r="K825" s="294"/>
      <c r="L825" s="332"/>
      <c r="M825" s="295">
        <v>44637</v>
      </c>
      <c r="N825" s="113" t="s">
        <v>5218</v>
      </c>
      <c r="O825" s="113" t="s">
        <v>5219</v>
      </c>
      <c r="P825" s="57" t="s">
        <v>5220</v>
      </c>
      <c r="Q825" s="132">
        <v>0</v>
      </c>
      <c r="R825" s="132"/>
      <c r="S825" s="63" t="s">
        <v>943</v>
      </c>
      <c r="T825" s="67" t="s">
        <v>5221</v>
      </c>
      <c r="U825" s="67" t="s">
        <v>2497</v>
      </c>
      <c r="V825" s="113" t="s">
        <v>2498</v>
      </c>
      <c r="W825" s="222">
        <v>89032</v>
      </c>
      <c r="X825" s="141"/>
      <c r="Y825" s="139" t="s">
        <v>4872</v>
      </c>
      <c r="Z825" s="236"/>
      <c r="AA825" s="200" t="s">
        <v>5222</v>
      </c>
      <c r="AB825" s="130"/>
      <c r="AC825" s="202"/>
      <c r="AD825" s="200"/>
      <c r="AE825" s="113"/>
      <c r="AF825" s="113"/>
      <c r="AG825" s="113"/>
      <c r="AH825" s="113"/>
      <c r="AI825" s="130"/>
      <c r="AK825" s="57"/>
      <c r="AS825" s="207" t="s">
        <v>5223</v>
      </c>
      <c r="AT825" s="116" t="s">
        <v>5224</v>
      </c>
      <c r="AU825" s="67" t="s">
        <v>3543</v>
      </c>
      <c r="AV825" s="251"/>
      <c r="AW825" s="67" t="s">
        <v>3544</v>
      </c>
      <c r="AX825" s="113" t="s">
        <v>5100</v>
      </c>
      <c r="AY825" s="222">
        <v>46242</v>
      </c>
      <c r="AZ825" s="199" t="s">
        <v>5095</v>
      </c>
      <c r="BA825" s="317"/>
    </row>
    <row r="826" spans="1:53" ht="12.75" customHeight="1" x14ac:dyDescent="0.4">
      <c r="A826" s="258" t="s">
        <v>5225</v>
      </c>
      <c r="B826" s="66" t="s">
        <v>1706</v>
      </c>
      <c r="C826" s="224" t="s">
        <v>99</v>
      </c>
      <c r="D826" s="115" t="s">
        <v>5226</v>
      </c>
      <c r="E826" s="120" t="s">
        <v>100</v>
      </c>
      <c r="F826" s="82"/>
      <c r="G826" s="84"/>
      <c r="H826" s="90" t="s">
        <v>100</v>
      </c>
      <c r="I826" s="91"/>
      <c r="J826" s="97"/>
      <c r="K826" s="294"/>
      <c r="L826" s="332"/>
      <c r="M826" s="295">
        <v>45544</v>
      </c>
      <c r="N826" s="113" t="s">
        <v>5213</v>
      </c>
      <c r="O826" s="113" t="s">
        <v>5227</v>
      </c>
      <c r="P826" s="57" t="s">
        <v>5220</v>
      </c>
      <c r="Q826" s="132">
        <v>0</v>
      </c>
      <c r="R826" s="132"/>
      <c r="S826" s="63" t="s">
        <v>943</v>
      </c>
      <c r="T826" s="67" t="s">
        <v>5228</v>
      </c>
      <c r="U826" s="67" t="s">
        <v>5229</v>
      </c>
      <c r="V826" s="113" t="s">
        <v>2498</v>
      </c>
      <c r="W826" s="222">
        <v>89431</v>
      </c>
      <c r="X826" s="141"/>
      <c r="Y826" s="139" t="s">
        <v>4872</v>
      </c>
      <c r="Z826" s="236"/>
      <c r="AA826" s="200"/>
      <c r="AB826" s="130"/>
      <c r="AC826" s="202"/>
      <c r="AD826" s="200"/>
      <c r="AE826" s="113"/>
      <c r="AF826" s="113"/>
      <c r="AG826" s="113"/>
      <c r="AH826" s="113"/>
      <c r="AI826" s="130"/>
      <c r="AK826" s="57"/>
      <c r="AS826" s="207"/>
      <c r="AT826" s="116" t="s">
        <v>5224</v>
      </c>
      <c r="AU826" s="67" t="s">
        <v>3543</v>
      </c>
      <c r="AV826" s="251"/>
      <c r="AW826" s="67" t="s">
        <v>3544</v>
      </c>
      <c r="AX826" s="113" t="s">
        <v>5100</v>
      </c>
      <c r="AY826" s="222">
        <v>46242</v>
      </c>
      <c r="AZ826" s="199" t="s">
        <v>5095</v>
      </c>
      <c r="BA826" s="317"/>
    </row>
    <row r="827" spans="1:53" ht="12.75" customHeight="1" x14ac:dyDescent="0.4">
      <c r="A827" s="258" t="s">
        <v>5230</v>
      </c>
      <c r="B827" s="66" t="s">
        <v>98</v>
      </c>
      <c r="C827" s="224" t="s">
        <v>99</v>
      </c>
      <c r="D827" s="115"/>
      <c r="E827" s="120" t="s">
        <v>100</v>
      </c>
      <c r="F827" s="82"/>
      <c r="G827" s="84"/>
      <c r="H827" s="90" t="s">
        <v>100</v>
      </c>
      <c r="I827" s="91"/>
      <c r="J827" s="97"/>
      <c r="K827" s="294"/>
      <c r="L827" s="332"/>
      <c r="M827" s="295">
        <v>44637</v>
      </c>
      <c r="N827" s="113" t="s">
        <v>5218</v>
      </c>
      <c r="O827" s="113" t="s">
        <v>5231</v>
      </c>
      <c r="P827" s="57" t="s">
        <v>5220</v>
      </c>
      <c r="Q827" s="132">
        <v>8.7499999999999994E-2</v>
      </c>
      <c r="R827" s="132"/>
      <c r="S827" s="63" t="s">
        <v>309</v>
      </c>
      <c r="T827" s="67" t="s">
        <v>5232</v>
      </c>
      <c r="U827" s="67" t="s">
        <v>311</v>
      </c>
      <c r="V827" s="113" t="s">
        <v>106</v>
      </c>
      <c r="W827" s="222">
        <v>95827</v>
      </c>
      <c r="X827" s="141"/>
      <c r="Y827" s="139" t="s">
        <v>4872</v>
      </c>
      <c r="Z827" s="236"/>
      <c r="AA827" s="200"/>
      <c r="AB827" s="130"/>
      <c r="AC827" s="202"/>
      <c r="AD827" s="200"/>
      <c r="AE827" s="113"/>
      <c r="AF827" s="113"/>
      <c r="AG827" s="113"/>
      <c r="AH827" s="113"/>
      <c r="AI827" s="130"/>
      <c r="AK827" s="57"/>
      <c r="AS827" s="207" t="s">
        <v>5223</v>
      </c>
      <c r="AT827" s="116" t="s">
        <v>5224</v>
      </c>
      <c r="AU827" s="67" t="s">
        <v>3543</v>
      </c>
      <c r="AV827" s="251"/>
      <c r="AW827" s="67" t="s">
        <v>3544</v>
      </c>
      <c r="AX827" s="113" t="s">
        <v>5100</v>
      </c>
      <c r="AY827" s="222">
        <v>46242</v>
      </c>
      <c r="AZ827" s="199" t="s">
        <v>5095</v>
      </c>
      <c r="BA827" s="317"/>
    </row>
    <row r="828" spans="1:53" ht="12.75" customHeight="1" x14ac:dyDescent="0.4">
      <c r="A828" s="258" t="s">
        <v>5233</v>
      </c>
      <c r="B828" s="66" t="s">
        <v>98</v>
      </c>
      <c r="C828" s="224" t="s">
        <v>99</v>
      </c>
      <c r="D828" s="115"/>
      <c r="E828" s="120" t="s">
        <v>100</v>
      </c>
      <c r="F828" s="82"/>
      <c r="G828" s="84"/>
      <c r="H828" s="90" t="s">
        <v>100</v>
      </c>
      <c r="I828" s="91"/>
      <c r="J828" s="97"/>
      <c r="K828" s="294"/>
      <c r="L828" s="332"/>
      <c r="M828" s="295">
        <v>44637</v>
      </c>
      <c r="N828" s="113" t="s">
        <v>5218</v>
      </c>
      <c r="O828" s="113" t="s">
        <v>5234</v>
      </c>
      <c r="P828" s="57" t="s">
        <v>5220</v>
      </c>
      <c r="Q828" s="132">
        <v>9.375E-2</v>
      </c>
      <c r="R828" s="132"/>
      <c r="S828" s="63" t="s">
        <v>146</v>
      </c>
      <c r="T828" s="67" t="s">
        <v>5235</v>
      </c>
      <c r="U828" s="67" t="s">
        <v>148</v>
      </c>
      <c r="V828" s="113" t="s">
        <v>106</v>
      </c>
      <c r="W828" s="222">
        <v>95136</v>
      </c>
      <c r="X828" s="141"/>
      <c r="Y828" s="139" t="s">
        <v>4872</v>
      </c>
      <c r="Z828" s="236"/>
      <c r="AA828" s="200"/>
      <c r="AB828" s="130"/>
      <c r="AC828" s="202"/>
      <c r="AD828" s="200"/>
      <c r="AE828" s="113"/>
      <c r="AF828" s="113"/>
      <c r="AG828" s="113"/>
      <c r="AH828" s="113"/>
      <c r="AI828" s="130"/>
      <c r="AK828" s="57"/>
      <c r="AS828" s="207"/>
      <c r="AT828" s="116" t="s">
        <v>5224</v>
      </c>
      <c r="AU828" s="67" t="s">
        <v>3543</v>
      </c>
      <c r="AV828" s="251"/>
      <c r="AW828" s="67" t="s">
        <v>3544</v>
      </c>
      <c r="AX828" s="113" t="s">
        <v>5100</v>
      </c>
      <c r="AY828" s="222">
        <v>46242</v>
      </c>
      <c r="AZ828" s="199" t="s">
        <v>5095</v>
      </c>
      <c r="BA828" s="317"/>
    </row>
    <row r="829" spans="1:53" ht="12.75" customHeight="1" x14ac:dyDescent="0.4">
      <c r="A829" s="258" t="s">
        <v>5236</v>
      </c>
      <c r="B829" s="66" t="s">
        <v>125</v>
      </c>
      <c r="C829" s="224" t="s">
        <v>99</v>
      </c>
      <c r="D829" s="113" t="s">
        <v>5237</v>
      </c>
      <c r="E829" s="120" t="s">
        <v>100</v>
      </c>
      <c r="F829" s="82"/>
      <c r="G829" s="84"/>
      <c r="H829" s="90" t="s">
        <v>100</v>
      </c>
      <c r="I829" s="91"/>
      <c r="J829" s="97"/>
      <c r="K829" s="294"/>
      <c r="L829" s="332"/>
      <c r="M829" s="295">
        <v>45252</v>
      </c>
      <c r="N829" s="113" t="s">
        <v>1192</v>
      </c>
      <c r="O829" s="113" t="s">
        <v>5238</v>
      </c>
      <c r="P829" s="57" t="s">
        <v>5239</v>
      </c>
      <c r="Q829" s="132">
        <v>9.7500000000000003E-2</v>
      </c>
      <c r="R829" s="132"/>
      <c r="S829" s="63" t="s">
        <v>138</v>
      </c>
      <c r="T829" s="67" t="s">
        <v>5240</v>
      </c>
      <c r="U829" s="67" t="s">
        <v>138</v>
      </c>
      <c r="V829" s="113" t="s">
        <v>106</v>
      </c>
      <c r="W829" s="222">
        <v>94520</v>
      </c>
      <c r="Y829" s="139" t="s">
        <v>4872</v>
      </c>
      <c r="Z829" s="236"/>
      <c r="AA829" s="200"/>
      <c r="AB829" s="130"/>
      <c r="AC829" s="202"/>
      <c r="AD829" s="200"/>
      <c r="AE829" s="113"/>
      <c r="AF829" s="113"/>
      <c r="AG829" s="113"/>
      <c r="AH829" s="113"/>
      <c r="AI829" s="130"/>
      <c r="AK829" s="57"/>
      <c r="AS829" s="207" t="s">
        <v>5241</v>
      </c>
      <c r="AT829" s="116" t="s">
        <v>5210</v>
      </c>
      <c r="AU829" s="67" t="s">
        <v>3543</v>
      </c>
      <c r="AV829" s="251"/>
      <c r="AW829" s="67" t="s">
        <v>3544</v>
      </c>
      <c r="AX829" s="113" t="s">
        <v>5100</v>
      </c>
      <c r="AY829" s="222">
        <v>46242</v>
      </c>
      <c r="AZ829" s="199" t="s">
        <v>5095</v>
      </c>
    </row>
    <row r="830" spans="1:53" ht="12.75" customHeight="1" x14ac:dyDescent="0.4">
      <c r="A830" s="258" t="s">
        <v>5242</v>
      </c>
      <c r="B830" s="66" t="s">
        <v>125</v>
      </c>
      <c r="C830" s="224" t="s">
        <v>99</v>
      </c>
      <c r="D830" s="115" t="s">
        <v>5243</v>
      </c>
      <c r="E830" s="120" t="s">
        <v>100</v>
      </c>
      <c r="F830" s="82"/>
      <c r="G830" s="84"/>
      <c r="H830" s="90" t="s">
        <v>100</v>
      </c>
      <c r="I830" s="91"/>
      <c r="J830" s="97"/>
      <c r="K830" s="294"/>
      <c r="L830" s="332"/>
      <c r="M830" s="295">
        <v>44742</v>
      </c>
      <c r="N830" s="113" t="s">
        <v>5244</v>
      </c>
      <c r="O830" s="113" t="s">
        <v>5245</v>
      </c>
      <c r="P830" s="57"/>
      <c r="Q830" s="132">
        <v>8.7499999999999994E-2</v>
      </c>
      <c r="R830" s="132"/>
      <c r="S830" s="63" t="s">
        <v>2912</v>
      </c>
      <c r="T830" s="67" t="s">
        <v>5246</v>
      </c>
      <c r="U830" s="67" t="s">
        <v>5247</v>
      </c>
      <c r="V830" s="113" t="s">
        <v>106</v>
      </c>
      <c r="W830" s="222">
        <v>93117</v>
      </c>
      <c r="X830" s="141"/>
      <c r="Z830" s="236"/>
      <c r="AA830" s="200"/>
      <c r="AB830" s="130"/>
      <c r="AC830" s="202"/>
      <c r="AD830" s="200"/>
      <c r="AE830" s="113"/>
      <c r="AF830" s="113"/>
      <c r="AG830" s="113"/>
      <c r="AH830" s="113"/>
      <c r="AI830" s="130"/>
      <c r="AK830" s="57"/>
      <c r="AS830" s="207"/>
      <c r="AT830" s="116" t="s">
        <v>3542</v>
      </c>
      <c r="AU830" s="67" t="s">
        <v>3543</v>
      </c>
      <c r="AV830" s="251"/>
      <c r="AW830" s="67" t="s">
        <v>3544</v>
      </c>
      <c r="AX830" s="113" t="s">
        <v>5100</v>
      </c>
      <c r="AY830" s="222">
        <v>46242</v>
      </c>
      <c r="AZ830" s="199" t="s">
        <v>5095</v>
      </c>
      <c r="BA830" s="317"/>
    </row>
    <row r="831" spans="1:53" ht="12.75" customHeight="1" x14ac:dyDescent="0.4">
      <c r="A831" s="258" t="s">
        <v>5248</v>
      </c>
      <c r="B831" s="66" t="s">
        <v>98</v>
      </c>
      <c r="C831" s="224" t="s">
        <v>99</v>
      </c>
      <c r="D831" s="115"/>
      <c r="E831" s="120" t="s">
        <v>100</v>
      </c>
      <c r="F831" s="82"/>
      <c r="G831" s="84"/>
      <c r="H831" s="90" t="s">
        <v>100</v>
      </c>
      <c r="I831" s="91"/>
      <c r="J831" s="97"/>
      <c r="K831" s="294">
        <v>44194</v>
      </c>
      <c r="L831" s="332"/>
      <c r="M831" s="295"/>
      <c r="N831" s="113" t="s">
        <v>5249</v>
      </c>
      <c r="O831" s="113" t="s">
        <v>5250</v>
      </c>
      <c r="P831" s="57"/>
      <c r="Q831" s="132">
        <v>8.6300000000000002E-2</v>
      </c>
      <c r="R831" s="132"/>
      <c r="S831" s="63" t="s">
        <v>103</v>
      </c>
      <c r="T831" s="67" t="s">
        <v>5251</v>
      </c>
      <c r="U831" s="67" t="s">
        <v>105</v>
      </c>
      <c r="V831" s="113" t="s">
        <v>106</v>
      </c>
      <c r="W831" s="222">
        <v>94122</v>
      </c>
      <c r="X831" s="141"/>
      <c r="Z831" s="236"/>
      <c r="AA831" s="200"/>
      <c r="AB831" s="130"/>
      <c r="AC831" s="202"/>
      <c r="AD831" s="200"/>
      <c r="AE831" s="113"/>
      <c r="AF831" s="113"/>
      <c r="AG831" s="113"/>
      <c r="AH831" s="113"/>
      <c r="AI831" s="130"/>
      <c r="AK831" s="57"/>
      <c r="AL831" s="287">
        <v>15741</v>
      </c>
      <c r="AS831" s="207"/>
      <c r="AU831" s="67" t="s">
        <v>5251</v>
      </c>
      <c r="AV831" s="251"/>
      <c r="AW831" s="67" t="s">
        <v>105</v>
      </c>
      <c r="AX831" s="113" t="s">
        <v>106</v>
      </c>
      <c r="AY831" s="222">
        <v>94122</v>
      </c>
      <c r="AZ831" s="199" t="s">
        <v>5250</v>
      </c>
      <c r="BA831" s="317"/>
    </row>
    <row r="832" spans="1:53" ht="12.75" customHeight="1" x14ac:dyDescent="0.4">
      <c r="A832" s="258" t="s">
        <v>6372</v>
      </c>
      <c r="B832" s="66" t="s">
        <v>98</v>
      </c>
      <c r="C832" s="224" t="s">
        <v>99</v>
      </c>
      <c r="D832" s="115"/>
      <c r="E832" s="120" t="s">
        <v>100</v>
      </c>
      <c r="F832" s="82"/>
      <c r="G832" s="84"/>
      <c r="H832" s="90" t="s">
        <v>100</v>
      </c>
      <c r="I832" s="91"/>
      <c r="J832" s="97"/>
      <c r="K832" s="294">
        <v>45736</v>
      </c>
      <c r="L832" s="332"/>
      <c r="M832" s="295"/>
      <c r="N832" s="113" t="s">
        <v>6377</v>
      </c>
      <c r="O832" s="113" t="s">
        <v>6374</v>
      </c>
      <c r="P832" s="57"/>
      <c r="Q832" s="132">
        <v>9.7500000000000003E-2</v>
      </c>
      <c r="R832" s="132"/>
      <c r="S832" s="63" t="s">
        <v>2934</v>
      </c>
      <c r="T832" s="67" t="s">
        <v>6375</v>
      </c>
      <c r="U832" s="67" t="s">
        <v>2934</v>
      </c>
      <c r="V832" s="113" t="s">
        <v>106</v>
      </c>
      <c r="W832" s="222">
        <v>94531</v>
      </c>
      <c r="X832" s="141" t="s">
        <v>6376</v>
      </c>
      <c r="Y832" s="139" t="s">
        <v>6376</v>
      </c>
      <c r="Z832" s="139" t="s">
        <v>6376</v>
      </c>
      <c r="AA832" s="200" t="s">
        <v>6373</v>
      </c>
      <c r="AB832" s="130" t="s">
        <v>6374</v>
      </c>
      <c r="AC832" s="202"/>
      <c r="AD832" s="200"/>
      <c r="AE832" s="113"/>
      <c r="AF832" s="113"/>
      <c r="AG832" s="113"/>
      <c r="AH832" s="113"/>
      <c r="AI832" s="130"/>
      <c r="AK832" s="57"/>
      <c r="AM832" s="288" t="s">
        <v>545</v>
      </c>
      <c r="AO832" s="288">
        <v>62245</v>
      </c>
      <c r="AS832" s="207"/>
      <c r="AU832" s="67" t="s">
        <v>6375</v>
      </c>
      <c r="AV832" s="251"/>
      <c r="AW832" s="67" t="s">
        <v>2934</v>
      </c>
      <c r="AX832" s="113" t="s">
        <v>106</v>
      </c>
      <c r="AY832" s="222">
        <v>94531</v>
      </c>
      <c r="AZ832" s="199" t="s">
        <v>6374</v>
      </c>
      <c r="BA832" s="317"/>
    </row>
    <row r="833" spans="1:53" ht="12.75" customHeight="1" x14ac:dyDescent="0.4">
      <c r="A833" s="258" t="s">
        <v>5252</v>
      </c>
      <c r="B833" s="66" t="s">
        <v>98</v>
      </c>
      <c r="C833" s="68" t="s">
        <v>563</v>
      </c>
      <c r="E833" s="120" t="s">
        <v>100</v>
      </c>
      <c r="F833" s="80"/>
      <c r="G833" s="81"/>
      <c r="H833" s="87" t="s">
        <v>100</v>
      </c>
      <c r="I833" s="86"/>
      <c r="J833" s="96"/>
      <c r="K833" s="294">
        <v>44813</v>
      </c>
      <c r="L833" s="332"/>
      <c r="M833" s="298"/>
      <c r="N833" s="128" t="s">
        <v>5253</v>
      </c>
      <c r="O833" s="128" t="s">
        <v>5254</v>
      </c>
      <c r="P833" s="59" t="s">
        <v>5255</v>
      </c>
      <c r="Q833" s="132">
        <v>8.6249999999999993E-2</v>
      </c>
      <c r="R833" s="132">
        <v>8.7499999999999994E-2</v>
      </c>
      <c r="S833" s="63" t="s">
        <v>103</v>
      </c>
      <c r="T833" s="67" t="s">
        <v>5256</v>
      </c>
      <c r="U833" s="67" t="s">
        <v>105</v>
      </c>
      <c r="V833" s="79" t="s">
        <v>106</v>
      </c>
      <c r="W833" s="76">
        <v>94102</v>
      </c>
      <c r="X833" s="141" t="s">
        <v>5257</v>
      </c>
      <c r="Y833" s="139" t="s">
        <v>5258</v>
      </c>
      <c r="Z833" s="226" t="s">
        <v>5259</v>
      </c>
      <c r="AA833" s="79" t="s">
        <v>5260</v>
      </c>
      <c r="AB833" s="135" t="s">
        <v>5261</v>
      </c>
      <c r="AK833" s="58" t="s">
        <v>1176</v>
      </c>
      <c r="AL833" s="290" t="s">
        <v>289</v>
      </c>
      <c r="AM833" s="290" t="s">
        <v>290</v>
      </c>
      <c r="AN833" s="290">
        <v>15303</v>
      </c>
      <c r="AO833" s="290">
        <v>62245</v>
      </c>
      <c r="AP833" s="290"/>
      <c r="AQ833" s="290"/>
      <c r="AR833" s="290"/>
      <c r="AS833" s="207" t="s">
        <v>132</v>
      </c>
      <c r="AT833" s="116" t="s">
        <v>5262</v>
      </c>
      <c r="AU833" s="67" t="s">
        <v>5256</v>
      </c>
      <c r="AW833" s="67" t="s">
        <v>105</v>
      </c>
      <c r="AX833" s="79" t="s">
        <v>106</v>
      </c>
      <c r="AY833" s="76">
        <v>94102</v>
      </c>
      <c r="AZ833" s="77" t="s">
        <v>5254</v>
      </c>
      <c r="BA833" s="317"/>
    </row>
    <row r="834" spans="1:53" ht="12.75" customHeight="1" x14ac:dyDescent="0.4">
      <c r="A834" s="258" t="s">
        <v>5263</v>
      </c>
      <c r="B834" s="66" t="s">
        <v>98</v>
      </c>
      <c r="C834" s="224" t="s">
        <v>99</v>
      </c>
      <c r="D834" s="115"/>
      <c r="E834" s="120" t="s">
        <v>100</v>
      </c>
      <c r="F834" s="82"/>
      <c r="G834" s="84"/>
      <c r="H834" s="90" t="s">
        <v>100</v>
      </c>
      <c r="I834" s="91"/>
      <c r="J834" s="97"/>
      <c r="K834" s="294">
        <v>45152</v>
      </c>
      <c r="L834" s="332"/>
      <c r="M834" s="295"/>
      <c r="N834" s="113" t="s">
        <v>5264</v>
      </c>
      <c r="O834" s="113" t="s">
        <v>5265</v>
      </c>
      <c r="P834" s="57" t="s">
        <v>5266</v>
      </c>
      <c r="Q834" s="132">
        <v>8.8749999999999996E-2</v>
      </c>
      <c r="R834" s="132"/>
      <c r="S834" s="63" t="s">
        <v>2542</v>
      </c>
      <c r="T834" s="67" t="s">
        <v>5267</v>
      </c>
      <c r="U834" s="67" t="s">
        <v>1565</v>
      </c>
      <c r="V834" s="113" t="s">
        <v>106</v>
      </c>
      <c r="W834" s="222">
        <v>95355</v>
      </c>
      <c r="X834" s="141" t="s">
        <v>5268</v>
      </c>
      <c r="Y834" s="139" t="s">
        <v>5268</v>
      </c>
      <c r="Z834" s="139" t="s">
        <v>5268</v>
      </c>
      <c r="AA834" s="200"/>
      <c r="AB834" s="130"/>
      <c r="AC834" s="202"/>
      <c r="AD834" s="200"/>
      <c r="AE834" s="113"/>
      <c r="AF834" s="113"/>
      <c r="AG834" s="113"/>
      <c r="AH834" s="113"/>
      <c r="AI834" s="130"/>
      <c r="AK834" s="57"/>
      <c r="AQ834" s="288" t="s">
        <v>5269</v>
      </c>
      <c r="AS834" s="207" t="s">
        <v>3369</v>
      </c>
      <c r="AT834" s="116" t="s">
        <v>1184</v>
      </c>
      <c r="AU834" s="67" t="s">
        <v>5270</v>
      </c>
      <c r="AV834" s="66" t="s">
        <v>1565</v>
      </c>
      <c r="AW834" s="199" t="s">
        <v>1565</v>
      </c>
      <c r="AX834" s="222" t="s">
        <v>5271</v>
      </c>
      <c r="AY834" s="222">
        <v>95355</v>
      </c>
      <c r="AZ834" s="199" t="s">
        <v>5265</v>
      </c>
      <c r="BA834" s="317"/>
    </row>
    <row r="835" spans="1:53" ht="12.75" customHeight="1" x14ac:dyDescent="0.4">
      <c r="A835" s="258" t="s">
        <v>5272</v>
      </c>
      <c r="B835" s="66" t="s">
        <v>98</v>
      </c>
      <c r="C835" s="68" t="s">
        <v>99</v>
      </c>
      <c r="E835" s="120" t="s">
        <v>100</v>
      </c>
      <c r="F835" s="82"/>
      <c r="G835" s="84"/>
      <c r="H835" s="90" t="s">
        <v>100</v>
      </c>
      <c r="I835" s="91"/>
      <c r="J835" s="97"/>
      <c r="K835" s="294">
        <v>45295</v>
      </c>
      <c r="L835" s="332"/>
      <c r="M835" s="295"/>
      <c r="N835" s="128" t="s">
        <v>1602</v>
      </c>
      <c r="O835" s="128" t="s">
        <v>5273</v>
      </c>
      <c r="Q835" s="131">
        <v>8.2500000000000004E-2</v>
      </c>
      <c r="S835" s="63" t="s">
        <v>759</v>
      </c>
      <c r="T835" s="67" t="s">
        <v>5274</v>
      </c>
      <c r="U835" s="67" t="s">
        <v>4412</v>
      </c>
      <c r="V835" s="79" t="s">
        <v>106</v>
      </c>
      <c r="W835" s="76">
        <v>94956</v>
      </c>
      <c r="AQ835" s="288">
        <v>1493</v>
      </c>
      <c r="AS835" s="207"/>
      <c r="AT835" s="116" t="s">
        <v>116</v>
      </c>
      <c r="AU835" s="67" t="s">
        <v>5274</v>
      </c>
      <c r="AW835" s="67" t="s">
        <v>4412</v>
      </c>
      <c r="AX835" s="79" t="s">
        <v>106</v>
      </c>
      <c r="AY835" s="76">
        <v>94956</v>
      </c>
      <c r="AZ835" s="77" t="s">
        <v>5273</v>
      </c>
    </row>
    <row r="836" spans="1:53" ht="12.75" customHeight="1" x14ac:dyDescent="0.4">
      <c r="A836" s="258" t="s">
        <v>5275</v>
      </c>
      <c r="B836" s="66" t="s">
        <v>98</v>
      </c>
      <c r="C836" s="224" t="s">
        <v>563</v>
      </c>
      <c r="D836" s="115"/>
      <c r="E836" s="120" t="s">
        <v>100</v>
      </c>
      <c r="F836" s="82"/>
      <c r="G836" s="84"/>
      <c r="H836" s="90" t="s">
        <v>100</v>
      </c>
      <c r="I836" s="91"/>
      <c r="J836" s="97"/>
      <c r="K836" s="294">
        <v>45929</v>
      </c>
      <c r="L836" s="332"/>
      <c r="M836" s="295"/>
      <c r="N836" s="113" t="s">
        <v>3908</v>
      </c>
      <c r="O836" s="113" t="s">
        <v>5276</v>
      </c>
      <c r="P836" s="57"/>
      <c r="Q836" s="132">
        <v>9.1249999999999998E-2</v>
      </c>
      <c r="R836" s="132"/>
      <c r="S836" s="63" t="s">
        <v>177</v>
      </c>
      <c r="T836" s="67" t="s">
        <v>482</v>
      </c>
      <c r="U836" s="67" t="s">
        <v>476</v>
      </c>
      <c r="V836" s="113" t="s">
        <v>106</v>
      </c>
      <c r="W836" s="222">
        <v>94301</v>
      </c>
      <c r="X836" s="141" t="s">
        <v>6326</v>
      </c>
      <c r="Y836" s="236" t="s">
        <v>6408</v>
      </c>
      <c r="Z836" s="236"/>
      <c r="AA836" s="200"/>
      <c r="AB836" s="130"/>
      <c r="AC836" s="202"/>
      <c r="AD836" s="200"/>
      <c r="AE836" s="113"/>
      <c r="AF836" s="113"/>
      <c r="AG836" s="113"/>
      <c r="AH836" s="113"/>
      <c r="AI836" s="130"/>
      <c r="AK836" s="57"/>
      <c r="AL836" s="287" t="s">
        <v>251</v>
      </c>
      <c r="AM836" s="288">
        <v>13305</v>
      </c>
      <c r="AN836" s="288" t="s">
        <v>325</v>
      </c>
      <c r="AO836" s="288">
        <v>62245</v>
      </c>
      <c r="AS836" s="207"/>
      <c r="AT836" s="116" t="s">
        <v>1329</v>
      </c>
      <c r="AU836" s="67" t="s">
        <v>482</v>
      </c>
      <c r="AV836" s="251"/>
      <c r="AW836" s="67" t="s">
        <v>476</v>
      </c>
      <c r="AX836" s="113" t="s">
        <v>106</v>
      </c>
      <c r="AY836" s="222">
        <v>94301</v>
      </c>
      <c r="AZ836" s="199" t="s">
        <v>193</v>
      </c>
      <c r="BA836" s="317"/>
    </row>
    <row r="837" spans="1:53" ht="12.75" customHeight="1" x14ac:dyDescent="0.4">
      <c r="A837" s="258" t="s">
        <v>5277</v>
      </c>
      <c r="B837" s="66" t="s">
        <v>98</v>
      </c>
      <c r="C837" s="68" t="s">
        <v>99</v>
      </c>
      <c r="E837" s="120" t="s">
        <v>100</v>
      </c>
      <c r="F837" s="80"/>
      <c r="G837" s="81"/>
      <c r="H837" s="87" t="s">
        <v>100</v>
      </c>
      <c r="I837" s="86"/>
      <c r="J837" s="96"/>
      <c r="K837" s="297">
        <v>45264</v>
      </c>
      <c r="M837" s="298">
        <v>44242</v>
      </c>
      <c r="N837" s="128" t="s">
        <v>191</v>
      </c>
      <c r="O837" s="128" t="s">
        <v>5278</v>
      </c>
      <c r="P837" s="59" t="s">
        <v>193</v>
      </c>
      <c r="Q837" s="132">
        <v>8.6249999999999993E-2</v>
      </c>
      <c r="R837" s="132">
        <v>8.7499999999999994E-2</v>
      </c>
      <c r="S837" s="63" t="s">
        <v>103</v>
      </c>
      <c r="T837" s="67" t="s">
        <v>5279</v>
      </c>
      <c r="U837" s="67" t="s">
        <v>105</v>
      </c>
      <c r="V837" s="79" t="s">
        <v>106</v>
      </c>
      <c r="W837" s="76">
        <v>94123</v>
      </c>
      <c r="X837" s="141" t="s">
        <v>5280</v>
      </c>
      <c r="Z837" s="226" t="s">
        <v>197</v>
      </c>
      <c r="AL837" s="290" t="s">
        <v>149</v>
      </c>
      <c r="AM837" s="290">
        <v>13305</v>
      </c>
      <c r="AN837" s="290" t="s">
        <v>290</v>
      </c>
      <c r="AO837" s="290">
        <v>62245</v>
      </c>
      <c r="AP837" s="290"/>
      <c r="AQ837" s="290"/>
      <c r="AR837" s="290"/>
      <c r="AS837" s="207" t="s">
        <v>132</v>
      </c>
      <c r="AT837" s="116" t="s">
        <v>608</v>
      </c>
      <c r="AU837" s="67" t="s">
        <v>5281</v>
      </c>
      <c r="AW837" s="67" t="s">
        <v>105</v>
      </c>
      <c r="AX837" s="79" t="s">
        <v>106</v>
      </c>
      <c r="AY837" s="76">
        <v>94123</v>
      </c>
      <c r="AZ837" s="77" t="s">
        <v>200</v>
      </c>
      <c r="BA837" s="207"/>
    </row>
    <row r="838" spans="1:53" ht="12.75" customHeight="1" x14ac:dyDescent="0.4">
      <c r="A838" s="258" t="s">
        <v>6324</v>
      </c>
      <c r="B838" s="66" t="s">
        <v>98</v>
      </c>
      <c r="C838" s="224" t="s">
        <v>99</v>
      </c>
      <c r="D838" s="115"/>
      <c r="E838" s="120" t="s">
        <v>100</v>
      </c>
      <c r="F838" s="82"/>
      <c r="G838" s="84"/>
      <c r="H838" s="90" t="s">
        <v>100</v>
      </c>
      <c r="I838" s="91"/>
      <c r="J838" s="97"/>
      <c r="K838" s="294">
        <v>45986</v>
      </c>
      <c r="L838" s="332"/>
      <c r="M838" s="295"/>
      <c r="N838" s="113" t="s">
        <v>5282</v>
      </c>
      <c r="O838" s="113" t="s">
        <v>5283</v>
      </c>
      <c r="P838" s="57"/>
      <c r="Q838" s="132">
        <v>9.7500000000000003E-2</v>
      </c>
      <c r="R838" s="132"/>
      <c r="S838" s="63" t="s">
        <v>3270</v>
      </c>
      <c r="T838" s="67" t="s">
        <v>5284</v>
      </c>
      <c r="U838" s="67" t="s">
        <v>264</v>
      </c>
      <c r="V838" s="113" t="s">
        <v>106</v>
      </c>
      <c r="W838" s="222">
        <v>95488</v>
      </c>
      <c r="X838" s="141"/>
      <c r="Y838" s="236" t="s">
        <v>6325</v>
      </c>
      <c r="Z838" s="236"/>
      <c r="AA838" s="200"/>
      <c r="AB838" s="130"/>
      <c r="AC838" s="202"/>
      <c r="AD838" s="200"/>
      <c r="AE838" s="113"/>
      <c r="AF838" s="113"/>
      <c r="AG838" s="113"/>
      <c r="AH838" s="113"/>
      <c r="AI838" s="130"/>
      <c r="AK838" s="57"/>
      <c r="AL838" s="287" t="s">
        <v>251</v>
      </c>
      <c r="AM838" s="288">
        <v>13305</v>
      </c>
      <c r="AN838" s="288" t="s">
        <v>257</v>
      </c>
      <c r="AO838" s="288">
        <v>62245</v>
      </c>
      <c r="AS838" s="207"/>
      <c r="AT838" s="116" t="s">
        <v>589</v>
      </c>
      <c r="AU838" s="67" t="s">
        <v>5285</v>
      </c>
      <c r="AV838" s="251"/>
      <c r="AW838" s="67" t="s">
        <v>264</v>
      </c>
      <c r="AX838" s="113" t="s">
        <v>106</v>
      </c>
      <c r="AY838" s="222">
        <v>95488</v>
      </c>
      <c r="AZ838" s="199" t="s">
        <v>5283</v>
      </c>
      <c r="BA838" s="317"/>
    </row>
    <row r="839" spans="1:53" ht="12.75" customHeight="1" x14ac:dyDescent="0.4">
      <c r="A839" s="258" t="s">
        <v>5286</v>
      </c>
      <c r="B839" s="66" t="s">
        <v>98</v>
      </c>
      <c r="C839" s="68" t="s">
        <v>99</v>
      </c>
      <c r="E839" s="120" t="s">
        <v>100</v>
      </c>
      <c r="F839" s="82"/>
      <c r="G839" s="84"/>
      <c r="H839" s="90" t="s">
        <v>100</v>
      </c>
      <c r="I839" s="91"/>
      <c r="J839" s="97"/>
      <c r="K839" s="294">
        <v>46003</v>
      </c>
      <c r="L839" s="332"/>
      <c r="M839" s="295"/>
      <c r="N839" s="128" t="s">
        <v>2652</v>
      </c>
      <c r="O839" s="128" t="s">
        <v>5287</v>
      </c>
      <c r="Q839" s="131">
        <v>0.1</v>
      </c>
      <c r="S839" s="63" t="s">
        <v>186</v>
      </c>
      <c r="T839" s="67" t="s">
        <v>5288</v>
      </c>
      <c r="U839" s="67" t="s">
        <v>188</v>
      </c>
      <c r="V839" s="79" t="s">
        <v>106</v>
      </c>
      <c r="W839" s="76">
        <v>95404</v>
      </c>
      <c r="AK839" s="58" t="s">
        <v>1176</v>
      </c>
      <c r="AL839" s="287" t="s">
        <v>251</v>
      </c>
      <c r="AM839" s="288">
        <v>13305</v>
      </c>
      <c r="AS839" s="207"/>
      <c r="AT839" s="116" t="s">
        <v>1176</v>
      </c>
      <c r="AU839" s="67" t="s">
        <v>5288</v>
      </c>
      <c r="AW839" s="67" t="s">
        <v>188</v>
      </c>
      <c r="AX839" s="79" t="s">
        <v>106</v>
      </c>
      <c r="AY839" s="76">
        <v>95404</v>
      </c>
      <c r="AZ839" s="77" t="s">
        <v>5287</v>
      </c>
    </row>
    <row r="840" spans="1:53" ht="12.75" customHeight="1" x14ac:dyDescent="0.25">
      <c r="A840" s="258" t="s">
        <v>5289</v>
      </c>
      <c r="B840" s="66" t="s">
        <v>125</v>
      </c>
      <c r="C840" s="68" t="s">
        <v>99</v>
      </c>
      <c r="D840" s="79" t="s">
        <v>5290</v>
      </c>
      <c r="E840" s="118" t="s">
        <v>100</v>
      </c>
      <c r="F840" s="80"/>
      <c r="G840" s="81"/>
      <c r="H840" s="87" t="s">
        <v>100</v>
      </c>
      <c r="I840" s="86"/>
      <c r="J840" s="96"/>
      <c r="K840" s="297"/>
      <c r="M840" s="298">
        <v>44833</v>
      </c>
      <c r="N840" s="128" t="s">
        <v>5291</v>
      </c>
      <c r="O840" s="128" t="s">
        <v>5292</v>
      </c>
      <c r="Q840" s="132">
        <v>8.6249999999999993E-2</v>
      </c>
      <c r="R840" s="132">
        <v>8.7499999999999994E-2</v>
      </c>
      <c r="S840" s="63" t="s">
        <v>103</v>
      </c>
      <c r="T840" s="67" t="s">
        <v>5293</v>
      </c>
      <c r="U840" s="67" t="s">
        <v>105</v>
      </c>
      <c r="V840" s="79" t="s">
        <v>106</v>
      </c>
      <c r="W840" s="76">
        <v>94109</v>
      </c>
      <c r="X840" s="141" t="s">
        <v>5294</v>
      </c>
      <c r="AA840" s="79" t="s">
        <v>5295</v>
      </c>
      <c r="AB840" s="135" t="s">
        <v>5296</v>
      </c>
      <c r="AS840" s="207" t="s">
        <v>132</v>
      </c>
      <c r="AT840" s="116" t="s">
        <v>589</v>
      </c>
      <c r="AU840" s="67" t="s">
        <v>5293</v>
      </c>
      <c r="AW840" s="67" t="s">
        <v>105</v>
      </c>
      <c r="AX840" s="79" t="s">
        <v>106</v>
      </c>
      <c r="AY840" s="76">
        <v>94109</v>
      </c>
      <c r="AZ840" s="77" t="s">
        <v>5292</v>
      </c>
    </row>
    <row r="841" spans="1:53" ht="12.75" customHeight="1" x14ac:dyDescent="0.4">
      <c r="A841" s="258" t="s">
        <v>5297</v>
      </c>
      <c r="B841" s="66" t="s">
        <v>1706</v>
      </c>
      <c r="C841" s="224" t="s">
        <v>1262</v>
      </c>
      <c r="D841" s="115" t="s">
        <v>5298</v>
      </c>
      <c r="E841" s="120" t="s">
        <v>100</v>
      </c>
      <c r="F841" s="82"/>
      <c r="G841" s="84"/>
      <c r="H841" s="90" t="s">
        <v>100</v>
      </c>
      <c r="I841" s="91"/>
      <c r="J841" s="97"/>
      <c r="K841" s="294">
        <v>45763</v>
      </c>
      <c r="L841" s="332"/>
      <c r="M841" s="295">
        <v>44740</v>
      </c>
      <c r="N841" s="113" t="s">
        <v>5299</v>
      </c>
      <c r="O841" s="113" t="s">
        <v>5300</v>
      </c>
      <c r="P841" s="57"/>
      <c r="Q841" s="132">
        <v>9.8799999999999999E-2</v>
      </c>
      <c r="R841" s="132"/>
      <c r="S841" s="63" t="s">
        <v>522</v>
      </c>
      <c r="T841" s="67" t="s">
        <v>5301</v>
      </c>
      <c r="U841" s="67" t="s">
        <v>524</v>
      </c>
      <c r="V841" s="113" t="s">
        <v>106</v>
      </c>
      <c r="W841" s="222">
        <v>94061</v>
      </c>
      <c r="X841" s="141" t="s">
        <v>5302</v>
      </c>
      <c r="Z841" s="236"/>
      <c r="AA841" s="200"/>
      <c r="AB841" s="130"/>
      <c r="AC841" s="202"/>
      <c r="AD841" s="200"/>
      <c r="AE841" s="113"/>
      <c r="AF841" s="113"/>
      <c r="AG841" s="113"/>
      <c r="AH841" s="113"/>
      <c r="AI841" s="130"/>
      <c r="AK841" s="57"/>
      <c r="AL841" s="287" t="s">
        <v>251</v>
      </c>
      <c r="AN841" s="288" t="s">
        <v>5303</v>
      </c>
      <c r="AS841" s="207"/>
      <c r="AT841" s="116" t="s">
        <v>539</v>
      </c>
      <c r="AU841" s="67" t="s">
        <v>5301</v>
      </c>
      <c r="AV841" s="251"/>
      <c r="AW841" s="67" t="s">
        <v>524</v>
      </c>
      <c r="AX841" s="113" t="s">
        <v>106</v>
      </c>
      <c r="AY841" s="222">
        <v>94061</v>
      </c>
      <c r="AZ841" s="199" t="s">
        <v>5300</v>
      </c>
      <c r="BA841" s="317"/>
    </row>
    <row r="842" spans="1:53" ht="12.75" customHeight="1" x14ac:dyDescent="0.4">
      <c r="A842" s="258" t="s">
        <v>5304</v>
      </c>
      <c r="B842" s="66" t="s">
        <v>244</v>
      </c>
      <c r="C842" s="224" t="s">
        <v>99</v>
      </c>
      <c r="D842" s="115"/>
      <c r="E842" s="120" t="s">
        <v>173</v>
      </c>
      <c r="F842" s="82" t="s">
        <v>174</v>
      </c>
      <c r="G842" s="84"/>
      <c r="H842" s="90"/>
      <c r="I842" s="91"/>
      <c r="J842" s="97"/>
      <c r="K842" s="294">
        <v>44322</v>
      </c>
      <c r="L842" s="332"/>
      <c r="M842" s="295"/>
      <c r="N842" s="113" t="s">
        <v>2207</v>
      </c>
      <c r="O842" s="113" t="s">
        <v>5305</v>
      </c>
      <c r="P842" s="57"/>
      <c r="Q842" s="132">
        <v>0.09</v>
      </c>
      <c r="R842" s="132"/>
      <c r="S842" s="63" t="s">
        <v>734</v>
      </c>
      <c r="T842" s="67" t="s">
        <v>5306</v>
      </c>
      <c r="U842" s="67" t="s">
        <v>701</v>
      </c>
      <c r="V842" s="113" t="s">
        <v>106</v>
      </c>
      <c r="W842" s="222">
        <v>94925</v>
      </c>
      <c r="X842" s="141"/>
      <c r="Z842" s="236"/>
      <c r="AA842" s="200"/>
      <c r="AB842" s="130"/>
      <c r="AC842" s="202"/>
      <c r="AD842" s="200"/>
      <c r="AE842" s="113"/>
      <c r="AF842" s="113"/>
      <c r="AG842" s="113"/>
      <c r="AH842" s="113"/>
      <c r="AI842" s="130"/>
      <c r="AK842" s="57"/>
      <c r="AS842" s="207"/>
      <c r="AU842" s="67" t="s">
        <v>5306</v>
      </c>
      <c r="AV842" s="251"/>
      <c r="AW842" s="67" t="s">
        <v>701</v>
      </c>
      <c r="AX842" s="113" t="s">
        <v>106</v>
      </c>
      <c r="AY842" s="222">
        <v>94925</v>
      </c>
      <c r="AZ842" s="199" t="s">
        <v>5305</v>
      </c>
      <c r="BA842" s="317"/>
    </row>
    <row r="843" spans="1:53" ht="12.75" customHeight="1" x14ac:dyDescent="0.4">
      <c r="A843" s="258" t="s">
        <v>5307</v>
      </c>
      <c r="B843" s="66" t="s">
        <v>5308</v>
      </c>
      <c r="C843" s="224" t="s">
        <v>563</v>
      </c>
      <c r="D843" s="113"/>
      <c r="E843" s="120" t="s">
        <v>100</v>
      </c>
      <c r="F843" s="82"/>
      <c r="G843" s="84"/>
      <c r="H843" s="90" t="s">
        <v>100</v>
      </c>
      <c r="I843" s="91"/>
      <c r="J843" s="97"/>
      <c r="K843" s="294"/>
      <c r="L843" s="332"/>
      <c r="M843" s="295">
        <v>46022</v>
      </c>
      <c r="N843" s="113" t="s">
        <v>4754</v>
      </c>
      <c r="O843" s="113" t="s">
        <v>6</v>
      </c>
      <c r="P843" s="57"/>
      <c r="Q843" s="132">
        <v>9.2499999999999999E-2</v>
      </c>
      <c r="R843" s="132"/>
      <c r="S843" s="63" t="s">
        <v>226</v>
      </c>
      <c r="T843" s="67" t="s">
        <v>2</v>
      </c>
      <c r="U843" s="67" t="s">
        <v>228</v>
      </c>
      <c r="V843" s="113" t="s">
        <v>106</v>
      </c>
      <c r="W843" s="222">
        <v>94901</v>
      </c>
      <c r="X843" s="141"/>
      <c r="Y843" s="141"/>
      <c r="Z843" s="141"/>
      <c r="AA843" s="200"/>
      <c r="AB843" s="130"/>
      <c r="AC843" s="202"/>
      <c r="AD843" s="200"/>
      <c r="AE843" s="113"/>
      <c r="AF843" s="113"/>
      <c r="AG843" s="113"/>
      <c r="AH843" s="113"/>
      <c r="AI843" s="130"/>
      <c r="AK843" s="57"/>
      <c r="AL843" s="290"/>
      <c r="AM843" s="290"/>
      <c r="AN843" s="290"/>
      <c r="AO843" s="290"/>
      <c r="AP843" s="290"/>
      <c r="AQ843" s="290"/>
      <c r="AR843" s="290"/>
      <c r="AS843" s="207"/>
      <c r="AT843" s="116" t="s">
        <v>406</v>
      </c>
      <c r="AU843" s="67" t="s">
        <v>2</v>
      </c>
      <c r="AV843" s="251"/>
      <c r="AW843" s="67" t="s">
        <v>228</v>
      </c>
      <c r="AX843" s="113" t="s">
        <v>106</v>
      </c>
      <c r="AY843" s="222">
        <v>94901</v>
      </c>
      <c r="AZ843" s="199" t="s">
        <v>6</v>
      </c>
      <c r="BA843" s="317"/>
    </row>
    <row r="844" spans="1:53" ht="12.75" customHeight="1" x14ac:dyDescent="0.4">
      <c r="A844" s="258" t="s">
        <v>5309</v>
      </c>
      <c r="B844" s="66" t="s">
        <v>98</v>
      </c>
      <c r="C844" s="68" t="s">
        <v>99</v>
      </c>
      <c r="E844" s="120" t="s">
        <v>100</v>
      </c>
      <c r="F844" s="82"/>
      <c r="G844" s="84"/>
      <c r="H844" s="90" t="s">
        <v>100</v>
      </c>
      <c r="I844" s="91"/>
      <c r="J844" s="97"/>
      <c r="K844" s="294">
        <v>45063</v>
      </c>
      <c r="L844" s="332"/>
      <c r="M844" s="295"/>
      <c r="N844" s="128" t="s">
        <v>5310</v>
      </c>
      <c r="O844" s="128" t="s">
        <v>5311</v>
      </c>
      <c r="Q844" s="131">
        <v>8.6300000000000002E-2</v>
      </c>
      <c r="S844" s="63" t="s">
        <v>103</v>
      </c>
      <c r="T844" s="67" t="s">
        <v>5312</v>
      </c>
      <c r="U844" s="67" t="s">
        <v>105</v>
      </c>
      <c r="V844" s="79" t="s">
        <v>106</v>
      </c>
      <c r="W844" s="76">
        <v>94118</v>
      </c>
      <c r="AN844" s="288">
        <v>15741</v>
      </c>
      <c r="AS844" s="207"/>
      <c r="AU844" s="67" t="s">
        <v>5312</v>
      </c>
      <c r="AW844" s="67" t="s">
        <v>105</v>
      </c>
      <c r="AX844" s="79" t="s">
        <v>106</v>
      </c>
      <c r="AY844" s="76">
        <v>94118</v>
      </c>
    </row>
    <row r="845" spans="1:53" ht="12.75" customHeight="1" x14ac:dyDescent="0.25">
      <c r="A845" s="258" t="s">
        <v>5313</v>
      </c>
      <c r="B845" s="66" t="s">
        <v>2399</v>
      </c>
      <c r="C845" s="68" t="s">
        <v>119</v>
      </c>
      <c r="E845" s="118" t="s">
        <v>100</v>
      </c>
      <c r="F845" s="80"/>
      <c r="G845" s="81"/>
      <c r="H845" s="87" t="s">
        <v>100</v>
      </c>
      <c r="I845" s="86"/>
      <c r="J845" s="96"/>
      <c r="K845" s="297">
        <v>45981</v>
      </c>
      <c r="M845" s="298">
        <v>44105</v>
      </c>
      <c r="N845" s="128" t="s">
        <v>5314</v>
      </c>
      <c r="O845" s="128" t="s">
        <v>5315</v>
      </c>
      <c r="P845" s="59" t="s">
        <v>5316</v>
      </c>
      <c r="Q845" s="132">
        <v>8.6249999999999993E-2</v>
      </c>
      <c r="R845" s="132">
        <v>8.7499999999999994E-2</v>
      </c>
      <c r="S845" s="63" t="s">
        <v>103</v>
      </c>
      <c r="T845" s="67" t="s">
        <v>5317</v>
      </c>
      <c r="U845" s="67" t="s">
        <v>105</v>
      </c>
      <c r="V845" s="79" t="s">
        <v>106</v>
      </c>
      <c r="W845" s="76">
        <v>94105</v>
      </c>
      <c r="X845" s="141" t="s">
        <v>5318</v>
      </c>
      <c r="Y845" s="141" t="s">
        <v>5319</v>
      </c>
      <c r="Z845" s="141" t="s">
        <v>5320</v>
      </c>
      <c r="AA845" s="79" t="s">
        <v>5321</v>
      </c>
      <c r="AB845" s="135" t="s">
        <v>5322</v>
      </c>
      <c r="AC845" s="136" t="s">
        <v>2963</v>
      </c>
      <c r="AD845" s="79" t="s">
        <v>5323</v>
      </c>
      <c r="AI845" s="135" t="s">
        <v>5324</v>
      </c>
      <c r="AJ845" s="135" t="s">
        <v>116</v>
      </c>
      <c r="AL845" s="287" t="s">
        <v>149</v>
      </c>
      <c r="AM845" s="288">
        <v>13305</v>
      </c>
      <c r="AO845" s="288">
        <v>62245</v>
      </c>
      <c r="AS845" s="207" t="s">
        <v>132</v>
      </c>
      <c r="AT845" s="116" t="s">
        <v>1469</v>
      </c>
      <c r="AU845" s="67" t="str">
        <f>PROPER(AV845)</f>
        <v>101 Spear Street, # A-17</v>
      </c>
      <c r="AV845" s="66" t="s">
        <v>5325</v>
      </c>
      <c r="AW845" s="67" t="s">
        <v>105</v>
      </c>
      <c r="AX845" s="79" t="s">
        <v>106</v>
      </c>
      <c r="AY845" s="76">
        <v>94105</v>
      </c>
      <c r="AZ845" s="77" t="s">
        <v>5315</v>
      </c>
      <c r="BA845" s="317"/>
    </row>
    <row r="846" spans="1:53" ht="12.75" customHeight="1" x14ac:dyDescent="0.25">
      <c r="A846" s="258" t="s">
        <v>5326</v>
      </c>
      <c r="B846" s="66" t="s">
        <v>2399</v>
      </c>
      <c r="C846" s="68" t="s">
        <v>119</v>
      </c>
      <c r="E846" s="118" t="s">
        <v>100</v>
      </c>
      <c r="F846" s="80"/>
      <c r="G846" s="81"/>
      <c r="H846" s="87" t="s">
        <v>100</v>
      </c>
      <c r="I846" s="86"/>
      <c r="J846" s="96"/>
      <c r="K846" s="297">
        <v>45981</v>
      </c>
      <c r="M846" s="298">
        <v>44018</v>
      </c>
      <c r="N846" s="128" t="s">
        <v>5327</v>
      </c>
      <c r="O846" s="128" t="s">
        <v>5328</v>
      </c>
      <c r="P846" s="59" t="s">
        <v>5329</v>
      </c>
      <c r="Q846" s="132">
        <v>8.6249999999999993E-2</v>
      </c>
      <c r="R846" s="132">
        <v>8.7499999999999994E-2</v>
      </c>
      <c r="S846" s="63" t="s">
        <v>103</v>
      </c>
      <c r="T846" s="67" t="s">
        <v>5330</v>
      </c>
      <c r="U846" s="67" t="s">
        <v>105</v>
      </c>
      <c r="V846" s="79" t="s">
        <v>106</v>
      </c>
      <c r="W846" s="76">
        <v>94105</v>
      </c>
      <c r="X846" s="141" t="s">
        <v>5318</v>
      </c>
      <c r="Y846" s="139" t="s">
        <v>5319</v>
      </c>
      <c r="Z846" s="141" t="s">
        <v>5320</v>
      </c>
      <c r="AA846" s="79" t="s">
        <v>5321</v>
      </c>
      <c r="AB846" s="135" t="s">
        <v>5331</v>
      </c>
      <c r="AI846" s="135" t="s">
        <v>5332</v>
      </c>
      <c r="AJ846" s="135" t="s">
        <v>116</v>
      </c>
      <c r="AL846" s="290" t="s">
        <v>149</v>
      </c>
      <c r="AM846" s="290">
        <v>13305</v>
      </c>
      <c r="AN846" s="290"/>
      <c r="AO846" s="290">
        <v>62245</v>
      </c>
      <c r="AP846" s="290"/>
      <c r="AQ846" s="290"/>
      <c r="AR846" s="290"/>
      <c r="AS846" s="207" t="s">
        <v>132</v>
      </c>
      <c r="AT846" s="116" t="s">
        <v>1469</v>
      </c>
      <c r="AU846" s="67" t="str">
        <f>PROPER(AV846)</f>
        <v>49 Stevenson Street</v>
      </c>
      <c r="AV846" s="66" t="s">
        <v>5333</v>
      </c>
      <c r="AW846" s="67" t="s">
        <v>105</v>
      </c>
      <c r="AX846" s="79" t="s">
        <v>106</v>
      </c>
      <c r="AY846" s="76">
        <v>94105</v>
      </c>
      <c r="AZ846" s="77" t="s">
        <v>5328</v>
      </c>
    </row>
    <row r="847" spans="1:53" ht="12.75" customHeight="1" x14ac:dyDescent="0.4">
      <c r="A847" s="258" t="s">
        <v>5334</v>
      </c>
      <c r="B847" s="66" t="s">
        <v>98</v>
      </c>
      <c r="C847" s="224" t="s">
        <v>99</v>
      </c>
      <c r="D847" s="115"/>
      <c r="E847" s="120" t="s">
        <v>100</v>
      </c>
      <c r="F847" s="82"/>
      <c r="G847" s="84"/>
      <c r="H847" s="90" t="s">
        <v>100</v>
      </c>
      <c r="I847" s="91"/>
      <c r="J847" s="97"/>
      <c r="K847" s="294">
        <v>44337</v>
      </c>
      <c r="L847" s="332"/>
      <c r="M847" s="295"/>
      <c r="N847" s="113" t="s">
        <v>5335</v>
      </c>
      <c r="O847" s="113" t="s">
        <v>5336</v>
      </c>
      <c r="P847" s="57"/>
      <c r="Q847" s="132">
        <v>0.10249999999999999</v>
      </c>
      <c r="R847" s="132"/>
      <c r="S847" s="63" t="s">
        <v>113</v>
      </c>
      <c r="T847" s="67" t="s">
        <v>5337</v>
      </c>
      <c r="U847" s="67" t="s">
        <v>115</v>
      </c>
      <c r="V847" s="113" t="s">
        <v>106</v>
      </c>
      <c r="W847" s="222">
        <v>94610</v>
      </c>
      <c r="Z847" s="236"/>
      <c r="AA847" s="200"/>
      <c r="AB847" s="130"/>
      <c r="AC847" s="202"/>
      <c r="AD847" s="200"/>
      <c r="AE847" s="113"/>
      <c r="AF847" s="113"/>
      <c r="AG847" s="113"/>
      <c r="AH847" s="113"/>
      <c r="AI847" s="130"/>
      <c r="AK847" s="57"/>
      <c r="AN847" s="288">
        <v>15741</v>
      </c>
      <c r="AS847" s="207" t="s">
        <v>132</v>
      </c>
      <c r="AT847" s="116" t="s">
        <v>1469</v>
      </c>
      <c r="AU847" s="67" t="s">
        <v>5337</v>
      </c>
      <c r="AV847" s="251"/>
      <c r="AW847" s="67" t="s">
        <v>115</v>
      </c>
      <c r="AX847" s="113" t="s">
        <v>106</v>
      </c>
      <c r="AY847" s="222">
        <v>94610</v>
      </c>
      <c r="AZ847" s="199" t="s">
        <v>5336</v>
      </c>
      <c r="BA847" s="317"/>
    </row>
    <row r="848" spans="1:53" ht="12.75" customHeight="1" x14ac:dyDescent="0.4">
      <c r="A848" s="258" t="s">
        <v>5338</v>
      </c>
      <c r="B848" s="66" t="s">
        <v>5339</v>
      </c>
      <c r="C848" s="224" t="s">
        <v>99</v>
      </c>
      <c r="D848" s="115"/>
      <c r="E848" s="120" t="s">
        <v>100</v>
      </c>
      <c r="F848" s="82"/>
      <c r="G848" s="84"/>
      <c r="H848" s="90" t="s">
        <v>100</v>
      </c>
      <c r="I848" s="91"/>
      <c r="J848" s="97"/>
      <c r="K848" s="294"/>
      <c r="L848" s="332"/>
      <c r="M848" s="295">
        <v>44511</v>
      </c>
      <c r="N848" s="113"/>
      <c r="O848" s="113" t="s">
        <v>5340</v>
      </c>
      <c r="P848" s="57"/>
      <c r="Q848" s="132">
        <v>9.375E-2</v>
      </c>
      <c r="R848" s="132"/>
      <c r="S848" s="63" t="s">
        <v>146</v>
      </c>
      <c r="T848" s="67" t="s">
        <v>5341</v>
      </c>
      <c r="U848" s="67" t="s">
        <v>148</v>
      </c>
      <c r="V848" s="113" t="s">
        <v>106</v>
      </c>
      <c r="W848" s="222"/>
      <c r="Z848" s="236"/>
      <c r="AA848" s="200"/>
      <c r="AB848" s="130"/>
      <c r="AC848" s="202"/>
      <c r="AD848" s="200"/>
      <c r="AE848" s="113"/>
      <c r="AF848" s="113"/>
      <c r="AG848" s="113"/>
      <c r="AH848" s="113"/>
      <c r="AI848" s="130"/>
      <c r="AK848" s="57"/>
      <c r="AS848" s="207"/>
      <c r="AU848" s="67" t="s">
        <v>5341</v>
      </c>
      <c r="AV848" s="251"/>
      <c r="AW848" s="67" t="s">
        <v>148</v>
      </c>
      <c r="AX848" s="113" t="s">
        <v>106</v>
      </c>
      <c r="AY848" s="222"/>
      <c r="AZ848" s="199"/>
      <c r="BA848" s="317"/>
    </row>
    <row r="849" spans="1:53" ht="12.75" customHeight="1" x14ac:dyDescent="0.25">
      <c r="A849" s="258" t="s">
        <v>5342</v>
      </c>
      <c r="B849" s="66" t="s">
        <v>98</v>
      </c>
      <c r="C849" s="68" t="s">
        <v>99</v>
      </c>
      <c r="E849" s="118" t="s">
        <v>100</v>
      </c>
      <c r="F849" s="80"/>
      <c r="G849" s="81"/>
      <c r="H849" s="92" t="s">
        <v>100</v>
      </c>
      <c r="I849" s="86"/>
      <c r="J849" s="96"/>
      <c r="K849" s="297">
        <v>46009</v>
      </c>
      <c r="M849" s="298"/>
      <c r="N849" s="128" t="s">
        <v>1408</v>
      </c>
      <c r="O849" s="128" t="s">
        <v>5343</v>
      </c>
      <c r="P849" s="59" t="s">
        <v>1409</v>
      </c>
      <c r="Q849" s="132">
        <v>0.1075</v>
      </c>
      <c r="R849" s="131">
        <v>0.09</v>
      </c>
      <c r="S849" s="63" t="s">
        <v>5344</v>
      </c>
      <c r="T849" s="67" t="s">
        <v>5345</v>
      </c>
      <c r="U849" s="67" t="s">
        <v>5344</v>
      </c>
      <c r="V849" s="79" t="s">
        <v>106</v>
      </c>
      <c r="W849" s="76">
        <v>94706</v>
      </c>
      <c r="X849" s="139" t="s">
        <v>5346</v>
      </c>
      <c r="Y849" s="139" t="s">
        <v>5347</v>
      </c>
      <c r="Z849" s="139" t="s">
        <v>5347</v>
      </c>
      <c r="AL849" s="287" t="s">
        <v>289</v>
      </c>
      <c r="AM849" s="288">
        <v>13305</v>
      </c>
      <c r="AN849" s="288" t="s">
        <v>290</v>
      </c>
      <c r="AO849" s="288">
        <v>62245</v>
      </c>
      <c r="AS849" s="207"/>
      <c r="AT849" s="116" t="s">
        <v>1469</v>
      </c>
      <c r="AU849" s="67" t="str">
        <f>T849</f>
        <v>1133 Solano Avenue</v>
      </c>
      <c r="AW849" s="67" t="s">
        <v>5344</v>
      </c>
      <c r="AX849" s="79" t="s">
        <v>106</v>
      </c>
      <c r="AY849" s="76">
        <v>94706</v>
      </c>
      <c r="AZ849" s="77" t="s">
        <v>5343</v>
      </c>
      <c r="BA849" s="317"/>
    </row>
    <row r="850" spans="1:53" ht="12.75" customHeight="1" x14ac:dyDescent="0.4">
      <c r="A850" s="258" t="s">
        <v>5348</v>
      </c>
      <c r="B850" s="66" t="s">
        <v>98</v>
      </c>
      <c r="C850" s="224" t="s">
        <v>254</v>
      </c>
      <c r="D850" s="113"/>
      <c r="E850" s="120" t="s">
        <v>100</v>
      </c>
      <c r="F850" s="82"/>
      <c r="G850" s="84"/>
      <c r="H850" s="90" t="s">
        <v>100</v>
      </c>
      <c r="I850" s="91"/>
      <c r="J850" s="97"/>
      <c r="K850" s="294">
        <v>44679</v>
      </c>
      <c r="L850" s="332"/>
      <c r="M850" s="295">
        <v>44894</v>
      </c>
      <c r="N850" s="113" t="s">
        <v>4203</v>
      </c>
      <c r="O850" s="113" t="s">
        <v>5349</v>
      </c>
      <c r="P850" s="57" t="s">
        <v>5350</v>
      </c>
      <c r="Q850" s="132">
        <v>9.2499999999999999E-2</v>
      </c>
      <c r="R850" s="132">
        <v>8.6300000000000002E-2</v>
      </c>
      <c r="S850" s="63" t="s">
        <v>303</v>
      </c>
      <c r="T850" s="67" t="s">
        <v>5351</v>
      </c>
      <c r="U850" s="67" t="s">
        <v>1533</v>
      </c>
      <c r="V850" s="113" t="s">
        <v>106</v>
      </c>
      <c r="W850" s="222">
        <v>94590</v>
      </c>
      <c r="X850" s="141" t="s">
        <v>5352</v>
      </c>
      <c r="Y850" s="141" t="s">
        <v>5352</v>
      </c>
      <c r="Z850" s="141" t="s">
        <v>5352</v>
      </c>
      <c r="AA850" s="200" t="s">
        <v>5353</v>
      </c>
      <c r="AB850" s="130"/>
      <c r="AC850" s="202"/>
      <c r="AD850" s="200"/>
      <c r="AE850" s="113"/>
      <c r="AF850" s="113"/>
      <c r="AG850" s="113"/>
      <c r="AH850" s="113"/>
      <c r="AI850" s="130" t="s">
        <v>5354</v>
      </c>
      <c r="AK850" s="57"/>
      <c r="AL850" s="290" t="s">
        <v>149</v>
      </c>
      <c r="AM850" s="290">
        <v>13305</v>
      </c>
      <c r="AN850" s="290"/>
      <c r="AO850" s="290">
        <v>62245</v>
      </c>
      <c r="AP850" s="290"/>
      <c r="AQ850" s="290"/>
      <c r="AR850" s="290"/>
      <c r="AS850" s="207" t="s">
        <v>132</v>
      </c>
      <c r="AT850" s="116" t="s">
        <v>1469</v>
      </c>
      <c r="AU850" s="67" t="s">
        <v>5351</v>
      </c>
      <c r="AV850" s="251"/>
      <c r="AW850" s="67" t="s">
        <v>1533</v>
      </c>
      <c r="AX850" s="113" t="s">
        <v>106</v>
      </c>
      <c r="AY850" s="222">
        <v>94590</v>
      </c>
      <c r="AZ850" s="199" t="s">
        <v>5349</v>
      </c>
      <c r="BA850" s="317"/>
    </row>
    <row r="851" spans="1:53" ht="12.75" customHeight="1" x14ac:dyDescent="0.4">
      <c r="A851" s="258" t="s">
        <v>5355</v>
      </c>
      <c r="C851" s="224"/>
      <c r="D851" s="115"/>
      <c r="E851" s="120"/>
      <c r="F851" s="82"/>
      <c r="G851" s="84"/>
      <c r="H851" s="90"/>
      <c r="I851" s="91"/>
      <c r="J851" s="97"/>
      <c r="K851" s="294"/>
      <c r="L851" s="332"/>
      <c r="M851" s="295"/>
      <c r="N851" s="113"/>
      <c r="O851" s="113"/>
      <c r="P851" s="57"/>
      <c r="Q851" s="132"/>
      <c r="R851" s="132"/>
      <c r="V851" s="113"/>
      <c r="W851" s="222"/>
      <c r="X851" s="141"/>
      <c r="Z851" s="236"/>
      <c r="AA851" s="200"/>
      <c r="AB851" s="130"/>
      <c r="AC851" s="202"/>
      <c r="AD851" s="200"/>
      <c r="AE851" s="113"/>
      <c r="AF851" s="113"/>
      <c r="AG851" s="113"/>
      <c r="AH851" s="113"/>
      <c r="AI851" s="130"/>
      <c r="AK851" s="57"/>
      <c r="AS851" s="207"/>
      <c r="AV851" s="251"/>
      <c r="AX851" s="113"/>
      <c r="AY851" s="222"/>
      <c r="AZ851" s="199"/>
      <c r="BA851" s="317"/>
    </row>
    <row r="852" spans="1:53" ht="12.75" customHeight="1" x14ac:dyDescent="0.4">
      <c r="C852" s="224"/>
      <c r="D852" s="115"/>
      <c r="E852" s="120"/>
      <c r="F852" s="82"/>
      <c r="G852" s="84"/>
      <c r="H852" s="90"/>
      <c r="I852" s="91"/>
      <c r="J852" s="97"/>
      <c r="K852" s="294"/>
      <c r="L852" s="332"/>
      <c r="M852" s="295"/>
      <c r="N852" s="113"/>
      <c r="O852" s="113"/>
      <c r="P852" s="57"/>
      <c r="Q852" s="132"/>
      <c r="R852" s="132"/>
      <c r="V852" s="113"/>
      <c r="W852" s="222"/>
      <c r="X852" s="141"/>
      <c r="Z852" s="236"/>
      <c r="AA852" s="200"/>
      <c r="AB852" s="130"/>
      <c r="AC852" s="202"/>
      <c r="AD852" s="200"/>
      <c r="AE852" s="113"/>
      <c r="AF852" s="113"/>
      <c r="AG852" s="113"/>
      <c r="AH852" s="113"/>
      <c r="AI852" s="130"/>
      <c r="AK852" s="57"/>
      <c r="AS852" s="207"/>
      <c r="AV852" s="251"/>
      <c r="AX852" s="113"/>
      <c r="AY852" s="222"/>
      <c r="AZ852" s="199"/>
      <c r="BA852" s="317"/>
    </row>
    <row r="853" spans="1:53" ht="12.75" customHeight="1" x14ac:dyDescent="0.4">
      <c r="C853" s="224"/>
      <c r="D853" s="115"/>
      <c r="E853" s="120"/>
      <c r="F853" s="82"/>
      <c r="G853" s="84"/>
      <c r="H853" s="90"/>
      <c r="I853" s="91"/>
      <c r="J853" s="97"/>
      <c r="K853" s="294"/>
      <c r="L853" s="332"/>
      <c r="M853" s="295"/>
      <c r="N853" s="113"/>
      <c r="O853" s="113"/>
      <c r="P853" s="57"/>
      <c r="Q853" s="132"/>
      <c r="R853" s="132"/>
      <c r="V853" s="113"/>
      <c r="W853" s="222"/>
      <c r="X853" s="141"/>
      <c r="Z853" s="236"/>
      <c r="AA853" s="200"/>
      <c r="AB853" s="130"/>
      <c r="AC853" s="202"/>
      <c r="AD853" s="200"/>
      <c r="AE853" s="113"/>
      <c r="AF853" s="113"/>
      <c r="AG853" s="113"/>
      <c r="AH853" s="113"/>
      <c r="AI853" s="130"/>
      <c r="AK853" s="57"/>
      <c r="AS853" s="207"/>
      <c r="AV853" s="251"/>
      <c r="AX853" s="113"/>
      <c r="AY853" s="222"/>
      <c r="AZ853" s="199"/>
      <c r="BA853" s="317"/>
    </row>
    <row r="854" spans="1:53" ht="12.75" customHeight="1" x14ac:dyDescent="0.4">
      <c r="C854" s="224"/>
      <c r="D854" s="115"/>
      <c r="E854" s="120"/>
      <c r="F854" s="82"/>
      <c r="G854" s="84"/>
      <c r="H854" s="90"/>
      <c r="I854" s="91"/>
      <c r="J854" s="97"/>
      <c r="K854" s="294"/>
      <c r="L854" s="332"/>
      <c r="M854" s="295"/>
      <c r="N854" s="113"/>
      <c r="O854" s="113"/>
      <c r="P854" s="57"/>
      <c r="Q854" s="132"/>
      <c r="R854" s="132"/>
      <c r="V854" s="113"/>
      <c r="W854" s="222"/>
      <c r="X854" s="141"/>
      <c r="Z854" s="236"/>
      <c r="AA854" s="200"/>
      <c r="AB854" s="130"/>
      <c r="AC854" s="202"/>
      <c r="AD854" s="200"/>
      <c r="AE854" s="113"/>
      <c r="AF854" s="113"/>
      <c r="AG854" s="113"/>
      <c r="AH854" s="113"/>
      <c r="AI854" s="130"/>
      <c r="AK854" s="57"/>
      <c r="AS854" s="207"/>
      <c r="AV854" s="251"/>
      <c r="AX854" s="113"/>
      <c r="AY854" s="222"/>
      <c r="AZ854" s="199"/>
      <c r="BA854" s="317"/>
    </row>
    <row r="855" spans="1:53" ht="12.75" customHeight="1" x14ac:dyDescent="0.4">
      <c r="C855" s="224"/>
      <c r="D855" s="115"/>
      <c r="E855" s="120"/>
      <c r="F855" s="82"/>
      <c r="G855" s="84"/>
      <c r="H855" s="90"/>
      <c r="I855" s="91"/>
      <c r="J855" s="97"/>
      <c r="K855" s="294"/>
      <c r="L855" s="332"/>
      <c r="M855" s="295"/>
      <c r="N855" s="113"/>
      <c r="O855" s="113"/>
      <c r="P855" s="57"/>
      <c r="Q855" s="132"/>
      <c r="R855" s="132"/>
      <c r="V855" s="113"/>
      <c r="W855" s="222"/>
      <c r="X855" s="141"/>
      <c r="Z855" s="236"/>
      <c r="AA855" s="200"/>
      <c r="AB855" s="130"/>
      <c r="AC855" s="202"/>
      <c r="AD855" s="200"/>
      <c r="AE855" s="113"/>
      <c r="AF855" s="113"/>
      <c r="AG855" s="113"/>
      <c r="AH855" s="113"/>
      <c r="AI855" s="130"/>
      <c r="AK855" s="57"/>
      <c r="AS855" s="207"/>
      <c r="AV855" s="251"/>
      <c r="AX855" s="113"/>
      <c r="AY855" s="222"/>
      <c r="AZ855" s="199"/>
      <c r="BA855" s="317"/>
    </row>
    <row r="856" spans="1:53" ht="12.75" customHeight="1" x14ac:dyDescent="0.4">
      <c r="C856" s="224"/>
      <c r="D856" s="115"/>
      <c r="E856" s="120"/>
      <c r="F856" s="82"/>
      <c r="G856" s="84"/>
      <c r="H856" s="90"/>
      <c r="I856" s="91"/>
      <c r="J856" s="97"/>
      <c r="K856" s="294"/>
      <c r="L856" s="332"/>
      <c r="M856" s="295"/>
      <c r="N856" s="113"/>
      <c r="O856" s="113"/>
      <c r="P856" s="57"/>
      <c r="Q856" s="132"/>
      <c r="R856" s="132"/>
      <c r="V856" s="113"/>
      <c r="W856" s="222"/>
      <c r="X856" s="141"/>
      <c r="Z856" s="236"/>
      <c r="AA856" s="200"/>
      <c r="AB856" s="130"/>
      <c r="AC856" s="202"/>
      <c r="AD856" s="200"/>
      <c r="AE856" s="113"/>
      <c r="AF856" s="113"/>
      <c r="AG856" s="113"/>
      <c r="AH856" s="113"/>
      <c r="AI856" s="130"/>
      <c r="AK856" s="57"/>
      <c r="AS856" s="207"/>
      <c r="AV856" s="251"/>
      <c r="AX856" s="113"/>
      <c r="AY856" s="222"/>
      <c r="AZ856" s="199"/>
      <c r="BA856" s="317"/>
    </row>
    <row r="857" spans="1:53" ht="12.75" customHeight="1" x14ac:dyDescent="0.4">
      <c r="C857" s="224"/>
      <c r="D857" s="115"/>
      <c r="E857" s="120"/>
      <c r="F857" s="82"/>
      <c r="G857" s="84"/>
      <c r="H857" s="90"/>
      <c r="I857" s="91"/>
      <c r="J857" s="97"/>
      <c r="K857" s="294"/>
      <c r="L857" s="332"/>
      <c r="M857" s="295"/>
      <c r="N857" s="113"/>
      <c r="O857" s="113"/>
      <c r="P857" s="57"/>
      <c r="Q857" s="132"/>
      <c r="R857" s="132"/>
      <c r="V857" s="113"/>
      <c r="W857" s="222"/>
      <c r="X857" s="141"/>
      <c r="Z857" s="236"/>
      <c r="AA857" s="200"/>
      <c r="AB857" s="130"/>
      <c r="AC857" s="202"/>
      <c r="AD857" s="200"/>
      <c r="AE857" s="113"/>
      <c r="AF857" s="113"/>
      <c r="AG857" s="113"/>
      <c r="AH857" s="113"/>
      <c r="AI857" s="130"/>
      <c r="AK857" s="57"/>
      <c r="AS857" s="207"/>
      <c r="AV857" s="251"/>
      <c r="AX857" s="113"/>
      <c r="AY857" s="222"/>
      <c r="AZ857" s="199"/>
      <c r="BA857" s="317"/>
    </row>
    <row r="858" spans="1:53" ht="12.75" customHeight="1" x14ac:dyDescent="0.4">
      <c r="C858" s="224"/>
      <c r="D858" s="115"/>
      <c r="E858" s="120"/>
      <c r="F858" s="82"/>
      <c r="G858" s="84"/>
      <c r="H858" s="90"/>
      <c r="I858" s="91"/>
      <c r="J858" s="97"/>
      <c r="K858" s="294"/>
      <c r="L858" s="332"/>
      <c r="M858" s="295"/>
      <c r="N858" s="113"/>
      <c r="O858" s="113"/>
      <c r="P858" s="57"/>
      <c r="Q858" s="132"/>
      <c r="R858" s="132"/>
      <c r="V858" s="113"/>
      <c r="W858" s="222"/>
      <c r="X858" s="141"/>
      <c r="Z858" s="236"/>
      <c r="AA858" s="200"/>
      <c r="AB858" s="130"/>
      <c r="AC858" s="202"/>
      <c r="AD858" s="200"/>
      <c r="AE858" s="113"/>
      <c r="AF858" s="113"/>
      <c r="AG858" s="113"/>
      <c r="AH858" s="113"/>
      <c r="AI858" s="130"/>
      <c r="AK858" s="57"/>
      <c r="AS858" s="207"/>
      <c r="AV858" s="251"/>
      <c r="AX858" s="113"/>
      <c r="AY858" s="222"/>
      <c r="AZ858" s="199"/>
      <c r="BA858" s="317"/>
    </row>
    <row r="859" spans="1:53" ht="12.75" customHeight="1" x14ac:dyDescent="0.4">
      <c r="C859" s="224"/>
      <c r="D859" s="115"/>
      <c r="E859" s="120"/>
      <c r="F859" s="82"/>
      <c r="G859" s="84"/>
      <c r="H859" s="90"/>
      <c r="I859" s="91"/>
      <c r="J859" s="97"/>
      <c r="K859" s="294"/>
      <c r="L859" s="332"/>
      <c r="M859" s="295"/>
      <c r="N859" s="113"/>
      <c r="O859" s="113"/>
      <c r="P859" s="57"/>
      <c r="Q859" s="132"/>
      <c r="R859" s="132"/>
      <c r="V859" s="113"/>
      <c r="W859" s="222"/>
      <c r="X859" s="141"/>
      <c r="Z859" s="236"/>
      <c r="AA859" s="200"/>
      <c r="AB859" s="130"/>
      <c r="AC859" s="202"/>
      <c r="AD859" s="200"/>
      <c r="AE859" s="113"/>
      <c r="AF859" s="113"/>
      <c r="AG859" s="113"/>
      <c r="AH859" s="113"/>
      <c r="AI859" s="130"/>
      <c r="AK859" s="57"/>
      <c r="AS859" s="207"/>
      <c r="AV859" s="251"/>
      <c r="AX859" s="113"/>
      <c r="AY859" s="222"/>
      <c r="AZ859" s="199"/>
      <c r="BA859" s="317"/>
    </row>
    <row r="860" spans="1:53" ht="12.75" customHeight="1" x14ac:dyDescent="0.4">
      <c r="C860" s="224"/>
      <c r="D860" s="115"/>
      <c r="E860" s="120"/>
      <c r="F860" s="82"/>
      <c r="G860" s="84"/>
      <c r="H860" s="90"/>
      <c r="I860" s="91"/>
      <c r="J860" s="97"/>
      <c r="K860" s="294"/>
      <c r="L860" s="332"/>
      <c r="M860" s="295"/>
      <c r="N860" s="113"/>
      <c r="O860" s="113"/>
      <c r="P860" s="57"/>
      <c r="Q860" s="132"/>
      <c r="R860" s="132"/>
      <c r="V860" s="113"/>
      <c r="W860" s="222"/>
      <c r="X860" s="141"/>
      <c r="Z860" s="236"/>
      <c r="AA860" s="200"/>
      <c r="AB860" s="130"/>
      <c r="AC860" s="202"/>
      <c r="AD860" s="200"/>
      <c r="AE860" s="113"/>
      <c r="AF860" s="113"/>
      <c r="AG860" s="113"/>
      <c r="AH860" s="113"/>
      <c r="AI860" s="130"/>
      <c r="AK860" s="57"/>
      <c r="AS860" s="207"/>
      <c r="AV860" s="251"/>
      <c r="AX860" s="113"/>
      <c r="AY860" s="222"/>
      <c r="AZ860" s="199"/>
      <c r="BA860" s="317"/>
    </row>
    <row r="861" spans="1:53" ht="12.75" customHeight="1" x14ac:dyDescent="0.4">
      <c r="C861" s="224"/>
      <c r="D861" s="115"/>
      <c r="E861" s="120"/>
      <c r="F861" s="82"/>
      <c r="G861" s="84"/>
      <c r="H861" s="90"/>
      <c r="I861" s="91"/>
      <c r="J861" s="97"/>
      <c r="K861" s="294"/>
      <c r="L861" s="332"/>
      <c r="M861" s="295"/>
      <c r="N861" s="113"/>
      <c r="O861" s="113"/>
      <c r="P861" s="57"/>
      <c r="Q861" s="132"/>
      <c r="R861" s="132"/>
      <c r="V861" s="113"/>
      <c r="W861" s="222"/>
      <c r="X861" s="141"/>
      <c r="Z861" s="236"/>
      <c r="AA861" s="200"/>
      <c r="AB861" s="130"/>
      <c r="AC861" s="202"/>
      <c r="AD861" s="200"/>
      <c r="AE861" s="113"/>
      <c r="AF861" s="113"/>
      <c r="AG861" s="113"/>
      <c r="AH861" s="113"/>
      <c r="AI861" s="130"/>
      <c r="AK861" s="57"/>
      <c r="AS861" s="207"/>
      <c r="AV861" s="251"/>
      <c r="AX861" s="113"/>
      <c r="AY861" s="222"/>
      <c r="AZ861" s="199"/>
      <c r="BA861" s="317"/>
    </row>
    <row r="862" spans="1:53" ht="12.75" customHeight="1" x14ac:dyDescent="0.4">
      <c r="C862" s="224"/>
      <c r="D862" s="115"/>
      <c r="E862" s="120"/>
      <c r="F862" s="82"/>
      <c r="G862" s="84"/>
      <c r="H862" s="90"/>
      <c r="I862" s="91"/>
      <c r="J862" s="97"/>
      <c r="K862" s="294"/>
      <c r="L862" s="332"/>
      <c r="M862" s="295"/>
      <c r="N862" s="113"/>
      <c r="O862" s="113"/>
      <c r="P862" s="57"/>
      <c r="Q862" s="132"/>
      <c r="R862" s="132"/>
      <c r="V862" s="113"/>
      <c r="W862" s="222"/>
      <c r="X862" s="141"/>
      <c r="Z862" s="236"/>
      <c r="AA862" s="200"/>
      <c r="AB862" s="130"/>
      <c r="AC862" s="202"/>
      <c r="AD862" s="200"/>
      <c r="AE862" s="113"/>
      <c r="AF862" s="113"/>
      <c r="AG862" s="113"/>
      <c r="AH862" s="113"/>
      <c r="AI862" s="130"/>
      <c r="AK862" s="57"/>
      <c r="AS862" s="207"/>
      <c r="AV862" s="251"/>
      <c r="AX862" s="113"/>
      <c r="AY862" s="222"/>
      <c r="AZ862" s="199"/>
      <c r="BA862" s="317"/>
    </row>
    <row r="863" spans="1:53" ht="12.75" customHeight="1" x14ac:dyDescent="0.4">
      <c r="C863" s="224"/>
      <c r="D863" s="115"/>
      <c r="E863" s="120"/>
      <c r="F863" s="82"/>
      <c r="G863" s="84"/>
      <c r="H863" s="90"/>
      <c r="I863" s="91"/>
      <c r="J863" s="97"/>
      <c r="K863" s="294"/>
      <c r="L863" s="332"/>
      <c r="M863" s="295"/>
      <c r="N863" s="113"/>
      <c r="O863" s="113"/>
      <c r="P863" s="57"/>
      <c r="Q863" s="132"/>
      <c r="R863" s="132"/>
      <c r="V863" s="113"/>
      <c r="W863" s="222"/>
      <c r="X863" s="141"/>
      <c r="Z863" s="236"/>
      <c r="AA863" s="200"/>
      <c r="AB863" s="130"/>
      <c r="AC863" s="202"/>
      <c r="AD863" s="200"/>
      <c r="AE863" s="113"/>
      <c r="AF863" s="113"/>
      <c r="AG863" s="113"/>
      <c r="AH863" s="113"/>
      <c r="AI863" s="130"/>
      <c r="AK863" s="57"/>
      <c r="AS863" s="207"/>
      <c r="AV863" s="251"/>
      <c r="AX863" s="113"/>
      <c r="AY863" s="222"/>
      <c r="AZ863" s="199"/>
      <c r="BA863" s="317"/>
    </row>
    <row r="864" spans="1:53" ht="12.75" customHeight="1" x14ac:dyDescent="0.4">
      <c r="C864" s="224"/>
      <c r="D864" s="115"/>
      <c r="E864" s="120"/>
      <c r="F864" s="82"/>
      <c r="G864" s="84"/>
      <c r="H864" s="90"/>
      <c r="I864" s="91"/>
      <c r="J864" s="97"/>
      <c r="K864" s="294"/>
      <c r="L864" s="332"/>
      <c r="M864" s="295"/>
      <c r="N864" s="113"/>
      <c r="O864" s="113"/>
      <c r="P864" s="57"/>
      <c r="Q864" s="132"/>
      <c r="R864" s="132"/>
      <c r="V864" s="113"/>
      <c r="W864" s="222"/>
      <c r="X864" s="141"/>
      <c r="Z864" s="236"/>
      <c r="AA864" s="200"/>
      <c r="AB864" s="130"/>
      <c r="AC864" s="202"/>
      <c r="AD864" s="200"/>
      <c r="AE864" s="113"/>
      <c r="AF864" s="113"/>
      <c r="AG864" s="113"/>
      <c r="AH864" s="113"/>
      <c r="AI864" s="130"/>
      <c r="AK864" s="57"/>
      <c r="AS864" s="207"/>
      <c r="AV864" s="251"/>
      <c r="AX864" s="113"/>
      <c r="AY864" s="222"/>
      <c r="AZ864" s="199"/>
      <c r="BA864" s="317"/>
    </row>
    <row r="865" spans="3:53" ht="12.75" customHeight="1" x14ac:dyDescent="0.4">
      <c r="C865" s="224"/>
      <c r="D865" s="115"/>
      <c r="E865" s="120"/>
      <c r="F865" s="82"/>
      <c r="G865" s="84"/>
      <c r="H865" s="90"/>
      <c r="I865" s="91"/>
      <c r="J865" s="97"/>
      <c r="K865" s="294"/>
      <c r="L865" s="332"/>
      <c r="M865" s="295"/>
      <c r="N865" s="113"/>
      <c r="O865" s="113"/>
      <c r="P865" s="57"/>
      <c r="Q865" s="132"/>
      <c r="R865" s="132"/>
      <c r="V865" s="113"/>
      <c r="W865" s="222"/>
      <c r="X865" s="141"/>
      <c r="Z865" s="236"/>
      <c r="AA865" s="200"/>
      <c r="AB865" s="130"/>
      <c r="AC865" s="202"/>
      <c r="AD865" s="200"/>
      <c r="AE865" s="113"/>
      <c r="AF865" s="113"/>
      <c r="AG865" s="113"/>
      <c r="AH865" s="113"/>
      <c r="AI865" s="130"/>
      <c r="AK865" s="57"/>
      <c r="AS865" s="207"/>
      <c r="AV865" s="251"/>
      <c r="AX865" s="113"/>
      <c r="AY865" s="222"/>
      <c r="AZ865" s="199"/>
      <c r="BA865" s="317"/>
    </row>
    <row r="866" spans="3:53" ht="12.75" customHeight="1" x14ac:dyDescent="0.4">
      <c r="C866" s="224"/>
      <c r="D866" s="113"/>
      <c r="E866" s="120"/>
      <c r="F866" s="82"/>
      <c r="G866" s="84"/>
      <c r="H866" s="90"/>
      <c r="I866" s="91"/>
      <c r="J866" s="97"/>
      <c r="K866" s="294"/>
      <c r="L866" s="332"/>
      <c r="M866" s="295"/>
      <c r="N866" s="113"/>
      <c r="O866" s="113"/>
      <c r="P866" s="57"/>
      <c r="Q866" s="132"/>
      <c r="R866" s="132"/>
      <c r="V866" s="113"/>
      <c r="W866" s="222"/>
      <c r="X866" s="141"/>
      <c r="Y866" s="141"/>
      <c r="Z866" s="141"/>
      <c r="AA866" s="200"/>
      <c r="AB866" s="130"/>
      <c r="AC866" s="202"/>
      <c r="AD866" s="200"/>
      <c r="AE866" s="113"/>
      <c r="AF866" s="113"/>
      <c r="AG866" s="113"/>
      <c r="AH866" s="113"/>
      <c r="AI866" s="130"/>
      <c r="AK866" s="57"/>
      <c r="AL866" s="290"/>
      <c r="AM866" s="290"/>
      <c r="AN866" s="290"/>
      <c r="AO866" s="290"/>
      <c r="AP866" s="290"/>
      <c r="AQ866" s="290"/>
      <c r="AR866" s="290"/>
      <c r="AS866" s="207"/>
      <c r="AV866" s="251"/>
      <c r="AX866" s="113"/>
      <c r="AY866" s="222"/>
      <c r="AZ866" s="199"/>
      <c r="BA866" s="317"/>
    </row>
    <row r="867" spans="3:53" ht="12.75" customHeight="1" x14ac:dyDescent="0.4">
      <c r="C867" s="224"/>
      <c r="D867" s="113"/>
      <c r="E867" s="120"/>
      <c r="F867" s="82"/>
      <c r="G867" s="84"/>
      <c r="H867" s="90"/>
      <c r="I867" s="91"/>
      <c r="J867" s="97"/>
      <c r="K867" s="294"/>
      <c r="L867" s="332"/>
      <c r="M867" s="295"/>
      <c r="N867" s="113"/>
      <c r="O867" s="113"/>
      <c r="P867" s="57"/>
      <c r="Q867" s="132"/>
      <c r="R867" s="132"/>
      <c r="V867" s="113"/>
      <c r="W867" s="222"/>
      <c r="X867" s="141"/>
      <c r="Y867" s="141"/>
      <c r="Z867" s="141"/>
      <c r="AA867" s="200"/>
      <c r="AB867" s="130"/>
      <c r="AC867" s="202"/>
      <c r="AD867" s="200"/>
      <c r="AE867" s="113"/>
      <c r="AF867" s="113"/>
      <c r="AG867" s="113"/>
      <c r="AH867" s="113"/>
      <c r="AI867" s="130"/>
      <c r="AK867" s="57"/>
      <c r="AL867" s="290"/>
      <c r="AM867" s="290"/>
      <c r="AN867" s="290"/>
      <c r="AO867" s="290"/>
      <c r="AP867" s="290"/>
      <c r="AQ867" s="290"/>
      <c r="AR867" s="290"/>
      <c r="AS867" s="207"/>
      <c r="AV867" s="251"/>
      <c r="AX867" s="113"/>
      <c r="AY867" s="222"/>
      <c r="AZ867" s="199"/>
      <c r="BA867" s="317"/>
    </row>
    <row r="868" spans="3:53" ht="10" customHeight="1" x14ac:dyDescent="0.25">
      <c r="AS868" s="207" t="s">
        <v>132</v>
      </c>
    </row>
    <row r="869" spans="3:53" ht="10" customHeight="1" x14ac:dyDescent="0.25">
      <c r="AS869" s="207" t="s">
        <v>132</v>
      </c>
    </row>
    <row r="870" spans="3:53" ht="10" customHeight="1" x14ac:dyDescent="0.25">
      <c r="AS870" s="207" t="s">
        <v>132</v>
      </c>
    </row>
    <row r="871" spans="3:53" ht="10" customHeight="1" x14ac:dyDescent="0.25">
      <c r="AS871" s="207" t="s">
        <v>132</v>
      </c>
    </row>
    <row r="872" spans="3:53" ht="10" customHeight="1" x14ac:dyDescent="0.25">
      <c r="AS872" s="207" t="s">
        <v>132</v>
      </c>
    </row>
    <row r="873" spans="3:53" ht="10" customHeight="1" x14ac:dyDescent="0.25">
      <c r="AS873" s="207" t="s">
        <v>132</v>
      </c>
    </row>
    <row r="874" spans="3:53" ht="10" customHeight="1" x14ac:dyDescent="0.25">
      <c r="AS874" s="207" t="s">
        <v>132</v>
      </c>
    </row>
    <row r="875" spans="3:53" ht="10" customHeight="1" x14ac:dyDescent="0.25">
      <c r="AS875" s="207" t="s">
        <v>132</v>
      </c>
    </row>
    <row r="876" spans="3:53" ht="10" customHeight="1" x14ac:dyDescent="0.25">
      <c r="AS876" s="207" t="s">
        <v>132</v>
      </c>
    </row>
    <row r="877" spans="3:53" ht="10" customHeight="1" x14ac:dyDescent="0.25">
      <c r="AS877" s="207" t="s">
        <v>132</v>
      </c>
    </row>
    <row r="878" spans="3:53" ht="10" customHeight="1" x14ac:dyDescent="0.25">
      <c r="AS878" s="207" t="s">
        <v>132</v>
      </c>
    </row>
    <row r="879" spans="3:53" ht="10" customHeight="1" x14ac:dyDescent="0.25">
      <c r="AS879" s="207" t="s">
        <v>132</v>
      </c>
    </row>
    <row r="880" spans="3:53" ht="10" customHeight="1" x14ac:dyDescent="0.25">
      <c r="AS880" s="207" t="s">
        <v>132</v>
      </c>
    </row>
    <row r="881" spans="45:45" ht="10" customHeight="1" x14ac:dyDescent="0.25">
      <c r="AS881" s="207" t="s">
        <v>132</v>
      </c>
    </row>
    <row r="882" spans="45:45" ht="10" customHeight="1" x14ac:dyDescent="0.25">
      <c r="AS882" s="207" t="s">
        <v>132</v>
      </c>
    </row>
    <row r="883" spans="45:45" ht="10" customHeight="1" x14ac:dyDescent="0.25">
      <c r="AS883" s="207" t="s">
        <v>132</v>
      </c>
    </row>
    <row r="884" spans="45:45" ht="10" customHeight="1" x14ac:dyDescent="0.25">
      <c r="AS884" s="207" t="s">
        <v>132</v>
      </c>
    </row>
    <row r="885" spans="45:45" ht="10" customHeight="1" x14ac:dyDescent="0.25">
      <c r="AS885" s="207" t="s">
        <v>132</v>
      </c>
    </row>
    <row r="886" spans="45:45" ht="10" customHeight="1" x14ac:dyDescent="0.25">
      <c r="AS886" s="207" t="s">
        <v>132</v>
      </c>
    </row>
    <row r="887" spans="45:45" ht="10" customHeight="1" x14ac:dyDescent="0.25">
      <c r="AS887" s="207" t="s">
        <v>132</v>
      </c>
    </row>
    <row r="888" spans="45:45" ht="10" customHeight="1" x14ac:dyDescent="0.25">
      <c r="AS888" s="207" t="s">
        <v>132</v>
      </c>
    </row>
    <row r="889" spans="45:45" ht="10" customHeight="1" x14ac:dyDescent="0.25">
      <c r="AS889" s="207" t="s">
        <v>132</v>
      </c>
    </row>
    <row r="890" spans="45:45" ht="10" customHeight="1" x14ac:dyDescent="0.25">
      <c r="AS890" s="207" t="s">
        <v>132</v>
      </c>
    </row>
    <row r="891" spans="45:45" ht="10" customHeight="1" x14ac:dyDescent="0.25">
      <c r="AS891" s="207" t="s">
        <v>132</v>
      </c>
    </row>
    <row r="892" spans="45:45" ht="10" customHeight="1" x14ac:dyDescent="0.25">
      <c r="AS892" s="207" t="s">
        <v>132</v>
      </c>
    </row>
    <row r="893" spans="45:45" ht="10" customHeight="1" x14ac:dyDescent="0.25">
      <c r="AS893" s="207" t="s">
        <v>132</v>
      </c>
    </row>
    <row r="894" spans="45:45" ht="10" customHeight="1" x14ac:dyDescent="0.25">
      <c r="AS894" s="207" t="s">
        <v>132</v>
      </c>
    </row>
    <row r="895" spans="45:45" ht="10" customHeight="1" x14ac:dyDescent="0.25">
      <c r="AS895" s="207" t="s">
        <v>132</v>
      </c>
    </row>
    <row r="896" spans="45:45" ht="10" customHeight="1" x14ac:dyDescent="0.25">
      <c r="AS896" s="207" t="s">
        <v>132</v>
      </c>
    </row>
    <row r="897" spans="45:45" ht="10" customHeight="1" x14ac:dyDescent="0.25">
      <c r="AS897" s="207" t="s">
        <v>132</v>
      </c>
    </row>
    <row r="898" spans="45:45" ht="10" customHeight="1" x14ac:dyDescent="0.25">
      <c r="AS898" s="207" t="s">
        <v>132</v>
      </c>
    </row>
    <row r="899" spans="45:45" ht="10" customHeight="1" x14ac:dyDescent="0.25">
      <c r="AS899" s="207" t="s">
        <v>132</v>
      </c>
    </row>
    <row r="900" spans="45:45" ht="10" customHeight="1" x14ac:dyDescent="0.25">
      <c r="AS900" s="207" t="s">
        <v>132</v>
      </c>
    </row>
    <row r="901" spans="45:45" ht="10" customHeight="1" x14ac:dyDescent="0.25">
      <c r="AS901" s="207" t="s">
        <v>132</v>
      </c>
    </row>
    <row r="902" spans="45:45" ht="10" customHeight="1" x14ac:dyDescent="0.25">
      <c r="AS902" s="207" t="s">
        <v>132</v>
      </c>
    </row>
    <row r="903" spans="45:45" ht="10" customHeight="1" x14ac:dyDescent="0.25">
      <c r="AS903" s="207" t="s">
        <v>132</v>
      </c>
    </row>
    <row r="904" spans="45:45" ht="10" customHeight="1" x14ac:dyDescent="0.25">
      <c r="AS904" s="207" t="s">
        <v>132</v>
      </c>
    </row>
    <row r="905" spans="45:45" ht="10" customHeight="1" x14ac:dyDescent="0.25">
      <c r="AS905" s="207" t="s">
        <v>132</v>
      </c>
    </row>
    <row r="906" spans="45:45" ht="10" customHeight="1" x14ac:dyDescent="0.25">
      <c r="AS906" s="207" t="s">
        <v>132</v>
      </c>
    </row>
    <row r="907" spans="45:45" ht="10" customHeight="1" x14ac:dyDescent="0.25">
      <c r="AS907" s="207" t="s">
        <v>132</v>
      </c>
    </row>
    <row r="908" spans="45:45" ht="10" customHeight="1" x14ac:dyDescent="0.25">
      <c r="AS908" s="207" t="s">
        <v>132</v>
      </c>
    </row>
    <row r="909" spans="45:45" ht="10" customHeight="1" x14ac:dyDescent="0.25">
      <c r="AS909" s="207" t="s">
        <v>132</v>
      </c>
    </row>
    <row r="910" spans="45:45" ht="10" customHeight="1" x14ac:dyDescent="0.25">
      <c r="AS910" s="207" t="s">
        <v>132</v>
      </c>
    </row>
    <row r="911" spans="45:45" ht="10" customHeight="1" x14ac:dyDescent="0.25">
      <c r="AS911" s="207" t="s">
        <v>132</v>
      </c>
    </row>
    <row r="912" spans="45:45" ht="10" customHeight="1" x14ac:dyDescent="0.25">
      <c r="AS912" s="207" t="s">
        <v>132</v>
      </c>
    </row>
    <row r="913" spans="45:45" ht="10" customHeight="1" x14ac:dyDescent="0.25">
      <c r="AS913" s="207" t="s">
        <v>132</v>
      </c>
    </row>
    <row r="914" spans="45:45" ht="10" customHeight="1" x14ac:dyDescent="0.25">
      <c r="AS914" s="207" t="s">
        <v>132</v>
      </c>
    </row>
    <row r="915" spans="45:45" ht="10" customHeight="1" x14ac:dyDescent="0.25">
      <c r="AS915" s="207" t="s">
        <v>132</v>
      </c>
    </row>
    <row r="916" spans="45:45" ht="10" customHeight="1" x14ac:dyDescent="0.25">
      <c r="AS916" s="207" t="s">
        <v>132</v>
      </c>
    </row>
    <row r="917" spans="45:45" ht="10" customHeight="1" x14ac:dyDescent="0.25">
      <c r="AS917" s="207" t="s">
        <v>132</v>
      </c>
    </row>
    <row r="918" spans="45:45" ht="10" customHeight="1" x14ac:dyDescent="0.25">
      <c r="AS918" s="207" t="s">
        <v>132</v>
      </c>
    </row>
    <row r="919" spans="45:45" ht="10" customHeight="1" x14ac:dyDescent="0.25">
      <c r="AS919" s="207" t="s">
        <v>132</v>
      </c>
    </row>
    <row r="920" spans="45:45" ht="10" customHeight="1" x14ac:dyDescent="0.25">
      <c r="AS920" s="207" t="s">
        <v>132</v>
      </c>
    </row>
    <row r="921" spans="45:45" ht="10" customHeight="1" x14ac:dyDescent="0.25">
      <c r="AS921" s="207" t="s">
        <v>132</v>
      </c>
    </row>
    <row r="922" spans="45:45" ht="10" customHeight="1" x14ac:dyDescent="0.25">
      <c r="AS922" s="207" t="s">
        <v>132</v>
      </c>
    </row>
    <row r="923" spans="45:45" ht="10" customHeight="1" x14ac:dyDescent="0.25">
      <c r="AS923" s="207" t="s">
        <v>132</v>
      </c>
    </row>
    <row r="924" spans="45:45" ht="10" customHeight="1" x14ac:dyDescent="0.25">
      <c r="AS924" s="207" t="s">
        <v>132</v>
      </c>
    </row>
    <row r="925" spans="45:45" ht="10" customHeight="1" x14ac:dyDescent="0.25">
      <c r="AS925" s="207" t="s">
        <v>132</v>
      </c>
    </row>
    <row r="926" spans="45:45" ht="10" customHeight="1" x14ac:dyDescent="0.25">
      <c r="AS926" s="207" t="s">
        <v>132</v>
      </c>
    </row>
    <row r="927" spans="45:45" ht="10" customHeight="1" x14ac:dyDescent="0.25">
      <c r="AS927" s="207" t="s">
        <v>132</v>
      </c>
    </row>
    <row r="928" spans="45:45" ht="10" customHeight="1" x14ac:dyDescent="0.25">
      <c r="AS928" s="207" t="s">
        <v>132</v>
      </c>
    </row>
    <row r="929" spans="45:45" ht="10" customHeight="1" x14ac:dyDescent="0.25">
      <c r="AS929" s="207" t="s">
        <v>132</v>
      </c>
    </row>
    <row r="930" spans="45:45" ht="10" customHeight="1" x14ac:dyDescent="0.25">
      <c r="AS930" s="207" t="s">
        <v>132</v>
      </c>
    </row>
    <row r="931" spans="45:45" ht="10" customHeight="1" x14ac:dyDescent="0.25">
      <c r="AS931" s="207" t="s">
        <v>132</v>
      </c>
    </row>
    <row r="932" spans="45:45" ht="10" customHeight="1" x14ac:dyDescent="0.25">
      <c r="AS932" s="207" t="s">
        <v>132</v>
      </c>
    </row>
    <row r="933" spans="45:45" ht="10" customHeight="1" x14ac:dyDescent="0.25">
      <c r="AS933" s="207" t="s">
        <v>132</v>
      </c>
    </row>
    <row r="934" spans="45:45" ht="10" customHeight="1" x14ac:dyDescent="0.25">
      <c r="AS934" s="207" t="s">
        <v>132</v>
      </c>
    </row>
    <row r="935" spans="45:45" ht="10" customHeight="1" x14ac:dyDescent="0.25">
      <c r="AS935" s="207" t="s">
        <v>132</v>
      </c>
    </row>
    <row r="936" spans="45:45" ht="10" customHeight="1" x14ac:dyDescent="0.25">
      <c r="AS936" s="207" t="s">
        <v>132</v>
      </c>
    </row>
    <row r="937" spans="45:45" ht="10" customHeight="1" x14ac:dyDescent="0.25">
      <c r="AS937" s="207" t="s">
        <v>132</v>
      </c>
    </row>
    <row r="938" spans="45:45" ht="10" customHeight="1" x14ac:dyDescent="0.25">
      <c r="AS938" s="207" t="s">
        <v>132</v>
      </c>
    </row>
    <row r="939" spans="45:45" ht="10" customHeight="1" x14ac:dyDescent="0.25">
      <c r="AS939" s="207" t="s">
        <v>132</v>
      </c>
    </row>
    <row r="940" spans="45:45" ht="10" customHeight="1" x14ac:dyDescent="0.25">
      <c r="AS940" s="207" t="s">
        <v>132</v>
      </c>
    </row>
    <row r="941" spans="45:45" ht="10" customHeight="1" x14ac:dyDescent="0.25">
      <c r="AS941" s="207" t="s">
        <v>132</v>
      </c>
    </row>
    <row r="942" spans="45:45" ht="10" customHeight="1" x14ac:dyDescent="0.25">
      <c r="AS942" s="207" t="s">
        <v>132</v>
      </c>
    </row>
    <row r="943" spans="45:45" ht="10" customHeight="1" x14ac:dyDescent="0.25">
      <c r="AS943" s="207" t="s">
        <v>132</v>
      </c>
    </row>
    <row r="944" spans="45:45" ht="10" customHeight="1" x14ac:dyDescent="0.25">
      <c r="AS944" s="207" t="s">
        <v>132</v>
      </c>
    </row>
    <row r="945" spans="45:45" ht="10" customHeight="1" x14ac:dyDescent="0.25">
      <c r="AS945" s="207" t="s">
        <v>132</v>
      </c>
    </row>
    <row r="946" spans="45:45" ht="10" customHeight="1" x14ac:dyDescent="0.25">
      <c r="AS946" s="207" t="s">
        <v>132</v>
      </c>
    </row>
    <row r="947" spans="45:45" ht="10" customHeight="1" x14ac:dyDescent="0.25">
      <c r="AS947" s="207" t="s">
        <v>132</v>
      </c>
    </row>
    <row r="948" spans="45:45" ht="10" customHeight="1" x14ac:dyDescent="0.25">
      <c r="AS948" s="207" t="s">
        <v>132</v>
      </c>
    </row>
    <row r="949" spans="45:45" ht="10" customHeight="1" x14ac:dyDescent="0.25">
      <c r="AS949" s="207" t="s">
        <v>132</v>
      </c>
    </row>
    <row r="950" spans="45:45" ht="10" customHeight="1" x14ac:dyDescent="0.25">
      <c r="AS950" s="207" t="s">
        <v>132</v>
      </c>
    </row>
    <row r="951" spans="45:45" ht="10" customHeight="1" x14ac:dyDescent="0.25">
      <c r="AS951" s="207" t="s">
        <v>132</v>
      </c>
    </row>
    <row r="952" spans="45:45" ht="10" customHeight="1" x14ac:dyDescent="0.25">
      <c r="AS952" s="207" t="s">
        <v>132</v>
      </c>
    </row>
    <row r="953" spans="45:45" ht="10" customHeight="1" x14ac:dyDescent="0.25">
      <c r="AS953" s="207" t="s">
        <v>132</v>
      </c>
    </row>
    <row r="954" spans="45:45" ht="10" customHeight="1" x14ac:dyDescent="0.25">
      <c r="AS954" s="207" t="s">
        <v>132</v>
      </c>
    </row>
    <row r="955" spans="45:45" ht="10" customHeight="1" x14ac:dyDescent="0.25">
      <c r="AS955" s="207" t="s">
        <v>132</v>
      </c>
    </row>
    <row r="956" spans="45:45" ht="10" customHeight="1" x14ac:dyDescent="0.25">
      <c r="AS956" s="207" t="s">
        <v>132</v>
      </c>
    </row>
    <row r="957" spans="45:45" ht="10" customHeight="1" x14ac:dyDescent="0.25">
      <c r="AS957" s="207" t="s">
        <v>132</v>
      </c>
    </row>
    <row r="958" spans="45:45" ht="10" customHeight="1" x14ac:dyDescent="0.25">
      <c r="AS958" s="207" t="s">
        <v>132</v>
      </c>
    </row>
    <row r="959" spans="45:45" ht="10" customHeight="1" x14ac:dyDescent="0.25">
      <c r="AS959" s="207" t="s">
        <v>132</v>
      </c>
    </row>
    <row r="960" spans="45:45" ht="10" customHeight="1" x14ac:dyDescent="0.25">
      <c r="AS960" s="207" t="s">
        <v>132</v>
      </c>
    </row>
    <row r="961" spans="45:45" ht="10" customHeight="1" x14ac:dyDescent="0.25">
      <c r="AS961" s="207" t="s">
        <v>132</v>
      </c>
    </row>
    <row r="962" spans="45:45" ht="10" customHeight="1" x14ac:dyDescent="0.25">
      <c r="AS962" s="207" t="s">
        <v>132</v>
      </c>
    </row>
    <row r="963" spans="45:45" ht="10" customHeight="1" x14ac:dyDescent="0.25">
      <c r="AS963" s="207" t="s">
        <v>132</v>
      </c>
    </row>
    <row r="964" spans="45:45" ht="10" customHeight="1" x14ac:dyDescent="0.25">
      <c r="AS964" s="207" t="s">
        <v>132</v>
      </c>
    </row>
    <row r="965" spans="45:45" ht="10" customHeight="1" x14ac:dyDescent="0.25">
      <c r="AS965" s="207" t="s">
        <v>132</v>
      </c>
    </row>
    <row r="966" spans="45:45" ht="10" customHeight="1" x14ac:dyDescent="0.25">
      <c r="AS966" s="207" t="s">
        <v>132</v>
      </c>
    </row>
    <row r="967" spans="45:45" ht="10" customHeight="1" x14ac:dyDescent="0.25">
      <c r="AS967" s="207" t="s">
        <v>132</v>
      </c>
    </row>
    <row r="968" spans="45:45" ht="10" customHeight="1" x14ac:dyDescent="0.25">
      <c r="AS968" s="207" t="s">
        <v>132</v>
      </c>
    </row>
    <row r="969" spans="45:45" ht="10" customHeight="1" x14ac:dyDescent="0.25">
      <c r="AS969" s="207" t="s">
        <v>132</v>
      </c>
    </row>
    <row r="970" spans="45:45" ht="10" customHeight="1" x14ac:dyDescent="0.25">
      <c r="AS970" s="207" t="s">
        <v>132</v>
      </c>
    </row>
    <row r="971" spans="45:45" ht="10" customHeight="1" x14ac:dyDescent="0.25">
      <c r="AS971" s="207" t="s">
        <v>132</v>
      </c>
    </row>
    <row r="972" spans="45:45" ht="10" customHeight="1" x14ac:dyDescent="0.25">
      <c r="AS972" s="207" t="s">
        <v>132</v>
      </c>
    </row>
    <row r="973" spans="45:45" ht="10" customHeight="1" x14ac:dyDescent="0.25">
      <c r="AS973" s="207" t="s">
        <v>132</v>
      </c>
    </row>
    <row r="974" spans="45:45" ht="10" customHeight="1" x14ac:dyDescent="0.25">
      <c r="AS974" s="207" t="s">
        <v>132</v>
      </c>
    </row>
    <row r="975" spans="45:45" ht="10" customHeight="1" x14ac:dyDescent="0.25">
      <c r="AS975" s="207" t="s">
        <v>132</v>
      </c>
    </row>
    <row r="976" spans="45:45" ht="10" customHeight="1" x14ac:dyDescent="0.25">
      <c r="AS976" s="207" t="s">
        <v>132</v>
      </c>
    </row>
    <row r="977" spans="45:45" ht="10" customHeight="1" x14ac:dyDescent="0.25">
      <c r="AS977" s="207" t="s">
        <v>132</v>
      </c>
    </row>
    <row r="978" spans="45:45" ht="10" customHeight="1" x14ac:dyDescent="0.25">
      <c r="AS978" s="207" t="s">
        <v>132</v>
      </c>
    </row>
    <row r="979" spans="45:45" ht="10" customHeight="1" x14ac:dyDescent="0.25">
      <c r="AS979" s="207" t="s">
        <v>132</v>
      </c>
    </row>
    <row r="980" spans="45:45" ht="10" customHeight="1" x14ac:dyDescent="0.25">
      <c r="AS980" s="207" t="s">
        <v>132</v>
      </c>
    </row>
    <row r="981" spans="45:45" ht="10" customHeight="1" x14ac:dyDescent="0.25">
      <c r="AS981" s="207" t="s">
        <v>132</v>
      </c>
    </row>
    <row r="982" spans="45:45" ht="10" customHeight="1" x14ac:dyDescent="0.25">
      <c r="AS982" s="207" t="s">
        <v>132</v>
      </c>
    </row>
    <row r="983" spans="45:45" ht="10" customHeight="1" x14ac:dyDescent="0.25">
      <c r="AS983" s="207" t="s">
        <v>132</v>
      </c>
    </row>
    <row r="984" spans="45:45" ht="10" customHeight="1" x14ac:dyDescent="0.25">
      <c r="AS984" s="207" t="s">
        <v>132</v>
      </c>
    </row>
    <row r="985" spans="45:45" ht="10" customHeight="1" x14ac:dyDescent="0.25">
      <c r="AS985" s="207" t="s">
        <v>132</v>
      </c>
    </row>
    <row r="986" spans="45:45" ht="10" customHeight="1" x14ac:dyDescent="0.25">
      <c r="AS986" s="207" t="s">
        <v>132</v>
      </c>
    </row>
    <row r="987" spans="45:45" ht="10" customHeight="1" x14ac:dyDescent="0.25">
      <c r="AS987" s="207" t="s">
        <v>132</v>
      </c>
    </row>
    <row r="988" spans="45:45" ht="10" customHeight="1" x14ac:dyDescent="0.25">
      <c r="AS988" s="207" t="s">
        <v>132</v>
      </c>
    </row>
    <row r="989" spans="45:45" ht="10" customHeight="1" x14ac:dyDescent="0.25">
      <c r="AS989" s="207" t="s">
        <v>132</v>
      </c>
    </row>
    <row r="990" spans="45:45" ht="10" customHeight="1" x14ac:dyDescent="0.25">
      <c r="AS990" s="207" t="s">
        <v>132</v>
      </c>
    </row>
    <row r="991" spans="45:45" ht="10" customHeight="1" x14ac:dyDescent="0.25">
      <c r="AS991" s="207" t="s">
        <v>132</v>
      </c>
    </row>
    <row r="992" spans="45:45" ht="10" customHeight="1" x14ac:dyDescent="0.25">
      <c r="AS992" s="207" t="s">
        <v>132</v>
      </c>
    </row>
    <row r="993" spans="45:45" ht="10" customHeight="1" x14ac:dyDescent="0.25">
      <c r="AS993" s="207" t="s">
        <v>132</v>
      </c>
    </row>
    <row r="994" spans="45:45" ht="10" customHeight="1" x14ac:dyDescent="0.25">
      <c r="AS994" s="207" t="s">
        <v>132</v>
      </c>
    </row>
    <row r="995" spans="45:45" ht="10" customHeight="1" x14ac:dyDescent="0.25">
      <c r="AS995" s="207" t="s">
        <v>132</v>
      </c>
    </row>
    <row r="996" spans="45:45" ht="10" customHeight="1" x14ac:dyDescent="0.25">
      <c r="AS996" s="207" t="s">
        <v>132</v>
      </c>
    </row>
    <row r="997" spans="45:45" ht="10" customHeight="1" x14ac:dyDescent="0.25">
      <c r="AS997" s="207" t="s">
        <v>132</v>
      </c>
    </row>
    <row r="998" spans="45:45" ht="10" customHeight="1" x14ac:dyDescent="0.25">
      <c r="AS998" s="207" t="s">
        <v>132</v>
      </c>
    </row>
    <row r="999" spans="45:45" ht="10" customHeight="1" x14ac:dyDescent="0.25">
      <c r="AS999" s="207" t="s">
        <v>132</v>
      </c>
    </row>
    <row r="1000" spans="45:45" ht="10" customHeight="1" x14ac:dyDescent="0.25">
      <c r="AS1000" s="207" t="s">
        <v>132</v>
      </c>
    </row>
    <row r="1001" spans="45:45" ht="10" customHeight="1" x14ac:dyDescent="0.25">
      <c r="AS1001" s="207" t="s">
        <v>132</v>
      </c>
    </row>
    <row r="1002" spans="45:45" ht="10" customHeight="1" x14ac:dyDescent="0.25">
      <c r="AS1002" s="207" t="s">
        <v>132</v>
      </c>
    </row>
    <row r="1003" spans="45:45" ht="10" customHeight="1" x14ac:dyDescent="0.25">
      <c r="AS1003" s="207" t="s">
        <v>132</v>
      </c>
    </row>
    <row r="1004" spans="45:45" ht="10" customHeight="1" x14ac:dyDescent="0.25">
      <c r="AS1004" s="207" t="s">
        <v>132</v>
      </c>
    </row>
    <row r="1005" spans="45:45" ht="10" customHeight="1" x14ac:dyDescent="0.25">
      <c r="AS1005" s="207" t="s">
        <v>132</v>
      </c>
    </row>
    <row r="1006" spans="45:45" ht="10" customHeight="1" x14ac:dyDescent="0.25">
      <c r="AS1006" s="207" t="s">
        <v>132</v>
      </c>
    </row>
    <row r="1007" spans="45:45" ht="10" customHeight="1" x14ac:dyDescent="0.25">
      <c r="AS1007" s="207" t="s">
        <v>132</v>
      </c>
    </row>
    <row r="1008" spans="45:45" ht="10" customHeight="1" x14ac:dyDescent="0.25">
      <c r="AS1008" s="207" t="s">
        <v>132</v>
      </c>
    </row>
    <row r="1009" spans="45:45" ht="10" customHeight="1" x14ac:dyDescent="0.25">
      <c r="AS1009" s="207" t="s">
        <v>132</v>
      </c>
    </row>
    <row r="1010" spans="45:45" ht="10" customHeight="1" x14ac:dyDescent="0.25">
      <c r="AS1010" s="207" t="s">
        <v>132</v>
      </c>
    </row>
    <row r="1011" spans="45:45" ht="10" customHeight="1" x14ac:dyDescent="0.25">
      <c r="AS1011" s="207" t="s">
        <v>132</v>
      </c>
    </row>
    <row r="1012" spans="45:45" ht="10" customHeight="1" x14ac:dyDescent="0.25">
      <c r="AS1012" s="207" t="s">
        <v>132</v>
      </c>
    </row>
    <row r="1013" spans="45:45" ht="10" customHeight="1" x14ac:dyDescent="0.25">
      <c r="AS1013" s="207" t="s">
        <v>132</v>
      </c>
    </row>
    <row r="1014" spans="45:45" ht="10" customHeight="1" x14ac:dyDescent="0.25">
      <c r="AS1014" s="207" t="s">
        <v>132</v>
      </c>
    </row>
    <row r="1015" spans="45:45" ht="10" customHeight="1" x14ac:dyDescent="0.25">
      <c r="AS1015" s="207" t="s">
        <v>132</v>
      </c>
    </row>
    <row r="1016" spans="45:45" ht="10" customHeight="1" x14ac:dyDescent="0.25">
      <c r="AS1016" s="207" t="s">
        <v>132</v>
      </c>
    </row>
    <row r="1017" spans="45:45" ht="10" customHeight="1" x14ac:dyDescent="0.25">
      <c r="AS1017" s="207" t="s">
        <v>132</v>
      </c>
    </row>
    <row r="1018" spans="45:45" ht="10" customHeight="1" x14ac:dyDescent="0.25">
      <c r="AS1018" s="207" t="s">
        <v>132</v>
      </c>
    </row>
    <row r="1019" spans="45:45" ht="10" customHeight="1" x14ac:dyDescent="0.25">
      <c r="AS1019" s="207" t="s">
        <v>132</v>
      </c>
    </row>
    <row r="1020" spans="45:45" ht="10" customHeight="1" x14ac:dyDescent="0.25">
      <c r="AS1020" s="207" t="s">
        <v>132</v>
      </c>
    </row>
    <row r="1021" spans="45:45" ht="10" customHeight="1" x14ac:dyDescent="0.25">
      <c r="AS1021" s="207" t="s">
        <v>132</v>
      </c>
    </row>
    <row r="1022" spans="45:45" ht="10" customHeight="1" x14ac:dyDescent="0.25">
      <c r="AS1022" s="207" t="s">
        <v>132</v>
      </c>
    </row>
    <row r="1023" spans="45:45" ht="10" customHeight="1" x14ac:dyDescent="0.25">
      <c r="AS1023" s="207" t="s">
        <v>132</v>
      </c>
    </row>
    <row r="1024" spans="45:45" ht="10" customHeight="1" x14ac:dyDescent="0.25">
      <c r="AS1024" s="207" t="s">
        <v>132</v>
      </c>
    </row>
    <row r="1025" spans="45:45" ht="10" customHeight="1" x14ac:dyDescent="0.25">
      <c r="AS1025" s="207" t="s">
        <v>132</v>
      </c>
    </row>
    <row r="1026" spans="45:45" ht="10" customHeight="1" x14ac:dyDescent="0.25">
      <c r="AS1026" s="207" t="s">
        <v>132</v>
      </c>
    </row>
    <row r="1027" spans="45:45" ht="10" customHeight="1" x14ac:dyDescent="0.25">
      <c r="AS1027" s="207" t="s">
        <v>132</v>
      </c>
    </row>
    <row r="1028" spans="45:45" ht="10" customHeight="1" x14ac:dyDescent="0.25">
      <c r="AS1028" s="207" t="s">
        <v>132</v>
      </c>
    </row>
    <row r="1029" spans="45:45" ht="10" customHeight="1" x14ac:dyDescent="0.25">
      <c r="AS1029" s="207" t="s">
        <v>132</v>
      </c>
    </row>
    <row r="1030" spans="45:45" ht="10" customHeight="1" x14ac:dyDescent="0.25">
      <c r="AS1030" s="207" t="s">
        <v>132</v>
      </c>
    </row>
    <row r="1031" spans="45:45" ht="10" customHeight="1" x14ac:dyDescent="0.25">
      <c r="AS1031" s="207" t="s">
        <v>132</v>
      </c>
    </row>
    <row r="1032" spans="45:45" ht="10" customHeight="1" x14ac:dyDescent="0.25">
      <c r="AS1032" s="207" t="s">
        <v>132</v>
      </c>
    </row>
    <row r="1033" spans="45:45" ht="10" customHeight="1" x14ac:dyDescent="0.25">
      <c r="AS1033" s="207" t="s">
        <v>132</v>
      </c>
    </row>
    <row r="1034" spans="45:45" ht="10" customHeight="1" x14ac:dyDescent="0.25">
      <c r="AS1034" s="207" t="s">
        <v>132</v>
      </c>
    </row>
    <row r="1035" spans="45:45" ht="10" customHeight="1" x14ac:dyDescent="0.25">
      <c r="AS1035" s="207" t="s">
        <v>132</v>
      </c>
    </row>
    <row r="1036" spans="45:45" ht="10" customHeight="1" x14ac:dyDescent="0.25">
      <c r="AS1036" s="207" t="s">
        <v>132</v>
      </c>
    </row>
    <row r="1037" spans="45:45" ht="10" customHeight="1" x14ac:dyDescent="0.25">
      <c r="AS1037" s="207" t="s">
        <v>132</v>
      </c>
    </row>
    <row r="1038" spans="45:45" ht="10" customHeight="1" x14ac:dyDescent="0.25">
      <c r="AS1038" s="207" t="s">
        <v>132</v>
      </c>
    </row>
    <row r="1039" spans="45:45" ht="10" customHeight="1" x14ac:dyDescent="0.25">
      <c r="AS1039" s="207" t="s">
        <v>132</v>
      </c>
    </row>
    <row r="1040" spans="45:45" ht="10" customHeight="1" x14ac:dyDescent="0.25">
      <c r="AS1040" s="207" t="s">
        <v>132</v>
      </c>
    </row>
    <row r="1041" spans="45:45" ht="10" customHeight="1" x14ac:dyDescent="0.25">
      <c r="AS1041" s="207" t="s">
        <v>132</v>
      </c>
    </row>
    <row r="1042" spans="45:45" ht="10" customHeight="1" x14ac:dyDescent="0.25">
      <c r="AS1042" s="207" t="s">
        <v>132</v>
      </c>
    </row>
    <row r="1043" spans="45:45" ht="10" customHeight="1" x14ac:dyDescent="0.25">
      <c r="AS1043" s="207" t="s">
        <v>132</v>
      </c>
    </row>
    <row r="1044" spans="45:45" ht="10" customHeight="1" x14ac:dyDescent="0.25">
      <c r="AS1044" s="207" t="s">
        <v>132</v>
      </c>
    </row>
    <row r="1045" spans="45:45" ht="10" customHeight="1" x14ac:dyDescent="0.25">
      <c r="AS1045" s="207" t="s">
        <v>132</v>
      </c>
    </row>
    <row r="1046" spans="45:45" ht="10" customHeight="1" x14ac:dyDescent="0.25">
      <c r="AS1046" s="207" t="s">
        <v>132</v>
      </c>
    </row>
    <row r="1047" spans="45:45" ht="10" customHeight="1" x14ac:dyDescent="0.25">
      <c r="AS1047" s="207" t="s">
        <v>132</v>
      </c>
    </row>
    <row r="1048" spans="45:45" ht="10" customHeight="1" x14ac:dyDescent="0.25">
      <c r="AS1048" s="207" t="s">
        <v>132</v>
      </c>
    </row>
    <row r="1049" spans="45:45" ht="10" customHeight="1" x14ac:dyDescent="0.25">
      <c r="AS1049" s="207" t="s">
        <v>132</v>
      </c>
    </row>
    <row r="1050" spans="45:45" ht="10" customHeight="1" x14ac:dyDescent="0.25">
      <c r="AS1050" s="207" t="s">
        <v>132</v>
      </c>
    </row>
    <row r="1051" spans="45:45" ht="10" customHeight="1" x14ac:dyDescent="0.25">
      <c r="AS1051" s="207" t="s">
        <v>132</v>
      </c>
    </row>
    <row r="1052" spans="45:45" ht="10" customHeight="1" x14ac:dyDescent="0.25">
      <c r="AS1052" s="207" t="s">
        <v>132</v>
      </c>
    </row>
    <row r="1053" spans="45:45" ht="10" customHeight="1" x14ac:dyDescent="0.25">
      <c r="AS1053" s="207" t="s">
        <v>132</v>
      </c>
    </row>
    <row r="1054" spans="45:45" ht="10" customHeight="1" x14ac:dyDescent="0.25">
      <c r="AS1054" s="207" t="s">
        <v>132</v>
      </c>
    </row>
    <row r="1055" spans="45:45" ht="10" customHeight="1" x14ac:dyDescent="0.25">
      <c r="AS1055" s="207" t="s">
        <v>132</v>
      </c>
    </row>
    <row r="1056" spans="45:45" ht="10" customHeight="1" x14ac:dyDescent="0.25">
      <c r="AS1056" s="207" t="s">
        <v>132</v>
      </c>
    </row>
    <row r="1057" spans="45:45" ht="10" customHeight="1" x14ac:dyDescent="0.25">
      <c r="AS1057" s="207" t="s">
        <v>132</v>
      </c>
    </row>
    <row r="1058" spans="45:45" ht="10" customHeight="1" x14ac:dyDescent="0.25">
      <c r="AS1058" s="207" t="s">
        <v>132</v>
      </c>
    </row>
    <row r="1059" spans="45:45" ht="10" customHeight="1" x14ac:dyDescent="0.25">
      <c r="AS1059" s="207" t="s">
        <v>132</v>
      </c>
    </row>
    <row r="1060" spans="45:45" ht="10" customHeight="1" x14ac:dyDescent="0.25">
      <c r="AS1060" s="207" t="s">
        <v>132</v>
      </c>
    </row>
    <row r="1061" spans="45:45" ht="10" customHeight="1" x14ac:dyDescent="0.25">
      <c r="AS1061" s="207" t="s">
        <v>132</v>
      </c>
    </row>
    <row r="1062" spans="45:45" ht="10" customHeight="1" x14ac:dyDescent="0.25">
      <c r="AS1062" s="207" t="s">
        <v>132</v>
      </c>
    </row>
    <row r="1063" spans="45:45" ht="10" customHeight="1" x14ac:dyDescent="0.25">
      <c r="AS1063" s="207" t="s">
        <v>132</v>
      </c>
    </row>
    <row r="1064" spans="45:45" ht="10" customHeight="1" x14ac:dyDescent="0.25">
      <c r="AS1064" s="207" t="s">
        <v>132</v>
      </c>
    </row>
    <row r="1065" spans="45:45" ht="10" customHeight="1" x14ac:dyDescent="0.25">
      <c r="AS1065" s="207" t="s">
        <v>132</v>
      </c>
    </row>
    <row r="1066" spans="45:45" ht="10" customHeight="1" x14ac:dyDescent="0.25">
      <c r="AS1066" s="207" t="s">
        <v>132</v>
      </c>
    </row>
    <row r="1067" spans="45:45" ht="10" customHeight="1" x14ac:dyDescent="0.25">
      <c r="AS1067" s="207" t="s">
        <v>132</v>
      </c>
    </row>
    <row r="1068" spans="45:45" ht="10" customHeight="1" x14ac:dyDescent="0.25">
      <c r="AS1068" s="207" t="s">
        <v>132</v>
      </c>
    </row>
    <row r="1069" spans="45:45" ht="10" customHeight="1" x14ac:dyDescent="0.25">
      <c r="AS1069" s="207" t="s">
        <v>132</v>
      </c>
    </row>
    <row r="1070" spans="45:45" ht="10" customHeight="1" x14ac:dyDescent="0.25">
      <c r="AS1070" s="207" t="s">
        <v>132</v>
      </c>
    </row>
    <row r="1071" spans="45:45" ht="10" customHeight="1" x14ac:dyDescent="0.25">
      <c r="AS1071" s="207" t="s">
        <v>132</v>
      </c>
    </row>
    <row r="1072" spans="45:45" ht="10" customHeight="1" x14ac:dyDescent="0.25">
      <c r="AS1072" s="207" t="s">
        <v>132</v>
      </c>
    </row>
    <row r="1073" spans="45:45" ht="10" customHeight="1" x14ac:dyDescent="0.25">
      <c r="AS1073" s="207" t="s">
        <v>132</v>
      </c>
    </row>
    <row r="1074" spans="45:45" ht="10" customHeight="1" x14ac:dyDescent="0.25">
      <c r="AS1074" s="207" t="s">
        <v>132</v>
      </c>
    </row>
    <row r="1075" spans="45:45" ht="10" customHeight="1" x14ac:dyDescent="0.25">
      <c r="AS1075" s="207" t="s">
        <v>132</v>
      </c>
    </row>
    <row r="1076" spans="45:45" ht="10" customHeight="1" x14ac:dyDescent="0.25">
      <c r="AS1076" s="207" t="s">
        <v>132</v>
      </c>
    </row>
    <row r="1077" spans="45:45" ht="10" customHeight="1" x14ac:dyDescent="0.25">
      <c r="AS1077" s="207" t="s">
        <v>132</v>
      </c>
    </row>
    <row r="1078" spans="45:45" ht="10" customHeight="1" x14ac:dyDescent="0.25">
      <c r="AS1078" s="207" t="s">
        <v>132</v>
      </c>
    </row>
    <row r="1079" spans="45:45" ht="10" customHeight="1" x14ac:dyDescent="0.25">
      <c r="AS1079" s="207" t="s">
        <v>132</v>
      </c>
    </row>
    <row r="1080" spans="45:45" ht="10" customHeight="1" x14ac:dyDescent="0.25">
      <c r="AS1080" s="207" t="s">
        <v>132</v>
      </c>
    </row>
    <row r="1081" spans="45:45" ht="10" customHeight="1" x14ac:dyDescent="0.25">
      <c r="AS1081" s="207" t="s">
        <v>132</v>
      </c>
    </row>
    <row r="1082" spans="45:45" ht="10" customHeight="1" x14ac:dyDescent="0.25">
      <c r="AS1082" s="207" t="s">
        <v>132</v>
      </c>
    </row>
    <row r="1083" spans="45:45" ht="10" customHeight="1" x14ac:dyDescent="0.25">
      <c r="AS1083" s="207" t="s">
        <v>132</v>
      </c>
    </row>
    <row r="1084" spans="45:45" ht="10" customHeight="1" x14ac:dyDescent="0.25">
      <c r="AS1084" s="207" t="s">
        <v>132</v>
      </c>
    </row>
    <row r="1085" spans="45:45" ht="10" customHeight="1" x14ac:dyDescent="0.25">
      <c r="AS1085" s="207" t="s">
        <v>132</v>
      </c>
    </row>
    <row r="1086" spans="45:45" ht="10" customHeight="1" x14ac:dyDescent="0.25">
      <c r="AS1086" s="207" t="s">
        <v>132</v>
      </c>
    </row>
    <row r="1087" spans="45:45" ht="10" customHeight="1" x14ac:dyDescent="0.25">
      <c r="AS1087" s="207" t="s">
        <v>132</v>
      </c>
    </row>
    <row r="1088" spans="45:45" ht="10" customHeight="1" x14ac:dyDescent="0.25">
      <c r="AS1088" s="207" t="s">
        <v>132</v>
      </c>
    </row>
    <row r="1089" spans="45:45" ht="10" customHeight="1" x14ac:dyDescent="0.25">
      <c r="AS1089" s="207" t="s">
        <v>132</v>
      </c>
    </row>
    <row r="1090" spans="45:45" ht="10" customHeight="1" x14ac:dyDescent="0.25">
      <c r="AS1090" s="207" t="s">
        <v>132</v>
      </c>
    </row>
    <row r="1091" spans="45:45" ht="10" customHeight="1" x14ac:dyDescent="0.25">
      <c r="AS1091" s="207" t="s">
        <v>132</v>
      </c>
    </row>
    <row r="1092" spans="45:45" ht="10" customHeight="1" x14ac:dyDescent="0.25">
      <c r="AS1092" s="207" t="s">
        <v>132</v>
      </c>
    </row>
    <row r="1093" spans="45:45" ht="10" customHeight="1" x14ac:dyDescent="0.25">
      <c r="AS1093" s="207" t="s">
        <v>132</v>
      </c>
    </row>
    <row r="1094" spans="45:45" ht="10" customHeight="1" x14ac:dyDescent="0.25">
      <c r="AS1094" s="207" t="s">
        <v>132</v>
      </c>
    </row>
    <row r="1095" spans="45:45" ht="10" customHeight="1" x14ac:dyDescent="0.25">
      <c r="AS1095" s="207" t="s">
        <v>132</v>
      </c>
    </row>
    <row r="1096" spans="45:45" ht="10" customHeight="1" x14ac:dyDescent="0.25">
      <c r="AS1096" s="207" t="s">
        <v>132</v>
      </c>
    </row>
    <row r="1097" spans="45:45" ht="10" customHeight="1" x14ac:dyDescent="0.25">
      <c r="AS1097" s="207" t="s">
        <v>132</v>
      </c>
    </row>
    <row r="1098" spans="45:45" ht="10" customHeight="1" x14ac:dyDescent="0.25">
      <c r="AS1098" s="207" t="s">
        <v>132</v>
      </c>
    </row>
    <row r="1099" spans="45:45" ht="10" customHeight="1" x14ac:dyDescent="0.25">
      <c r="AS1099" s="207" t="s">
        <v>132</v>
      </c>
    </row>
    <row r="1100" spans="45:45" ht="10" customHeight="1" x14ac:dyDescent="0.25">
      <c r="AS1100" s="207" t="s">
        <v>132</v>
      </c>
    </row>
    <row r="1101" spans="45:45" ht="10" customHeight="1" x14ac:dyDescent="0.25">
      <c r="AS1101" s="207" t="s">
        <v>132</v>
      </c>
    </row>
    <row r="1102" spans="45:45" ht="10" customHeight="1" x14ac:dyDescent="0.25">
      <c r="AS1102" s="207" t="s">
        <v>132</v>
      </c>
    </row>
    <row r="1103" spans="45:45" ht="10" customHeight="1" x14ac:dyDescent="0.25">
      <c r="AS1103" s="207" t="s">
        <v>132</v>
      </c>
    </row>
    <row r="1104" spans="45:45" ht="10" customHeight="1" x14ac:dyDescent="0.25">
      <c r="AS1104" s="207" t="s">
        <v>132</v>
      </c>
    </row>
    <row r="1105" spans="45:45" ht="10" customHeight="1" x14ac:dyDescent="0.25">
      <c r="AS1105" s="207" t="s">
        <v>132</v>
      </c>
    </row>
    <row r="1106" spans="45:45" ht="10" customHeight="1" x14ac:dyDescent="0.25">
      <c r="AS1106" s="207" t="s">
        <v>132</v>
      </c>
    </row>
    <row r="1107" spans="45:45" ht="10" customHeight="1" x14ac:dyDescent="0.25">
      <c r="AS1107" s="207" t="s">
        <v>132</v>
      </c>
    </row>
    <row r="1108" spans="45:45" ht="10" customHeight="1" x14ac:dyDescent="0.25">
      <c r="AS1108" s="207" t="s">
        <v>132</v>
      </c>
    </row>
    <row r="1109" spans="45:45" ht="10" customHeight="1" x14ac:dyDescent="0.25">
      <c r="AS1109" s="207" t="s">
        <v>132</v>
      </c>
    </row>
    <row r="1110" spans="45:45" ht="10" customHeight="1" x14ac:dyDescent="0.25">
      <c r="AS1110" s="207" t="s">
        <v>132</v>
      </c>
    </row>
    <row r="1111" spans="45:45" ht="10" customHeight="1" x14ac:dyDescent="0.25">
      <c r="AS1111" s="207" t="s">
        <v>132</v>
      </c>
    </row>
    <row r="1112" spans="45:45" ht="10" customHeight="1" x14ac:dyDescent="0.25">
      <c r="AS1112" s="207" t="s">
        <v>132</v>
      </c>
    </row>
    <row r="1113" spans="45:45" ht="10" customHeight="1" x14ac:dyDescent="0.25">
      <c r="AS1113" s="207" t="s">
        <v>132</v>
      </c>
    </row>
    <row r="1114" spans="45:45" ht="10" customHeight="1" x14ac:dyDescent="0.25">
      <c r="AS1114" s="207" t="s">
        <v>132</v>
      </c>
    </row>
    <row r="1115" spans="45:45" ht="10" customHeight="1" x14ac:dyDescent="0.25">
      <c r="AS1115" s="207" t="s">
        <v>132</v>
      </c>
    </row>
    <row r="1116" spans="45:45" ht="10" customHeight="1" x14ac:dyDescent="0.25">
      <c r="AS1116" s="207" t="s">
        <v>132</v>
      </c>
    </row>
    <row r="1117" spans="45:45" ht="10" customHeight="1" x14ac:dyDescent="0.25">
      <c r="AS1117" s="207" t="s">
        <v>132</v>
      </c>
    </row>
    <row r="1118" spans="45:45" ht="10" customHeight="1" x14ac:dyDescent="0.25">
      <c r="AS1118" s="207" t="s">
        <v>132</v>
      </c>
    </row>
    <row r="1119" spans="45:45" ht="10" customHeight="1" x14ac:dyDescent="0.25">
      <c r="AS1119" s="207" t="s">
        <v>132</v>
      </c>
    </row>
    <row r="1120" spans="45:45" ht="10" customHeight="1" x14ac:dyDescent="0.25">
      <c r="AS1120" s="207" t="s">
        <v>132</v>
      </c>
    </row>
    <row r="1121" spans="45:45" ht="10" customHeight="1" x14ac:dyDescent="0.25">
      <c r="AS1121" s="207" t="s">
        <v>132</v>
      </c>
    </row>
    <row r="1122" spans="45:45" ht="10" customHeight="1" x14ac:dyDescent="0.25">
      <c r="AS1122" s="207" t="s">
        <v>132</v>
      </c>
    </row>
    <row r="1123" spans="45:45" ht="10" customHeight="1" x14ac:dyDescent="0.25">
      <c r="AS1123" s="207" t="s">
        <v>132</v>
      </c>
    </row>
    <row r="1124" spans="45:45" ht="10" customHeight="1" x14ac:dyDescent="0.25">
      <c r="AS1124" s="207" t="s">
        <v>132</v>
      </c>
    </row>
    <row r="1125" spans="45:45" ht="10" customHeight="1" x14ac:dyDescent="0.25">
      <c r="AS1125" s="207" t="s">
        <v>132</v>
      </c>
    </row>
    <row r="1126" spans="45:45" ht="10" customHeight="1" x14ac:dyDescent="0.25">
      <c r="AS1126" s="207" t="s">
        <v>132</v>
      </c>
    </row>
    <row r="1127" spans="45:45" ht="10" customHeight="1" x14ac:dyDescent="0.25">
      <c r="AS1127" s="207" t="s">
        <v>132</v>
      </c>
    </row>
    <row r="1128" spans="45:45" ht="10" customHeight="1" x14ac:dyDescent="0.25">
      <c r="AS1128" s="207" t="s">
        <v>132</v>
      </c>
    </row>
    <row r="1129" spans="45:45" ht="10" customHeight="1" x14ac:dyDescent="0.25">
      <c r="AS1129" s="207" t="s">
        <v>132</v>
      </c>
    </row>
    <row r="1130" spans="45:45" ht="10" customHeight="1" x14ac:dyDescent="0.25">
      <c r="AS1130" s="207" t="s">
        <v>132</v>
      </c>
    </row>
    <row r="1131" spans="45:45" ht="10" customHeight="1" x14ac:dyDescent="0.25">
      <c r="AS1131" s="207" t="s">
        <v>132</v>
      </c>
    </row>
    <row r="1132" spans="45:45" ht="10" customHeight="1" x14ac:dyDescent="0.25">
      <c r="AS1132" s="207" t="s">
        <v>132</v>
      </c>
    </row>
    <row r="1133" spans="45:45" ht="10" customHeight="1" x14ac:dyDescent="0.25">
      <c r="AS1133" s="207" t="s">
        <v>132</v>
      </c>
    </row>
    <row r="1134" spans="45:45" ht="10" customHeight="1" x14ac:dyDescent="0.25">
      <c r="AS1134" s="207" t="s">
        <v>132</v>
      </c>
    </row>
    <row r="1135" spans="45:45" ht="10" customHeight="1" x14ac:dyDescent="0.25">
      <c r="AS1135" s="207" t="s">
        <v>132</v>
      </c>
    </row>
    <row r="1136" spans="45:45" ht="10" customHeight="1" x14ac:dyDescent="0.25">
      <c r="AS1136" s="207" t="s">
        <v>132</v>
      </c>
    </row>
    <row r="1137" spans="45:45" ht="10" customHeight="1" x14ac:dyDescent="0.25">
      <c r="AS1137" s="207" t="s">
        <v>132</v>
      </c>
    </row>
    <row r="1138" spans="45:45" ht="10" customHeight="1" x14ac:dyDescent="0.25">
      <c r="AS1138" s="207" t="s">
        <v>132</v>
      </c>
    </row>
    <row r="1139" spans="45:45" ht="10" customHeight="1" x14ac:dyDescent="0.25">
      <c r="AS1139" s="207" t="s">
        <v>132</v>
      </c>
    </row>
    <row r="1140" spans="45:45" ht="10" customHeight="1" x14ac:dyDescent="0.25">
      <c r="AS1140" s="207" t="s">
        <v>132</v>
      </c>
    </row>
    <row r="1141" spans="45:45" ht="10" customHeight="1" x14ac:dyDescent="0.25">
      <c r="AS1141" s="207" t="s">
        <v>132</v>
      </c>
    </row>
    <row r="1142" spans="45:45" ht="10" customHeight="1" x14ac:dyDescent="0.25">
      <c r="AS1142" s="207" t="s">
        <v>132</v>
      </c>
    </row>
    <row r="1143" spans="45:45" ht="10" customHeight="1" x14ac:dyDescent="0.25">
      <c r="AS1143" s="207" t="s">
        <v>132</v>
      </c>
    </row>
    <row r="1144" spans="45:45" ht="10" customHeight="1" x14ac:dyDescent="0.25">
      <c r="AS1144" s="207" t="s">
        <v>132</v>
      </c>
    </row>
    <row r="1145" spans="45:45" ht="10" customHeight="1" x14ac:dyDescent="0.25">
      <c r="AS1145" s="207" t="s">
        <v>132</v>
      </c>
    </row>
    <row r="1146" spans="45:45" ht="10" customHeight="1" x14ac:dyDescent="0.25">
      <c r="AS1146" s="207" t="s">
        <v>132</v>
      </c>
    </row>
    <row r="1147" spans="45:45" ht="10" customHeight="1" x14ac:dyDescent="0.25">
      <c r="AS1147" s="207" t="s">
        <v>132</v>
      </c>
    </row>
    <row r="1148" spans="45:45" ht="10" customHeight="1" x14ac:dyDescent="0.25">
      <c r="AS1148" s="207" t="s">
        <v>132</v>
      </c>
    </row>
    <row r="1149" spans="45:45" ht="10" customHeight="1" x14ac:dyDescent="0.25">
      <c r="AS1149" s="207" t="s">
        <v>132</v>
      </c>
    </row>
    <row r="1150" spans="45:45" ht="10" customHeight="1" x14ac:dyDescent="0.25">
      <c r="AS1150" s="207" t="s">
        <v>132</v>
      </c>
    </row>
    <row r="1151" spans="45:45" ht="10" customHeight="1" x14ac:dyDescent="0.25">
      <c r="AS1151" s="207" t="s">
        <v>132</v>
      </c>
    </row>
    <row r="1152" spans="45:45" ht="10" customHeight="1" x14ac:dyDescent="0.25">
      <c r="AS1152" s="207" t="s">
        <v>132</v>
      </c>
    </row>
    <row r="1153" spans="45:45" ht="10" customHeight="1" x14ac:dyDescent="0.25">
      <c r="AS1153" s="207" t="s">
        <v>132</v>
      </c>
    </row>
    <row r="1154" spans="45:45" ht="10" customHeight="1" x14ac:dyDescent="0.25">
      <c r="AS1154" s="207" t="s">
        <v>132</v>
      </c>
    </row>
    <row r="1155" spans="45:45" ht="10" customHeight="1" x14ac:dyDescent="0.25">
      <c r="AS1155" s="207" t="s">
        <v>132</v>
      </c>
    </row>
    <row r="1156" spans="45:45" ht="10" customHeight="1" x14ac:dyDescent="0.25">
      <c r="AS1156" s="207" t="s">
        <v>132</v>
      </c>
    </row>
    <row r="1157" spans="45:45" ht="10" customHeight="1" x14ac:dyDescent="0.25">
      <c r="AS1157" s="207" t="s">
        <v>132</v>
      </c>
    </row>
    <row r="1158" spans="45:45" ht="10" customHeight="1" x14ac:dyDescent="0.25">
      <c r="AS1158" s="207" t="s">
        <v>132</v>
      </c>
    </row>
    <row r="1159" spans="45:45" ht="10" customHeight="1" x14ac:dyDescent="0.25">
      <c r="AS1159" s="207" t="s">
        <v>132</v>
      </c>
    </row>
    <row r="1160" spans="45:45" ht="10" customHeight="1" x14ac:dyDescent="0.25">
      <c r="AS1160" s="207" t="s">
        <v>132</v>
      </c>
    </row>
    <row r="1161" spans="45:45" ht="10" customHeight="1" x14ac:dyDescent="0.25">
      <c r="AS1161" s="207" t="s">
        <v>132</v>
      </c>
    </row>
    <row r="1162" spans="45:45" ht="10" customHeight="1" x14ac:dyDescent="0.25">
      <c r="AS1162" s="207" t="s">
        <v>132</v>
      </c>
    </row>
    <row r="1163" spans="45:45" ht="10" customHeight="1" x14ac:dyDescent="0.25">
      <c r="AS1163" s="207" t="s">
        <v>132</v>
      </c>
    </row>
    <row r="1164" spans="45:45" ht="10" customHeight="1" x14ac:dyDescent="0.25">
      <c r="AS1164" s="207" t="s">
        <v>132</v>
      </c>
    </row>
    <row r="1165" spans="45:45" ht="10" customHeight="1" x14ac:dyDescent="0.25">
      <c r="AS1165" s="207" t="s">
        <v>132</v>
      </c>
    </row>
    <row r="1166" spans="45:45" ht="10" customHeight="1" x14ac:dyDescent="0.25">
      <c r="AS1166" s="207" t="s">
        <v>132</v>
      </c>
    </row>
    <row r="1167" spans="45:45" ht="10" customHeight="1" x14ac:dyDescent="0.25">
      <c r="AS1167" s="207" t="s">
        <v>132</v>
      </c>
    </row>
    <row r="1168" spans="45:45" ht="10" customHeight="1" x14ac:dyDescent="0.25">
      <c r="AS1168" s="207" t="s">
        <v>132</v>
      </c>
    </row>
    <row r="1169" spans="45:45" ht="10" customHeight="1" x14ac:dyDescent="0.25">
      <c r="AS1169" s="207" t="s">
        <v>132</v>
      </c>
    </row>
    <row r="1170" spans="45:45" ht="10" customHeight="1" x14ac:dyDescent="0.25">
      <c r="AS1170" s="207" t="s">
        <v>132</v>
      </c>
    </row>
    <row r="1171" spans="45:45" ht="10" customHeight="1" x14ac:dyDescent="0.25">
      <c r="AS1171" s="207" t="s">
        <v>132</v>
      </c>
    </row>
    <row r="1172" spans="45:45" ht="10" customHeight="1" x14ac:dyDescent="0.25">
      <c r="AS1172" s="207" t="s">
        <v>132</v>
      </c>
    </row>
    <row r="1173" spans="45:45" ht="10" customHeight="1" x14ac:dyDescent="0.25">
      <c r="AS1173" s="207" t="s">
        <v>132</v>
      </c>
    </row>
    <row r="1174" spans="45:45" ht="10" customHeight="1" x14ac:dyDescent="0.25">
      <c r="AS1174" s="207" t="s">
        <v>132</v>
      </c>
    </row>
    <row r="1175" spans="45:45" ht="10" customHeight="1" x14ac:dyDescent="0.25">
      <c r="AS1175" s="207" t="s">
        <v>132</v>
      </c>
    </row>
    <row r="1176" spans="45:45" ht="10" customHeight="1" x14ac:dyDescent="0.25">
      <c r="AS1176" s="207" t="s">
        <v>132</v>
      </c>
    </row>
    <row r="1177" spans="45:45" ht="10" customHeight="1" x14ac:dyDescent="0.25">
      <c r="AS1177" s="207" t="s">
        <v>132</v>
      </c>
    </row>
    <row r="1178" spans="45:45" ht="10" customHeight="1" x14ac:dyDescent="0.25">
      <c r="AS1178" s="207" t="s">
        <v>132</v>
      </c>
    </row>
    <row r="1179" spans="45:45" ht="10" customHeight="1" x14ac:dyDescent="0.25">
      <c r="AS1179" s="207" t="s">
        <v>132</v>
      </c>
    </row>
    <row r="1180" spans="45:45" ht="10" customHeight="1" x14ac:dyDescent="0.25">
      <c r="AS1180" s="207" t="s">
        <v>132</v>
      </c>
    </row>
    <row r="1181" spans="45:45" ht="10" customHeight="1" x14ac:dyDescent="0.25">
      <c r="AS1181" s="207" t="s">
        <v>132</v>
      </c>
    </row>
    <row r="1182" spans="45:45" ht="10" customHeight="1" x14ac:dyDescent="0.25">
      <c r="AS1182" s="207" t="s">
        <v>132</v>
      </c>
    </row>
    <row r="1183" spans="45:45" ht="10" customHeight="1" x14ac:dyDescent="0.25">
      <c r="AS1183" s="207" t="s">
        <v>132</v>
      </c>
    </row>
    <row r="1184" spans="45:45" ht="10" customHeight="1" x14ac:dyDescent="0.25">
      <c r="AS1184" s="207" t="s">
        <v>132</v>
      </c>
    </row>
    <row r="1185" spans="45:45" ht="10" customHeight="1" x14ac:dyDescent="0.25">
      <c r="AS1185" s="207" t="s">
        <v>132</v>
      </c>
    </row>
    <row r="1186" spans="45:45" ht="10" customHeight="1" x14ac:dyDescent="0.25">
      <c r="AS1186" s="207" t="s">
        <v>132</v>
      </c>
    </row>
    <row r="1187" spans="45:45" ht="10" customHeight="1" x14ac:dyDescent="0.25">
      <c r="AS1187" s="207" t="s">
        <v>132</v>
      </c>
    </row>
    <row r="1188" spans="45:45" ht="10" customHeight="1" x14ac:dyDescent="0.25">
      <c r="AS1188" s="207" t="s">
        <v>132</v>
      </c>
    </row>
    <row r="1189" spans="45:45" ht="10" customHeight="1" x14ac:dyDescent="0.25">
      <c r="AS1189" s="207" t="s">
        <v>132</v>
      </c>
    </row>
    <row r="1190" spans="45:45" ht="10" customHeight="1" x14ac:dyDescent="0.25">
      <c r="AS1190" s="207" t="s">
        <v>132</v>
      </c>
    </row>
    <row r="1191" spans="45:45" ht="10" customHeight="1" x14ac:dyDescent="0.25">
      <c r="AS1191" s="207" t="s">
        <v>132</v>
      </c>
    </row>
    <row r="1192" spans="45:45" ht="10" customHeight="1" x14ac:dyDescent="0.25">
      <c r="AS1192" s="207" t="s">
        <v>132</v>
      </c>
    </row>
    <row r="1193" spans="45:45" ht="10" customHeight="1" x14ac:dyDescent="0.25">
      <c r="AS1193" s="207" t="s">
        <v>132</v>
      </c>
    </row>
    <row r="1194" spans="45:45" ht="10" customHeight="1" x14ac:dyDescent="0.25">
      <c r="AS1194" s="207" t="s">
        <v>132</v>
      </c>
    </row>
    <row r="1195" spans="45:45" ht="10" customHeight="1" x14ac:dyDescent="0.25">
      <c r="AS1195" s="207" t="s">
        <v>132</v>
      </c>
    </row>
    <row r="1196" spans="45:45" ht="10" customHeight="1" x14ac:dyDescent="0.25">
      <c r="AS1196" s="207" t="s">
        <v>132</v>
      </c>
    </row>
    <row r="1197" spans="45:45" ht="10" customHeight="1" x14ac:dyDescent="0.25">
      <c r="AS1197" s="207" t="s">
        <v>132</v>
      </c>
    </row>
    <row r="1198" spans="45:45" ht="10" customHeight="1" x14ac:dyDescent="0.25">
      <c r="AS1198" s="207" t="s">
        <v>132</v>
      </c>
    </row>
    <row r="1199" spans="45:45" ht="10" customHeight="1" x14ac:dyDescent="0.25">
      <c r="AS1199" s="207" t="s">
        <v>132</v>
      </c>
    </row>
    <row r="1200" spans="45:45" ht="10" customHeight="1" x14ac:dyDescent="0.25">
      <c r="AS1200" s="207" t="s">
        <v>132</v>
      </c>
    </row>
    <row r="1201" spans="45:45" ht="10" customHeight="1" x14ac:dyDescent="0.25">
      <c r="AS1201" s="207" t="s">
        <v>132</v>
      </c>
    </row>
    <row r="1202" spans="45:45" ht="10" customHeight="1" x14ac:dyDescent="0.25">
      <c r="AS1202" s="207" t="s">
        <v>132</v>
      </c>
    </row>
    <row r="1203" spans="45:45" ht="10" customHeight="1" x14ac:dyDescent="0.25">
      <c r="AS1203" s="207" t="s">
        <v>132</v>
      </c>
    </row>
    <row r="1204" spans="45:45" ht="10" customHeight="1" x14ac:dyDescent="0.25">
      <c r="AS1204" s="207" t="s">
        <v>132</v>
      </c>
    </row>
    <row r="1205" spans="45:45" ht="10" customHeight="1" x14ac:dyDescent="0.25">
      <c r="AS1205" s="207" t="s">
        <v>132</v>
      </c>
    </row>
    <row r="1206" spans="45:45" ht="10" customHeight="1" x14ac:dyDescent="0.25">
      <c r="AS1206" s="207" t="s">
        <v>132</v>
      </c>
    </row>
    <row r="1207" spans="45:45" ht="10" customHeight="1" x14ac:dyDescent="0.25">
      <c r="AS1207" s="207" t="s">
        <v>132</v>
      </c>
    </row>
    <row r="1208" spans="45:45" ht="10" customHeight="1" x14ac:dyDescent="0.25">
      <c r="AS1208" s="207" t="s">
        <v>132</v>
      </c>
    </row>
    <row r="1209" spans="45:45" ht="10" customHeight="1" x14ac:dyDescent="0.25">
      <c r="AS1209" s="207" t="s">
        <v>132</v>
      </c>
    </row>
    <row r="1210" spans="45:45" ht="10" customHeight="1" x14ac:dyDescent="0.25">
      <c r="AS1210" s="207" t="s">
        <v>132</v>
      </c>
    </row>
    <row r="1211" spans="45:45" ht="10" customHeight="1" x14ac:dyDescent="0.25">
      <c r="AS1211" s="207" t="s">
        <v>132</v>
      </c>
    </row>
    <row r="1212" spans="45:45" ht="10" customHeight="1" x14ac:dyDescent="0.25">
      <c r="AS1212" s="207" t="s">
        <v>132</v>
      </c>
    </row>
    <row r="1213" spans="45:45" ht="10" customHeight="1" x14ac:dyDescent="0.25">
      <c r="AS1213" s="207" t="s">
        <v>132</v>
      </c>
    </row>
    <row r="1214" spans="45:45" ht="10" customHeight="1" x14ac:dyDescent="0.25">
      <c r="AS1214" s="207" t="s">
        <v>132</v>
      </c>
    </row>
    <row r="1215" spans="45:45" ht="10" customHeight="1" x14ac:dyDescent="0.25">
      <c r="AS1215" s="207" t="s">
        <v>132</v>
      </c>
    </row>
    <row r="1216" spans="45:45" ht="10" customHeight="1" x14ac:dyDescent="0.25">
      <c r="AS1216" s="207" t="s">
        <v>132</v>
      </c>
    </row>
    <row r="1217" spans="45:45" ht="10" customHeight="1" x14ac:dyDescent="0.25">
      <c r="AS1217" s="207" t="s">
        <v>132</v>
      </c>
    </row>
    <row r="1218" spans="45:45" ht="10" customHeight="1" x14ac:dyDescent="0.25">
      <c r="AS1218" s="207" t="s">
        <v>132</v>
      </c>
    </row>
    <row r="1219" spans="45:45" ht="10" customHeight="1" x14ac:dyDescent="0.25">
      <c r="AS1219" s="207" t="s">
        <v>132</v>
      </c>
    </row>
    <row r="1220" spans="45:45" ht="10" customHeight="1" x14ac:dyDescent="0.25">
      <c r="AS1220" s="207" t="s">
        <v>132</v>
      </c>
    </row>
    <row r="1221" spans="45:45" ht="10" customHeight="1" x14ac:dyDescent="0.25">
      <c r="AS1221" s="207" t="s">
        <v>132</v>
      </c>
    </row>
    <row r="1222" spans="45:45" ht="10" customHeight="1" x14ac:dyDescent="0.25">
      <c r="AS1222" s="207" t="s">
        <v>132</v>
      </c>
    </row>
    <row r="1223" spans="45:45" ht="10" customHeight="1" x14ac:dyDescent="0.25">
      <c r="AS1223" s="207" t="s">
        <v>132</v>
      </c>
    </row>
    <row r="1224" spans="45:45" ht="10" customHeight="1" x14ac:dyDescent="0.25">
      <c r="AS1224" s="207" t="s">
        <v>132</v>
      </c>
    </row>
    <row r="1225" spans="45:45" ht="10" customHeight="1" x14ac:dyDescent="0.25">
      <c r="AS1225" s="207" t="s">
        <v>132</v>
      </c>
    </row>
    <row r="1226" spans="45:45" ht="10" customHeight="1" x14ac:dyDescent="0.25">
      <c r="AS1226" s="207" t="s">
        <v>132</v>
      </c>
    </row>
    <row r="1227" spans="45:45" ht="10" customHeight="1" x14ac:dyDescent="0.25">
      <c r="AS1227" s="207" t="s">
        <v>132</v>
      </c>
    </row>
    <row r="1228" spans="45:45" ht="10" customHeight="1" x14ac:dyDescent="0.25">
      <c r="AS1228" s="207" t="s">
        <v>132</v>
      </c>
    </row>
    <row r="1229" spans="45:45" ht="10" customHeight="1" x14ac:dyDescent="0.25">
      <c r="AS1229" s="207" t="s">
        <v>132</v>
      </c>
    </row>
    <row r="1230" spans="45:45" ht="10" customHeight="1" x14ac:dyDescent="0.25">
      <c r="AS1230" s="207" t="s">
        <v>132</v>
      </c>
    </row>
    <row r="1231" spans="45:45" ht="10" customHeight="1" x14ac:dyDescent="0.25">
      <c r="AS1231" s="207" t="s">
        <v>132</v>
      </c>
    </row>
    <row r="1232" spans="45:45" ht="10" customHeight="1" x14ac:dyDescent="0.25">
      <c r="AS1232" s="207" t="s">
        <v>132</v>
      </c>
    </row>
    <row r="1233" spans="45:45" ht="10" customHeight="1" x14ac:dyDescent="0.25">
      <c r="AS1233" s="207" t="s">
        <v>132</v>
      </c>
    </row>
    <row r="1234" spans="45:45" ht="10" customHeight="1" x14ac:dyDescent="0.25">
      <c r="AS1234" s="207" t="s">
        <v>132</v>
      </c>
    </row>
    <row r="1235" spans="45:45" ht="10" customHeight="1" x14ac:dyDescent="0.25">
      <c r="AS1235" s="207" t="s">
        <v>132</v>
      </c>
    </row>
    <row r="1236" spans="45:45" ht="10" customHeight="1" x14ac:dyDescent="0.25">
      <c r="AS1236" s="207" t="s">
        <v>132</v>
      </c>
    </row>
    <row r="1237" spans="45:45" ht="10" customHeight="1" x14ac:dyDescent="0.25">
      <c r="AS1237" s="207" t="s">
        <v>132</v>
      </c>
    </row>
    <row r="1238" spans="45:45" ht="10" customHeight="1" x14ac:dyDescent="0.25">
      <c r="AS1238" s="207" t="s">
        <v>132</v>
      </c>
    </row>
    <row r="1239" spans="45:45" ht="10" customHeight="1" x14ac:dyDescent="0.25">
      <c r="AS1239" s="207" t="s">
        <v>132</v>
      </c>
    </row>
    <row r="1240" spans="45:45" ht="10" customHeight="1" x14ac:dyDescent="0.25">
      <c r="AS1240" s="207" t="s">
        <v>132</v>
      </c>
    </row>
    <row r="1241" spans="45:45" ht="10" customHeight="1" x14ac:dyDescent="0.25">
      <c r="AS1241" s="207" t="s">
        <v>132</v>
      </c>
    </row>
    <row r="1242" spans="45:45" ht="10" customHeight="1" x14ac:dyDescent="0.25">
      <c r="AS1242" s="207" t="s">
        <v>132</v>
      </c>
    </row>
    <row r="1243" spans="45:45" ht="10" customHeight="1" x14ac:dyDescent="0.25">
      <c r="AS1243" s="207" t="s">
        <v>132</v>
      </c>
    </row>
    <row r="1244" spans="45:45" ht="10" customHeight="1" x14ac:dyDescent="0.25">
      <c r="AS1244" s="207" t="s">
        <v>132</v>
      </c>
    </row>
    <row r="1245" spans="45:45" ht="10" customHeight="1" x14ac:dyDescent="0.25">
      <c r="AS1245" s="207" t="s">
        <v>132</v>
      </c>
    </row>
    <row r="1246" spans="45:45" ht="10" customHeight="1" x14ac:dyDescent="0.25">
      <c r="AS1246" s="207" t="s">
        <v>132</v>
      </c>
    </row>
    <row r="1247" spans="45:45" ht="10" customHeight="1" x14ac:dyDescent="0.25">
      <c r="AS1247" s="207" t="s">
        <v>132</v>
      </c>
    </row>
    <row r="1248" spans="45:45" ht="10" customHeight="1" x14ac:dyDescent="0.25">
      <c r="AS1248" s="207" t="s">
        <v>132</v>
      </c>
    </row>
    <row r="1249" spans="45:45" ht="10" customHeight="1" x14ac:dyDescent="0.25">
      <c r="AS1249" s="207" t="s">
        <v>132</v>
      </c>
    </row>
    <row r="1250" spans="45:45" ht="10" customHeight="1" x14ac:dyDescent="0.25">
      <c r="AS1250" s="207" t="s">
        <v>132</v>
      </c>
    </row>
    <row r="1251" spans="45:45" ht="10" customHeight="1" x14ac:dyDescent="0.25">
      <c r="AS1251" s="207" t="s">
        <v>132</v>
      </c>
    </row>
    <row r="1252" spans="45:45" ht="10" customHeight="1" x14ac:dyDescent="0.25">
      <c r="AS1252" s="207" t="s">
        <v>132</v>
      </c>
    </row>
    <row r="1253" spans="45:45" ht="10" customHeight="1" x14ac:dyDescent="0.25">
      <c r="AS1253" s="207" t="s">
        <v>132</v>
      </c>
    </row>
    <row r="1254" spans="45:45" ht="10" customHeight="1" x14ac:dyDescent="0.25">
      <c r="AS1254" s="207" t="s">
        <v>132</v>
      </c>
    </row>
    <row r="1255" spans="45:45" ht="10" customHeight="1" x14ac:dyDescent="0.25">
      <c r="AS1255" s="207" t="s">
        <v>132</v>
      </c>
    </row>
    <row r="1256" spans="45:45" ht="10" customHeight="1" x14ac:dyDescent="0.25">
      <c r="AS1256" s="207" t="s">
        <v>132</v>
      </c>
    </row>
    <row r="1257" spans="45:45" ht="10" customHeight="1" x14ac:dyDescent="0.25">
      <c r="AS1257" s="207" t="s">
        <v>132</v>
      </c>
    </row>
    <row r="1258" spans="45:45" ht="10" customHeight="1" x14ac:dyDescent="0.25">
      <c r="AS1258" s="207" t="s">
        <v>132</v>
      </c>
    </row>
    <row r="1259" spans="45:45" ht="10" customHeight="1" x14ac:dyDescent="0.25">
      <c r="AS1259" s="207" t="s">
        <v>132</v>
      </c>
    </row>
    <row r="1260" spans="45:45" ht="10" customHeight="1" x14ac:dyDescent="0.25">
      <c r="AS1260" s="207" t="s">
        <v>132</v>
      </c>
    </row>
    <row r="1261" spans="45:45" ht="10" customHeight="1" x14ac:dyDescent="0.25">
      <c r="AS1261" s="207" t="s">
        <v>132</v>
      </c>
    </row>
    <row r="1262" spans="45:45" ht="10" customHeight="1" x14ac:dyDescent="0.25">
      <c r="AS1262" s="207" t="s">
        <v>132</v>
      </c>
    </row>
    <row r="1263" spans="45:45" ht="10" customHeight="1" x14ac:dyDescent="0.25">
      <c r="AS1263" s="207" t="s">
        <v>132</v>
      </c>
    </row>
    <row r="1264" spans="45:45" ht="10" customHeight="1" x14ac:dyDescent="0.25">
      <c r="AS1264" s="207" t="s">
        <v>132</v>
      </c>
    </row>
    <row r="1265" spans="45:45" ht="10" customHeight="1" x14ac:dyDescent="0.25">
      <c r="AS1265" s="207" t="s">
        <v>132</v>
      </c>
    </row>
    <row r="1266" spans="45:45" ht="10" customHeight="1" x14ac:dyDescent="0.25">
      <c r="AS1266" s="207" t="s">
        <v>132</v>
      </c>
    </row>
    <row r="1267" spans="45:45" ht="10" customHeight="1" x14ac:dyDescent="0.25">
      <c r="AS1267" s="207" t="s">
        <v>132</v>
      </c>
    </row>
    <row r="1268" spans="45:45" ht="10" customHeight="1" x14ac:dyDescent="0.25">
      <c r="AS1268" s="207" t="s">
        <v>132</v>
      </c>
    </row>
    <row r="1269" spans="45:45" ht="10" customHeight="1" x14ac:dyDescent="0.25">
      <c r="AS1269" s="207" t="s">
        <v>132</v>
      </c>
    </row>
    <row r="1270" spans="45:45" ht="10" customHeight="1" x14ac:dyDescent="0.25">
      <c r="AS1270" s="207" t="s">
        <v>132</v>
      </c>
    </row>
    <row r="1271" spans="45:45" ht="10" customHeight="1" x14ac:dyDescent="0.25">
      <c r="AS1271" s="207" t="s">
        <v>132</v>
      </c>
    </row>
    <row r="1272" spans="45:45" ht="10" customHeight="1" x14ac:dyDescent="0.25">
      <c r="AS1272" s="207" t="s">
        <v>132</v>
      </c>
    </row>
    <row r="1273" spans="45:45" ht="10" customHeight="1" x14ac:dyDescent="0.25">
      <c r="AS1273" s="207" t="s">
        <v>132</v>
      </c>
    </row>
    <row r="1274" spans="45:45" ht="10" customHeight="1" x14ac:dyDescent="0.25">
      <c r="AS1274" s="207" t="s">
        <v>132</v>
      </c>
    </row>
    <row r="1275" spans="45:45" ht="10" customHeight="1" x14ac:dyDescent="0.25">
      <c r="AS1275" s="207" t="s">
        <v>132</v>
      </c>
    </row>
    <row r="1276" spans="45:45" ht="10" customHeight="1" x14ac:dyDescent="0.25">
      <c r="AS1276" s="207" t="s">
        <v>132</v>
      </c>
    </row>
    <row r="1277" spans="45:45" ht="10" customHeight="1" x14ac:dyDescent="0.25">
      <c r="AS1277" s="207" t="s">
        <v>132</v>
      </c>
    </row>
    <row r="1278" spans="45:45" ht="10" customHeight="1" x14ac:dyDescent="0.25">
      <c r="AS1278" s="207" t="s">
        <v>132</v>
      </c>
    </row>
    <row r="1279" spans="45:45" ht="10" customHeight="1" x14ac:dyDescent="0.25">
      <c r="AS1279" s="207" t="s">
        <v>132</v>
      </c>
    </row>
    <row r="1280" spans="45:45" ht="10" customHeight="1" x14ac:dyDescent="0.25">
      <c r="AS1280" s="207" t="s">
        <v>132</v>
      </c>
    </row>
    <row r="1281" spans="45:45" ht="10" customHeight="1" x14ac:dyDescent="0.25">
      <c r="AS1281" s="207" t="s">
        <v>132</v>
      </c>
    </row>
    <row r="1282" spans="45:45" ht="10" customHeight="1" x14ac:dyDescent="0.25">
      <c r="AS1282" s="207" t="s">
        <v>132</v>
      </c>
    </row>
    <row r="1283" spans="45:45" ht="10" customHeight="1" x14ac:dyDescent="0.25">
      <c r="AS1283" s="207" t="s">
        <v>132</v>
      </c>
    </row>
    <row r="1284" spans="45:45" ht="10" customHeight="1" x14ac:dyDescent="0.25">
      <c r="AS1284" s="207" t="s">
        <v>132</v>
      </c>
    </row>
    <row r="1285" spans="45:45" ht="10" customHeight="1" x14ac:dyDescent="0.25">
      <c r="AS1285" s="207" t="s">
        <v>132</v>
      </c>
    </row>
    <row r="1286" spans="45:45" ht="10" customHeight="1" x14ac:dyDescent="0.25">
      <c r="AS1286" s="207" t="s">
        <v>132</v>
      </c>
    </row>
    <row r="1287" spans="45:45" ht="10" customHeight="1" x14ac:dyDescent="0.25">
      <c r="AS1287" s="207" t="s">
        <v>132</v>
      </c>
    </row>
    <row r="1288" spans="45:45" ht="10" customHeight="1" x14ac:dyDescent="0.25">
      <c r="AS1288" s="207" t="s">
        <v>132</v>
      </c>
    </row>
    <row r="1289" spans="45:45" ht="10" customHeight="1" x14ac:dyDescent="0.25">
      <c r="AS1289" s="207" t="s">
        <v>132</v>
      </c>
    </row>
    <row r="1290" spans="45:45" ht="10" customHeight="1" x14ac:dyDescent="0.25">
      <c r="AS1290" s="207" t="s">
        <v>132</v>
      </c>
    </row>
    <row r="1291" spans="45:45" ht="10" customHeight="1" x14ac:dyDescent="0.25">
      <c r="AS1291" s="207" t="s">
        <v>132</v>
      </c>
    </row>
    <row r="1292" spans="45:45" ht="10" customHeight="1" x14ac:dyDescent="0.25">
      <c r="AS1292" s="207" t="s">
        <v>132</v>
      </c>
    </row>
    <row r="1293" spans="45:45" ht="10" customHeight="1" x14ac:dyDescent="0.25">
      <c r="AS1293" s="207" t="s">
        <v>132</v>
      </c>
    </row>
    <row r="1294" spans="45:45" ht="10" customHeight="1" x14ac:dyDescent="0.25">
      <c r="AS1294" s="207" t="s">
        <v>132</v>
      </c>
    </row>
    <row r="1295" spans="45:45" ht="10" customHeight="1" x14ac:dyDescent="0.25">
      <c r="AS1295" s="207" t="s">
        <v>132</v>
      </c>
    </row>
    <row r="1296" spans="45:45" ht="10" customHeight="1" x14ac:dyDescent="0.25">
      <c r="AS1296" s="207" t="s">
        <v>132</v>
      </c>
    </row>
    <row r="1297" spans="45:45" ht="10" customHeight="1" x14ac:dyDescent="0.25">
      <c r="AS1297" s="207" t="s">
        <v>132</v>
      </c>
    </row>
    <row r="1298" spans="45:45" ht="10" customHeight="1" x14ac:dyDescent="0.25">
      <c r="AS1298" s="207" t="s">
        <v>132</v>
      </c>
    </row>
    <row r="1299" spans="45:45" ht="10" customHeight="1" x14ac:dyDescent="0.25">
      <c r="AS1299" s="207" t="s">
        <v>132</v>
      </c>
    </row>
    <row r="1300" spans="45:45" ht="10" customHeight="1" x14ac:dyDescent="0.25">
      <c r="AS1300" s="207" t="s">
        <v>132</v>
      </c>
    </row>
    <row r="1301" spans="45:45" ht="10" customHeight="1" x14ac:dyDescent="0.25">
      <c r="AS1301" s="207" t="s">
        <v>132</v>
      </c>
    </row>
    <row r="1302" spans="45:45" ht="10" customHeight="1" x14ac:dyDescent="0.25">
      <c r="AS1302" s="207" t="s">
        <v>132</v>
      </c>
    </row>
    <row r="1303" spans="45:45" ht="10" customHeight="1" x14ac:dyDescent="0.25">
      <c r="AS1303" s="207" t="s">
        <v>132</v>
      </c>
    </row>
    <row r="1304" spans="45:45" ht="10" customHeight="1" x14ac:dyDescent="0.25">
      <c r="AS1304" s="207" t="s">
        <v>132</v>
      </c>
    </row>
    <row r="1305" spans="45:45" ht="10" customHeight="1" x14ac:dyDescent="0.25">
      <c r="AS1305" s="207" t="s">
        <v>132</v>
      </c>
    </row>
    <row r="1306" spans="45:45" ht="10" customHeight="1" x14ac:dyDescent="0.25">
      <c r="AS1306" s="207" t="s">
        <v>132</v>
      </c>
    </row>
    <row r="1307" spans="45:45" ht="10" customHeight="1" x14ac:dyDescent="0.25">
      <c r="AS1307" s="207" t="s">
        <v>132</v>
      </c>
    </row>
    <row r="1308" spans="45:45" ht="10" customHeight="1" x14ac:dyDescent="0.25">
      <c r="AS1308" s="207" t="s">
        <v>132</v>
      </c>
    </row>
    <row r="1309" spans="45:45" ht="10" customHeight="1" x14ac:dyDescent="0.25">
      <c r="AS1309" s="207" t="s">
        <v>132</v>
      </c>
    </row>
    <row r="1310" spans="45:45" ht="10" customHeight="1" x14ac:dyDescent="0.25">
      <c r="AS1310" s="207" t="s">
        <v>132</v>
      </c>
    </row>
    <row r="1311" spans="45:45" ht="10" customHeight="1" x14ac:dyDescent="0.25">
      <c r="AS1311" s="207" t="s">
        <v>132</v>
      </c>
    </row>
    <row r="1312" spans="45:45" ht="10" customHeight="1" x14ac:dyDescent="0.25">
      <c r="AS1312" s="207" t="s">
        <v>132</v>
      </c>
    </row>
    <row r="1313" spans="45:45" ht="10" customHeight="1" x14ac:dyDescent="0.25">
      <c r="AS1313" s="207" t="s">
        <v>132</v>
      </c>
    </row>
    <row r="1314" spans="45:45" ht="10" customHeight="1" x14ac:dyDescent="0.25">
      <c r="AS1314" s="207" t="s">
        <v>132</v>
      </c>
    </row>
    <row r="1315" spans="45:45" ht="10" customHeight="1" x14ac:dyDescent="0.25">
      <c r="AS1315" s="207" t="s">
        <v>132</v>
      </c>
    </row>
    <row r="1316" spans="45:45" ht="10" customHeight="1" x14ac:dyDescent="0.25">
      <c r="AS1316" s="207" t="s">
        <v>132</v>
      </c>
    </row>
    <row r="1317" spans="45:45" ht="10" customHeight="1" x14ac:dyDescent="0.25">
      <c r="AS1317" s="207" t="s">
        <v>132</v>
      </c>
    </row>
    <row r="1318" spans="45:45" ht="10" customHeight="1" x14ac:dyDescent="0.25">
      <c r="AS1318" s="207" t="s">
        <v>132</v>
      </c>
    </row>
    <row r="1319" spans="45:45" ht="10" customHeight="1" x14ac:dyDescent="0.25">
      <c r="AS1319" s="207" t="s">
        <v>132</v>
      </c>
    </row>
    <row r="1320" spans="45:45" ht="10" customHeight="1" x14ac:dyDescent="0.25">
      <c r="AS1320" s="207" t="s">
        <v>132</v>
      </c>
    </row>
    <row r="1321" spans="45:45" ht="10" customHeight="1" x14ac:dyDescent="0.25">
      <c r="AS1321" s="207" t="s">
        <v>132</v>
      </c>
    </row>
    <row r="1322" spans="45:45" ht="10" customHeight="1" x14ac:dyDescent="0.25">
      <c r="AS1322" s="207" t="s">
        <v>132</v>
      </c>
    </row>
    <row r="1323" spans="45:45" ht="10" customHeight="1" x14ac:dyDescent="0.25">
      <c r="AS1323" s="207" t="s">
        <v>132</v>
      </c>
    </row>
    <row r="1324" spans="45:45" ht="10" customHeight="1" x14ac:dyDescent="0.25">
      <c r="AS1324" s="207" t="s">
        <v>132</v>
      </c>
    </row>
    <row r="1325" spans="45:45" ht="10" customHeight="1" x14ac:dyDescent="0.25">
      <c r="AS1325" s="207" t="s">
        <v>132</v>
      </c>
    </row>
    <row r="1326" spans="45:45" ht="10" customHeight="1" x14ac:dyDescent="0.25">
      <c r="AS1326" s="207" t="s">
        <v>132</v>
      </c>
    </row>
    <row r="1327" spans="45:45" ht="10" customHeight="1" x14ac:dyDescent="0.25">
      <c r="AS1327" s="207" t="s">
        <v>132</v>
      </c>
    </row>
    <row r="1328" spans="45:45" ht="10" customHeight="1" x14ac:dyDescent="0.25">
      <c r="AS1328" s="207" t="s">
        <v>132</v>
      </c>
    </row>
    <row r="1329" spans="45:45" ht="10" customHeight="1" x14ac:dyDescent="0.25">
      <c r="AS1329" s="207" t="s">
        <v>132</v>
      </c>
    </row>
    <row r="1330" spans="45:45" ht="10" customHeight="1" x14ac:dyDescent="0.25">
      <c r="AS1330" s="207" t="s">
        <v>132</v>
      </c>
    </row>
    <row r="1331" spans="45:45" ht="10" customHeight="1" x14ac:dyDescent="0.25">
      <c r="AS1331" s="207" t="s">
        <v>132</v>
      </c>
    </row>
    <row r="1332" spans="45:45" ht="10" customHeight="1" x14ac:dyDescent="0.25">
      <c r="AS1332" s="207" t="s">
        <v>132</v>
      </c>
    </row>
    <row r="1333" spans="45:45" ht="10" customHeight="1" x14ac:dyDescent="0.25">
      <c r="AS1333" s="207" t="s">
        <v>132</v>
      </c>
    </row>
    <row r="1334" spans="45:45" ht="10" customHeight="1" x14ac:dyDescent="0.25">
      <c r="AS1334" s="207" t="s">
        <v>132</v>
      </c>
    </row>
    <row r="1335" spans="45:45" ht="10" customHeight="1" x14ac:dyDescent="0.25">
      <c r="AS1335" s="207" t="s">
        <v>132</v>
      </c>
    </row>
    <row r="1336" spans="45:45" ht="10" customHeight="1" x14ac:dyDescent="0.25">
      <c r="AS1336" s="207" t="s">
        <v>132</v>
      </c>
    </row>
    <row r="1337" spans="45:45" ht="10" customHeight="1" x14ac:dyDescent="0.25">
      <c r="AS1337" s="207" t="s">
        <v>132</v>
      </c>
    </row>
    <row r="1338" spans="45:45" ht="10" customHeight="1" x14ac:dyDescent="0.25">
      <c r="AS1338" s="207" t="s">
        <v>132</v>
      </c>
    </row>
    <row r="1339" spans="45:45" ht="10" customHeight="1" x14ac:dyDescent="0.25">
      <c r="AS1339" s="207" t="s">
        <v>132</v>
      </c>
    </row>
    <row r="1340" spans="45:45" ht="10" customHeight="1" x14ac:dyDescent="0.25">
      <c r="AS1340" s="207" t="s">
        <v>132</v>
      </c>
    </row>
    <row r="1341" spans="45:45" ht="10" customHeight="1" x14ac:dyDescent="0.25">
      <c r="AS1341" s="207" t="s">
        <v>132</v>
      </c>
    </row>
    <row r="1342" spans="45:45" ht="10" customHeight="1" x14ac:dyDescent="0.25">
      <c r="AS1342" s="207" t="s">
        <v>132</v>
      </c>
    </row>
    <row r="1343" spans="45:45" ht="10" customHeight="1" x14ac:dyDescent="0.25">
      <c r="AS1343" s="207" t="s">
        <v>132</v>
      </c>
    </row>
    <row r="1344" spans="45:45" ht="10" customHeight="1" x14ac:dyDescent="0.25">
      <c r="AS1344" s="207" t="s">
        <v>132</v>
      </c>
    </row>
    <row r="1345" spans="45:45" ht="10" customHeight="1" x14ac:dyDescent="0.25">
      <c r="AS1345" s="207" t="s">
        <v>132</v>
      </c>
    </row>
    <row r="1346" spans="45:45" ht="10" customHeight="1" x14ac:dyDescent="0.25">
      <c r="AS1346" s="207" t="s">
        <v>132</v>
      </c>
    </row>
    <row r="1347" spans="45:45" ht="10" customHeight="1" x14ac:dyDescent="0.25">
      <c r="AS1347" s="207" t="s">
        <v>132</v>
      </c>
    </row>
    <row r="1348" spans="45:45" ht="10" customHeight="1" x14ac:dyDescent="0.25">
      <c r="AS1348" s="207" t="s">
        <v>132</v>
      </c>
    </row>
    <row r="1349" spans="45:45" ht="10" customHeight="1" x14ac:dyDescent="0.25">
      <c r="AS1349" s="207" t="s">
        <v>132</v>
      </c>
    </row>
    <row r="1350" spans="45:45" ht="10" customHeight="1" x14ac:dyDescent="0.25">
      <c r="AS1350" s="207" t="s">
        <v>132</v>
      </c>
    </row>
    <row r="1351" spans="45:45" ht="10" customHeight="1" x14ac:dyDescent="0.25">
      <c r="AS1351" s="207" t="s">
        <v>132</v>
      </c>
    </row>
    <row r="1352" spans="45:45" ht="10" customHeight="1" x14ac:dyDescent="0.25">
      <c r="AS1352" s="207" t="s">
        <v>132</v>
      </c>
    </row>
    <row r="1353" spans="45:45" ht="10" customHeight="1" x14ac:dyDescent="0.25">
      <c r="AS1353" s="207" t="s">
        <v>132</v>
      </c>
    </row>
    <row r="1354" spans="45:45" ht="10" customHeight="1" x14ac:dyDescent="0.25">
      <c r="AS1354" s="207" t="s">
        <v>132</v>
      </c>
    </row>
    <row r="1355" spans="45:45" ht="10" customHeight="1" x14ac:dyDescent="0.25">
      <c r="AS1355" s="207" t="s">
        <v>132</v>
      </c>
    </row>
    <row r="1356" spans="45:45" ht="10" customHeight="1" x14ac:dyDescent="0.25">
      <c r="AS1356" s="207" t="s">
        <v>132</v>
      </c>
    </row>
    <row r="1357" spans="45:45" ht="10" customHeight="1" x14ac:dyDescent="0.25">
      <c r="AS1357" s="207" t="s">
        <v>132</v>
      </c>
    </row>
    <row r="1358" spans="45:45" ht="10" customHeight="1" x14ac:dyDescent="0.25">
      <c r="AS1358" s="207" t="s">
        <v>132</v>
      </c>
    </row>
    <row r="1359" spans="45:45" ht="10" customHeight="1" x14ac:dyDescent="0.25">
      <c r="AS1359" s="207" t="s">
        <v>132</v>
      </c>
    </row>
    <row r="1360" spans="45:45" ht="10" customHeight="1" x14ac:dyDescent="0.25">
      <c r="AS1360" s="207" t="s">
        <v>132</v>
      </c>
    </row>
    <row r="1361" spans="45:45" ht="10" customHeight="1" x14ac:dyDescent="0.25">
      <c r="AS1361" s="207" t="s">
        <v>132</v>
      </c>
    </row>
    <row r="1362" spans="45:45" ht="10" customHeight="1" x14ac:dyDescent="0.25">
      <c r="AS1362" s="207" t="s">
        <v>132</v>
      </c>
    </row>
    <row r="1363" spans="45:45" ht="10" customHeight="1" x14ac:dyDescent="0.25">
      <c r="AS1363" s="207" t="s">
        <v>132</v>
      </c>
    </row>
    <row r="1364" spans="45:45" ht="10" customHeight="1" x14ac:dyDescent="0.25">
      <c r="AS1364" s="207" t="s">
        <v>132</v>
      </c>
    </row>
    <row r="1365" spans="45:45" ht="10" customHeight="1" x14ac:dyDescent="0.25">
      <c r="AS1365" s="207" t="s">
        <v>132</v>
      </c>
    </row>
    <row r="1366" spans="45:45" ht="10" customHeight="1" x14ac:dyDescent="0.25">
      <c r="AS1366" s="207" t="s">
        <v>132</v>
      </c>
    </row>
    <row r="1367" spans="45:45" ht="10" customHeight="1" x14ac:dyDescent="0.25">
      <c r="AS1367" s="207" t="s">
        <v>132</v>
      </c>
    </row>
    <row r="1368" spans="45:45" ht="10" customHeight="1" x14ac:dyDescent="0.25">
      <c r="AS1368" s="207" t="s">
        <v>132</v>
      </c>
    </row>
    <row r="1369" spans="45:45" ht="10" customHeight="1" x14ac:dyDescent="0.25">
      <c r="AS1369" s="207" t="s">
        <v>132</v>
      </c>
    </row>
    <row r="1370" spans="45:45" ht="10" customHeight="1" x14ac:dyDescent="0.25">
      <c r="AS1370" s="207" t="s">
        <v>1176</v>
      </c>
    </row>
    <row r="1371" spans="45:45" ht="10" customHeight="1" x14ac:dyDescent="0.25">
      <c r="AS1371" s="207" t="s">
        <v>1176</v>
      </c>
    </row>
    <row r="1372" spans="45:45" ht="10" customHeight="1" x14ac:dyDescent="0.25">
      <c r="AS1372" s="207" t="s">
        <v>1176</v>
      </c>
    </row>
    <row r="1373" spans="45:45" ht="10" customHeight="1" x14ac:dyDescent="0.25">
      <c r="AS1373" s="207" t="s">
        <v>1176</v>
      </c>
    </row>
    <row r="1374" spans="45:45" ht="10" customHeight="1" x14ac:dyDescent="0.25">
      <c r="AS1374" s="207" t="s">
        <v>1176</v>
      </c>
    </row>
    <row r="1375" spans="45:45" ht="10" customHeight="1" x14ac:dyDescent="0.25">
      <c r="AS1375" s="207" t="s">
        <v>1176</v>
      </c>
    </row>
    <row r="1376" spans="45:45" ht="10" customHeight="1" x14ac:dyDescent="0.25">
      <c r="AS1376" s="207" t="s">
        <v>1176</v>
      </c>
    </row>
    <row r="1377" spans="45:45" ht="10" customHeight="1" x14ac:dyDescent="0.25">
      <c r="AS1377" s="207" t="s">
        <v>1176</v>
      </c>
    </row>
    <row r="1378" spans="45:45" ht="10" customHeight="1" x14ac:dyDescent="0.25">
      <c r="AS1378" s="207" t="s">
        <v>1176</v>
      </c>
    </row>
    <row r="1379" spans="45:45" ht="10" customHeight="1" x14ac:dyDescent="0.25">
      <c r="AS1379" s="207" t="s">
        <v>1176</v>
      </c>
    </row>
    <row r="1380" spans="45:45" ht="10" customHeight="1" x14ac:dyDescent="0.25">
      <c r="AS1380" s="207" t="s">
        <v>1176</v>
      </c>
    </row>
    <row r="1381" spans="45:45" ht="10" customHeight="1" x14ac:dyDescent="0.25">
      <c r="AS1381" s="207" t="s">
        <v>1176</v>
      </c>
    </row>
    <row r="1382" spans="45:45" ht="10" customHeight="1" x14ac:dyDescent="0.25">
      <c r="AS1382" s="207" t="s">
        <v>1176</v>
      </c>
    </row>
    <row r="1383" spans="45:45" ht="10" customHeight="1" x14ac:dyDescent="0.25">
      <c r="AS1383" s="207" t="s">
        <v>1176</v>
      </c>
    </row>
    <row r="1384" spans="45:45" ht="10" customHeight="1" x14ac:dyDescent="0.25">
      <c r="AS1384" s="207" t="s">
        <v>1176</v>
      </c>
    </row>
    <row r="1385" spans="45:45" ht="10" customHeight="1" x14ac:dyDescent="0.25">
      <c r="AS1385" s="207" t="s">
        <v>1176</v>
      </c>
    </row>
    <row r="1386" spans="45:45" ht="10" customHeight="1" x14ac:dyDescent="0.25">
      <c r="AS1386" s="207" t="s">
        <v>1176</v>
      </c>
    </row>
    <row r="1387" spans="45:45" ht="10" customHeight="1" x14ac:dyDescent="0.25">
      <c r="AS1387" s="207" t="s">
        <v>1176</v>
      </c>
    </row>
    <row r="1388" spans="45:45" ht="10" customHeight="1" x14ac:dyDescent="0.25">
      <c r="AS1388" s="207" t="s">
        <v>1176</v>
      </c>
    </row>
    <row r="1389" spans="45:45" ht="10" customHeight="1" x14ac:dyDescent="0.25">
      <c r="AS1389" s="207" t="s">
        <v>1176</v>
      </c>
    </row>
    <row r="1390" spans="45:45" ht="10" customHeight="1" x14ac:dyDescent="0.25">
      <c r="AS1390" s="207" t="s">
        <v>1176</v>
      </c>
    </row>
    <row r="1391" spans="45:45" ht="10" customHeight="1" x14ac:dyDescent="0.25">
      <c r="AS1391" s="207" t="s">
        <v>1176</v>
      </c>
    </row>
    <row r="1392" spans="45:45" ht="10" customHeight="1" x14ac:dyDescent="0.25">
      <c r="AS1392" s="207" t="s">
        <v>1176</v>
      </c>
    </row>
    <row r="1393" spans="45:45" ht="10" customHeight="1" x14ac:dyDescent="0.25">
      <c r="AS1393" s="207" t="s">
        <v>1176</v>
      </c>
    </row>
    <row r="1394" spans="45:45" ht="10" customHeight="1" x14ac:dyDescent="0.25">
      <c r="AS1394" s="207" t="s">
        <v>1176</v>
      </c>
    </row>
    <row r="1395" spans="45:45" ht="10" customHeight="1" x14ac:dyDescent="0.25">
      <c r="AS1395" s="207" t="s">
        <v>1176</v>
      </c>
    </row>
    <row r="1396" spans="45:45" ht="10" customHeight="1" x14ac:dyDescent="0.25">
      <c r="AS1396" s="207" t="s">
        <v>1176</v>
      </c>
    </row>
    <row r="1397" spans="45:45" ht="10" customHeight="1" x14ac:dyDescent="0.25">
      <c r="AS1397" s="207" t="s">
        <v>1176</v>
      </c>
    </row>
    <row r="1398" spans="45:45" ht="10" customHeight="1" x14ac:dyDescent="0.25">
      <c r="AS1398" s="207" t="s">
        <v>1176</v>
      </c>
    </row>
    <row r="1399" spans="45:45" ht="10" customHeight="1" x14ac:dyDescent="0.25">
      <c r="AS1399" s="207" t="s">
        <v>1176</v>
      </c>
    </row>
    <row r="1400" spans="45:45" ht="10" customHeight="1" x14ac:dyDescent="0.25">
      <c r="AS1400" s="207" t="s">
        <v>1176</v>
      </c>
    </row>
    <row r="1401" spans="45:45" ht="10" customHeight="1" x14ac:dyDescent="0.25">
      <c r="AS1401" s="207" t="s">
        <v>1176</v>
      </c>
    </row>
    <row r="1402" spans="45:45" ht="10" customHeight="1" x14ac:dyDescent="0.25">
      <c r="AS1402" s="207" t="s">
        <v>1176</v>
      </c>
    </row>
    <row r="1403" spans="45:45" ht="10" customHeight="1" x14ac:dyDescent="0.25">
      <c r="AS1403" s="207" t="s">
        <v>1176</v>
      </c>
    </row>
    <row r="1404" spans="45:45" ht="10" customHeight="1" x14ac:dyDescent="0.25">
      <c r="AS1404" s="207" t="s">
        <v>1176</v>
      </c>
    </row>
    <row r="1405" spans="45:45" ht="10" customHeight="1" x14ac:dyDescent="0.25">
      <c r="AS1405" s="207" t="s">
        <v>1176</v>
      </c>
    </row>
    <row r="1406" spans="45:45" ht="10" customHeight="1" x14ac:dyDescent="0.25">
      <c r="AS1406" s="207" t="s">
        <v>1176</v>
      </c>
    </row>
    <row r="1407" spans="45:45" ht="10" customHeight="1" x14ac:dyDescent="0.25">
      <c r="AS1407" s="207" t="s">
        <v>1176</v>
      </c>
    </row>
    <row r="1408" spans="45:45" ht="10" customHeight="1" x14ac:dyDescent="0.25">
      <c r="AS1408" s="207" t="s">
        <v>1176</v>
      </c>
    </row>
    <row r="1409" spans="45:45" ht="10" customHeight="1" x14ac:dyDescent="0.25">
      <c r="AS1409" s="207" t="s">
        <v>1176</v>
      </c>
    </row>
    <row r="1410" spans="45:45" ht="10" customHeight="1" x14ac:dyDescent="0.25">
      <c r="AS1410" s="207" t="s">
        <v>1176</v>
      </c>
    </row>
    <row r="1411" spans="45:45" ht="10" customHeight="1" x14ac:dyDescent="0.25">
      <c r="AS1411" s="207" t="s">
        <v>1176</v>
      </c>
    </row>
    <row r="1412" spans="45:45" ht="10" customHeight="1" x14ac:dyDescent="0.25">
      <c r="AS1412" s="207" t="s">
        <v>1176</v>
      </c>
    </row>
    <row r="1413" spans="45:45" ht="10" customHeight="1" x14ac:dyDescent="0.25">
      <c r="AS1413" s="207" t="s">
        <v>1176</v>
      </c>
    </row>
    <row r="1414" spans="45:45" ht="10" customHeight="1" x14ac:dyDescent="0.25">
      <c r="AS1414" s="207" t="s">
        <v>1176</v>
      </c>
    </row>
    <row r="1415" spans="45:45" ht="10" customHeight="1" x14ac:dyDescent="0.25">
      <c r="AS1415" s="207" t="s">
        <v>1176</v>
      </c>
    </row>
    <row r="1416" spans="45:45" ht="10" customHeight="1" x14ac:dyDescent="0.25">
      <c r="AS1416" s="207" t="s">
        <v>1176</v>
      </c>
    </row>
    <row r="1417" spans="45:45" ht="10" customHeight="1" x14ac:dyDescent="0.25">
      <c r="AS1417" s="207" t="s">
        <v>1176</v>
      </c>
    </row>
    <row r="1418" spans="45:45" ht="10" customHeight="1" x14ac:dyDescent="0.25">
      <c r="AS1418" s="207" t="s">
        <v>1176</v>
      </c>
    </row>
    <row r="1419" spans="45:45" ht="10" customHeight="1" x14ac:dyDescent="0.25">
      <c r="AS1419" s="207" t="s">
        <v>1176</v>
      </c>
    </row>
    <row r="1420" spans="45:45" ht="10" customHeight="1" x14ac:dyDescent="0.25">
      <c r="AS1420" s="207" t="s">
        <v>1176</v>
      </c>
    </row>
    <row r="1421" spans="45:45" ht="10" customHeight="1" x14ac:dyDescent="0.25">
      <c r="AS1421" s="207" t="s">
        <v>1176</v>
      </c>
    </row>
    <row r="1422" spans="45:45" ht="10" customHeight="1" x14ac:dyDescent="0.25">
      <c r="AS1422" s="207" t="s">
        <v>1176</v>
      </c>
    </row>
    <row r="1423" spans="45:45" ht="10" customHeight="1" x14ac:dyDescent="0.25">
      <c r="AS1423" s="207" t="s">
        <v>1176</v>
      </c>
    </row>
    <row r="1424" spans="45:45" ht="10" customHeight="1" x14ac:dyDescent="0.25">
      <c r="AS1424" s="207" t="s">
        <v>1176</v>
      </c>
    </row>
    <row r="1425" spans="45:45" ht="10" customHeight="1" x14ac:dyDescent="0.25">
      <c r="AS1425" s="207" t="s">
        <v>1176</v>
      </c>
    </row>
    <row r="1426" spans="45:45" ht="10" customHeight="1" x14ac:dyDescent="0.25">
      <c r="AS1426" s="207" t="s">
        <v>1176</v>
      </c>
    </row>
    <row r="1427" spans="45:45" ht="10" customHeight="1" x14ac:dyDescent="0.25">
      <c r="AS1427" s="207" t="s">
        <v>1176</v>
      </c>
    </row>
    <row r="1428" spans="45:45" ht="10" customHeight="1" x14ac:dyDescent="0.25">
      <c r="AS1428" s="207" t="s">
        <v>1176</v>
      </c>
    </row>
    <row r="1429" spans="45:45" ht="10" customHeight="1" x14ac:dyDescent="0.25">
      <c r="AS1429" s="207" t="s">
        <v>1176</v>
      </c>
    </row>
    <row r="1430" spans="45:45" ht="10" customHeight="1" x14ac:dyDescent="0.25">
      <c r="AS1430" s="207" t="s">
        <v>1176</v>
      </c>
    </row>
    <row r="1431" spans="45:45" ht="10" customHeight="1" x14ac:dyDescent="0.25">
      <c r="AS1431" s="207" t="s">
        <v>1176</v>
      </c>
    </row>
    <row r="1432" spans="45:45" ht="10" customHeight="1" x14ac:dyDescent="0.25">
      <c r="AS1432" s="207" t="s">
        <v>1176</v>
      </c>
    </row>
    <row r="1433" spans="45:45" ht="10" customHeight="1" x14ac:dyDescent="0.25">
      <c r="AS1433" s="207" t="s">
        <v>1176</v>
      </c>
    </row>
    <row r="1434" spans="45:45" ht="10" customHeight="1" x14ac:dyDescent="0.25">
      <c r="AS1434" s="207" t="s">
        <v>1176</v>
      </c>
    </row>
    <row r="1435" spans="45:45" ht="10" customHeight="1" x14ac:dyDescent="0.25">
      <c r="AS1435" s="207" t="s">
        <v>1176</v>
      </c>
    </row>
    <row r="1436" spans="45:45" ht="10" customHeight="1" x14ac:dyDescent="0.25">
      <c r="AS1436" s="207" t="s">
        <v>1176</v>
      </c>
    </row>
    <row r="1437" spans="45:45" ht="10" customHeight="1" x14ac:dyDescent="0.25">
      <c r="AS1437" s="207" t="s">
        <v>1176</v>
      </c>
    </row>
    <row r="1438" spans="45:45" ht="10" customHeight="1" x14ac:dyDescent="0.25">
      <c r="AS1438" s="207" t="s">
        <v>1176</v>
      </c>
    </row>
    <row r="1439" spans="45:45" ht="10" customHeight="1" x14ac:dyDescent="0.25">
      <c r="AS1439" s="207" t="s">
        <v>1176</v>
      </c>
    </row>
    <row r="1440" spans="45:45" ht="10" customHeight="1" x14ac:dyDescent="0.25">
      <c r="AS1440" s="207" t="s">
        <v>1176</v>
      </c>
    </row>
    <row r="1441" spans="45:45" ht="10" customHeight="1" x14ac:dyDescent="0.25">
      <c r="AS1441" s="207" t="s">
        <v>1176</v>
      </c>
    </row>
    <row r="1442" spans="45:45" ht="10" customHeight="1" x14ac:dyDescent="0.25">
      <c r="AS1442" s="207" t="s">
        <v>1176</v>
      </c>
    </row>
    <row r="1443" spans="45:45" ht="10" customHeight="1" x14ac:dyDescent="0.25">
      <c r="AS1443" s="207" t="s">
        <v>1176</v>
      </c>
    </row>
    <row r="1444" spans="45:45" ht="10" customHeight="1" x14ac:dyDescent="0.25">
      <c r="AS1444" s="207" t="s">
        <v>1176</v>
      </c>
    </row>
    <row r="1445" spans="45:45" ht="10" customHeight="1" x14ac:dyDescent="0.25">
      <c r="AS1445" s="207" t="s">
        <v>1176</v>
      </c>
    </row>
    <row r="1446" spans="45:45" ht="10" customHeight="1" x14ac:dyDescent="0.25">
      <c r="AS1446" s="207" t="s">
        <v>1176</v>
      </c>
    </row>
    <row r="1447" spans="45:45" ht="10" customHeight="1" x14ac:dyDescent="0.25">
      <c r="AS1447" s="207" t="s">
        <v>1176</v>
      </c>
    </row>
    <row r="1448" spans="45:45" ht="10" customHeight="1" x14ac:dyDescent="0.25">
      <c r="AS1448" s="207" t="s">
        <v>1176</v>
      </c>
    </row>
    <row r="1449" spans="45:45" ht="10" customHeight="1" x14ac:dyDescent="0.25">
      <c r="AS1449" s="207" t="s">
        <v>1176</v>
      </c>
    </row>
    <row r="1450" spans="45:45" ht="10" customHeight="1" x14ac:dyDescent="0.25">
      <c r="AS1450" s="207" t="s">
        <v>1176</v>
      </c>
    </row>
    <row r="1451" spans="45:45" ht="10" customHeight="1" x14ac:dyDescent="0.25">
      <c r="AS1451" s="207" t="s">
        <v>1176</v>
      </c>
    </row>
    <row r="1452" spans="45:45" ht="10" customHeight="1" x14ac:dyDescent="0.25">
      <c r="AS1452" s="207" t="s">
        <v>1176</v>
      </c>
    </row>
    <row r="1453" spans="45:45" ht="10" customHeight="1" x14ac:dyDescent="0.25">
      <c r="AS1453" s="207" t="s">
        <v>1176</v>
      </c>
    </row>
    <row r="1454" spans="45:45" ht="10" customHeight="1" x14ac:dyDescent="0.25"/>
    <row r="1455" spans="45:45" ht="10" customHeight="1" x14ac:dyDescent="0.25"/>
  </sheetData>
  <sortState xmlns:xlrd2="http://schemas.microsoft.com/office/spreadsheetml/2017/richdata2" ref="A3:BA862">
    <sortCondition ref="A3:A862"/>
  </sortState>
  <mergeCells count="13">
    <mergeCell ref="AC1:AD1"/>
    <mergeCell ref="B1:D1"/>
    <mergeCell ref="E1:G1"/>
    <mergeCell ref="H1:J1"/>
    <mergeCell ref="K1:M1"/>
    <mergeCell ref="N1:P1"/>
    <mergeCell ref="T1:W1"/>
    <mergeCell ref="AA1:AB1"/>
    <mergeCell ref="AE1:AF1"/>
    <mergeCell ref="AG1:AH1"/>
    <mergeCell ref="AI1:AJ1"/>
    <mergeCell ref="AL2:AR2"/>
    <mergeCell ref="AT2:AZ2"/>
  </mergeCells>
  <phoneticPr fontId="5" type="noConversion"/>
  <conditionalFormatting sqref="AI240:AI245">
    <cfRule type="cellIs" dxfId="2" priority="1" stopIfTrue="1" operator="equal">
      <formula>0</formula>
    </cfRule>
  </conditionalFormatting>
  <hyperlinks>
    <hyperlink ref="AK409:AK418" r:id="rId1" display="www.specialtys.com" xr:uid="{97D8686F-A3E1-4216-B48D-B1C3A12CE218}"/>
    <hyperlink ref="AK147" r:id="rId2" xr:uid="{66EA5BEB-7D24-4AF7-8F41-5DA3BD993375}"/>
    <hyperlink ref="AK169:AK170" r:id="rId3" display="www.mokacoffee.co" xr:uid="{77D278A5-24AF-41CB-B265-3F5427D27041}"/>
    <hyperlink ref="AK76" r:id="rId4" xr:uid="{E828BDCA-7020-4C98-96DA-42B96D0400E4}"/>
    <hyperlink ref="AK170" r:id="rId5" xr:uid="{5EE005F8-7302-4F46-BAE4-0C6E5DBE29AB}"/>
    <hyperlink ref="AK109" r:id="rId6" xr:uid="{1F2545DC-86CE-4F1A-9CCD-0C414E6F0B17}"/>
    <hyperlink ref="AK292" r:id="rId7" xr:uid="{0A48B378-4A51-4DBD-A117-B591E1907F08}"/>
    <hyperlink ref="AK402" r:id="rId8" xr:uid="{77EC3B9D-B9BF-4E77-BA0E-8D07295C1A83}"/>
    <hyperlink ref="AK59" r:id="rId9" xr:uid="{9169008E-2F33-49AC-B999-6F205A9A5097}"/>
    <hyperlink ref="AK86" r:id="rId10" xr:uid="{8A058AD8-F326-4068-846F-3FA8CE580CEF}"/>
    <hyperlink ref="AK244" r:id="rId11" xr:uid="{742F05C6-377F-44C1-B328-368EB64224C3}"/>
    <hyperlink ref="AK85" r:id="rId12" xr:uid="{4838E159-60C2-4D6D-BE6C-B9A9F6BF5CC1}"/>
    <hyperlink ref="AK711" r:id="rId13" xr:uid="{DDACD364-B640-452A-B8CE-38AC8B1466EA}"/>
    <hyperlink ref="AK680" r:id="rId14" xr:uid="{2351499E-C2ED-4FD2-A29E-4B23B311C4EB}"/>
    <hyperlink ref="AK674" r:id="rId15" xr:uid="{F4341D80-0728-40CA-8963-1D082E8967D6}"/>
    <hyperlink ref="AK614" r:id="rId16" xr:uid="{DFA783EE-5D9F-4E29-BB0D-6A61A0EAAFCC}"/>
    <hyperlink ref="Y42" r:id="rId17" xr:uid="{B9BEE13C-DC06-4D63-9DC7-B173504B1AE1}"/>
    <hyperlink ref="X102" r:id="rId18" xr:uid="{7CBC7AD8-7191-4256-96E7-1A231D27DA92}"/>
    <hyperlink ref="X586" r:id="rId19" xr:uid="{A34208FA-0F71-41F2-B968-958F83DFD8C4}"/>
    <hyperlink ref="X285" r:id="rId20" xr:uid="{F8B33FAD-7A79-4681-9EF9-BB550053373A}"/>
    <hyperlink ref="X282" r:id="rId21" xr:uid="{3067002E-1745-4C39-9181-D19DDB3EE659}"/>
    <hyperlink ref="X645" r:id="rId22" xr:uid="{82B81675-5300-4C69-9815-39C5CAFBB263}"/>
    <hyperlink ref="X109" r:id="rId23" xr:uid="{08B50FBB-3796-49E0-93E4-F8C16F919574}"/>
    <hyperlink ref="X503" r:id="rId24" xr:uid="{C582AB90-456F-4232-838A-ECEB0CA65A32}"/>
    <hyperlink ref="X288" r:id="rId25" xr:uid="{D52C157C-9C9A-49D9-B78A-7299EED4A08D}"/>
    <hyperlink ref="X292" r:id="rId26" xr:uid="{6FC2D479-105C-4155-81ED-26DF2C393277}"/>
    <hyperlink ref="X334" r:id="rId27" xr:uid="{8273F16D-E196-4914-A625-C1BEA12B1B1F}"/>
    <hyperlink ref="X496" r:id="rId28" xr:uid="{7B337237-2A01-4AC8-9420-F7329F5CA0FB}"/>
    <hyperlink ref="X132" r:id="rId29" xr:uid="{E1A3C74B-E8D5-4919-A79E-9246AA83F141}"/>
    <hyperlink ref="X147" r:id="rId30" xr:uid="{6524DDBF-46EE-4A7F-9C6D-D64E5E7A41FB}"/>
    <hyperlink ref="X82" r:id="rId31" xr:uid="{7322CC06-A43B-4706-B448-8F16A25F6EE8}"/>
    <hyperlink ref="X395" r:id="rId32" xr:uid="{E18F097B-97DE-438A-8AB5-170E63D25380}"/>
    <hyperlink ref="X143" r:id="rId33" xr:uid="{55FA2E48-01A9-4F5F-8F10-E24F35390F02}"/>
    <hyperlink ref="X630" r:id="rId34" xr:uid="{89DC74B4-519E-4F4E-B02A-E38577A98D2A}"/>
    <hyperlink ref="X664" r:id="rId35" xr:uid="{4CEC9C23-ED44-46B8-A35B-66697B6B1EA1}"/>
    <hyperlink ref="X24" r:id="rId36" display="jesdanger@aol.com" xr:uid="{5268741A-A675-452D-B49E-293847A1FE8F}"/>
    <hyperlink ref="X39" r:id="rId37" display="info@anacapabrewing.com" xr:uid="{D321E4A8-E56E-4C87-B56F-82819EF79532}"/>
    <hyperlink ref="X207" r:id="rId38" xr:uid="{AA68E721-ECDD-45F6-810F-1FD40BA77508}"/>
    <hyperlink ref="X480" r:id="rId39" xr:uid="{99FA7F3D-630E-443E-9E26-8721C3A97FD7}"/>
    <hyperlink ref="X376" r:id="rId40" xr:uid="{737E0687-4281-4BDE-B748-0EC1CC84C883}"/>
    <hyperlink ref="X158" r:id="rId41" xr:uid="{B0178315-1533-4B7D-9ED1-184A73D75D05}"/>
    <hyperlink ref="X169:X170" r:id="rId42" display="ron@javadetour.com" xr:uid="{643240C9-CB43-469E-BCD5-E60BD94A1321}"/>
    <hyperlink ref="X342" r:id="rId43" xr:uid="{6A87F18A-48A2-47A7-B076-B19BA780C634}"/>
    <hyperlink ref="X636" r:id="rId44" xr:uid="{B55BF7A9-D421-4DF7-A40A-47AF2651C926}"/>
    <hyperlink ref="X313" r:id="rId45" xr:uid="{A52FE610-B8A5-4511-ACEF-98C708F4F9C3}"/>
    <hyperlink ref="X93" r:id="rId46" xr:uid="{071E7565-F13D-457D-9309-08F987E2729F}"/>
    <hyperlink ref="X594" r:id="rId47" xr:uid="{B4EF1030-A1DB-4264-86A7-77FF5988C806}"/>
    <hyperlink ref="X531" r:id="rId48" xr:uid="{E7947A66-6BE1-48D5-8245-0CF6FEE99B5B}"/>
    <hyperlink ref="X259" r:id="rId49" xr:uid="{068C4939-15E7-4FD5-920E-B4A357E48EF9}"/>
    <hyperlink ref="X369" r:id="rId50" xr:uid="{0471AF48-7510-4669-AB7F-3A55088EFE3E}"/>
    <hyperlink ref="X574" r:id="rId51" xr:uid="{28D05842-99C1-49DA-925A-B97780C2F0FE}"/>
    <hyperlink ref="X251" r:id="rId52" xr:uid="{BE98338B-179F-481F-AA74-40C873584261}"/>
    <hyperlink ref="X304" r:id="rId53" xr:uid="{4A17B4FD-6561-47F9-898F-FEC3B65AF89C}"/>
    <hyperlink ref="X258" r:id="rId54" xr:uid="{D56E4AA6-F5CB-42FC-811D-26F79A979499}"/>
    <hyperlink ref="X633" r:id="rId55" xr:uid="{63744A58-BAD7-42A7-A33C-E310C4014266}"/>
    <hyperlink ref="X798" r:id="rId56" xr:uid="{0FE714B4-CE8D-4943-A2F7-D3E07CFA66D4}"/>
    <hyperlink ref="X95" r:id="rId57" xr:uid="{D1CFEEE9-9747-4D94-853D-7A1E23FC4C17}"/>
    <hyperlink ref="X319:X322" r:id="rId58" display="louisk@plutosfreshfood.com" xr:uid="{D874BF41-C15D-4018-8184-7EA537C1BF9F}"/>
    <hyperlink ref="X616" r:id="rId59" xr:uid="{4A0786D9-BF06-4D6F-B7F6-E1A74593FD5A}"/>
    <hyperlink ref="X670" r:id="rId60" xr:uid="{C6D7C944-F19E-418C-8FDF-6285597CC172}"/>
    <hyperlink ref="X266" r:id="rId61" xr:uid="{A759F35C-EAC6-41DE-80AF-E260BEF9C5E5}"/>
    <hyperlink ref="X682" r:id="rId62" xr:uid="{9D19C715-97A3-4ED4-98AB-960FC920BA69}"/>
    <hyperlink ref="X42" r:id="rId63" xr:uid="{D0BCC390-6B60-42F4-91F2-AEBABE9A5A9F}"/>
    <hyperlink ref="X319" r:id="rId64" xr:uid="{480C3F87-BE7E-4781-ADC4-A488F34F0D2E}"/>
    <hyperlink ref="X685" r:id="rId65" xr:uid="{873F6FAE-AD25-4909-95E7-14F7A23609D1}"/>
    <hyperlink ref="X187" r:id="rId66" xr:uid="{BE11B868-5697-49B2-896C-024B865E3D81}"/>
    <hyperlink ref="X593" r:id="rId67" xr:uid="{13CF0C88-DB50-4EDF-A0CB-12F4616B1A2D}"/>
    <hyperlink ref="X43" r:id="rId68" xr:uid="{F621B470-6C89-4294-9D65-E63C9564D0D6}"/>
    <hyperlink ref="X802" r:id="rId69" xr:uid="{836CACDB-BEA5-434A-9061-F064A24264B4}"/>
    <hyperlink ref="X783" r:id="rId70" xr:uid="{C2BF0227-3F57-4D0F-A5EC-BD9129BBB966}"/>
    <hyperlink ref="X418" r:id="rId71" xr:uid="{47EB85E5-1F40-4F2C-A1E7-ABADB57BEC59}"/>
    <hyperlink ref="X419" r:id="rId72" xr:uid="{4C9F0AA0-5B26-44E2-B5E5-5C09EA396F3F}"/>
    <hyperlink ref="X417" r:id="rId73" xr:uid="{E56BBCFC-7E11-4399-A56A-5995B0CC0491}"/>
    <hyperlink ref="X429" r:id="rId74" xr:uid="{F014925F-38F9-4F3C-B9CF-5C2A9BBEB930}"/>
    <hyperlink ref="X538" r:id="rId75" xr:uid="{5FF7646C-264D-4BA5-B41F-B788DDBDCE03}"/>
    <hyperlink ref="X44" r:id="rId76" xr:uid="{2A8DFFA7-6B01-4BA4-8D82-EAC338D4E4A0}"/>
    <hyperlink ref="X291" r:id="rId77" xr:uid="{A5BF43DF-CFA1-4001-8C64-0EF591D5EC69}"/>
    <hyperlink ref="X346" r:id="rId78" xr:uid="{E7C39D12-17EF-41C8-B89C-B3020C577B32}"/>
    <hyperlink ref="X486" r:id="rId79" xr:uid="{AC1B4E08-09A8-4772-A5C3-8D54E3E07304}"/>
    <hyperlink ref="X680" r:id="rId80" xr:uid="{77E7B344-C4D3-4643-A481-AF22D75761F4}"/>
    <hyperlink ref="X142" r:id="rId81" xr:uid="{311823D0-E53C-4198-B22E-4CCC1969A5D2}"/>
    <hyperlink ref="X48" r:id="rId82" xr:uid="{26F5107A-38A8-4E1A-B223-B74F025258B2}"/>
    <hyperlink ref="X435" r:id="rId83" xr:uid="{78BAFDC5-5617-4B15-8344-C1D0A85AB245}"/>
    <hyperlink ref="X415" r:id="rId84" xr:uid="{94F514CB-1CF6-4710-8168-AB3B1EB85099}"/>
    <hyperlink ref="X96" r:id="rId85" xr:uid="{2F42444E-FDB3-46F4-A733-3732AE137104}"/>
    <hyperlink ref="X59" r:id="rId86" xr:uid="{B610FC6A-5291-4430-9FD3-5179757A796A}"/>
    <hyperlink ref="X106" r:id="rId87" xr:uid="{76198592-DBBC-4EA1-8C19-2E906C751647}"/>
    <hyperlink ref="X26" r:id="rId88" xr:uid="{2EFD98F9-1C7C-47BA-B63B-5AA2D3C6CC79}"/>
    <hyperlink ref="X743" r:id="rId89" xr:uid="{C9D75E2A-8A63-4093-87F9-EFC9D06CCF01}"/>
    <hyperlink ref="X247" r:id="rId90" xr:uid="{B0EFA5D8-38F5-4B05-B72B-109EC570ADF5}"/>
    <hyperlink ref="X730" r:id="rId91" xr:uid="{F106E692-DD43-424D-870A-4C57092F83A2}"/>
    <hyperlink ref="X425" r:id="rId92" xr:uid="{2503C311-1530-4D95-833E-28F70CF2C368}"/>
    <hyperlink ref="X672" r:id="rId93" xr:uid="{CE9FFBEA-3FDB-4A3D-8CF2-787B205B36C4}"/>
    <hyperlink ref="X221" r:id="rId94" xr:uid="{D27D8FF0-583D-447F-8B52-E5F0A1A03673}"/>
    <hyperlink ref="X166" r:id="rId95" xr:uid="{7F11034E-8E68-42A1-8539-789E91F0015A}"/>
    <hyperlink ref="X167" r:id="rId96" xr:uid="{ECE59972-C618-43C8-A120-1E816000C81F}"/>
    <hyperlink ref="X32" r:id="rId97" xr:uid="{555C57E0-A966-4B93-98CD-37B08CBD6321}"/>
    <hyperlink ref="X87" r:id="rId98" xr:uid="{892696FE-C45B-4399-8DC7-6F8D2BB20179}"/>
    <hyperlink ref="X725" r:id="rId99" xr:uid="{8D68B49F-EB07-4690-A349-292F0131DF93}"/>
    <hyperlink ref="X336" r:id="rId100" xr:uid="{5CBD6599-7A3A-423A-B71A-2A477008B658}"/>
    <hyperlink ref="X126" r:id="rId101" xr:uid="{723FA4EF-39CD-4FBD-A71A-A2EDC90A5669}"/>
    <hyperlink ref="X833" r:id="rId102" xr:uid="{6E828189-405D-43DA-A3C4-597B60EDC40B}"/>
    <hyperlink ref="X789" r:id="rId103" xr:uid="{6C0CE41A-F5E3-4D8A-8606-0792A92B403F}"/>
    <hyperlink ref="X69" r:id="rId104" xr:uid="{BA701236-54B7-42C5-9F41-8CEC40ACD204}"/>
    <hyperlink ref="X30" r:id="rId105" xr:uid="{D25A0EFE-7760-44FC-A8FD-0271C62BFB48}"/>
    <hyperlink ref="X338" r:id="rId106" xr:uid="{29A3EC0D-AFA0-4FCE-B5F2-4AA9C6BA226A}"/>
    <hyperlink ref="X112" r:id="rId107" xr:uid="{E55310B5-A3B1-4BC2-AE39-092F085C01A3}"/>
    <hyperlink ref="X163" r:id="rId108" xr:uid="{0ADD6BBB-0745-460A-B688-879266606B09}"/>
    <hyperlink ref="X669" r:id="rId109" xr:uid="{9634C081-3253-424E-981E-0FBF2AA9FDC2}"/>
    <hyperlink ref="X264" r:id="rId110" xr:uid="{6DB008DC-B304-4AF6-A75C-7B5FC627F265}"/>
    <hyperlink ref="X468" r:id="rId111" xr:uid="{A792E04C-780C-43BC-80FE-B5C8E1D9551F}"/>
    <hyperlink ref="X543" r:id="rId112" xr:uid="{FA1E84B0-E56A-4929-965B-DABF0032DA77}"/>
    <hyperlink ref="X639" r:id="rId113" xr:uid="{FBCC26DB-15E6-4DCD-AD45-29AB39E0CD90}"/>
    <hyperlink ref="X443" r:id="rId114" xr:uid="{A6AE041F-65FB-48A7-9D5F-D628E5AE004D}"/>
    <hyperlink ref="X171" r:id="rId115" xr:uid="{4E1D02F8-D852-4628-A5D7-69F0D2146C6F}"/>
    <hyperlink ref="X612" r:id="rId116" xr:uid="{0039311B-858C-433E-B5B0-2E1EB7350F19}"/>
    <hyperlink ref="X99" r:id="rId117" xr:uid="{5CF7A4F2-5F8D-4952-853C-6FEFBF4290E9}"/>
    <hyperlink ref="X148" r:id="rId118" xr:uid="{E1660896-DB02-4660-9BA3-AA42006C677B}"/>
    <hyperlink ref="X573" r:id="rId119" xr:uid="{AD901C62-49A6-4526-9534-AE5FE6EFED66}"/>
    <hyperlink ref="X750" r:id="rId120" xr:uid="{D6CD26E7-6900-43A3-804A-B262955AB5EB}"/>
    <hyperlink ref="X213" r:id="rId121" xr:uid="{F5B891E6-E202-4BA6-9655-4EC65DE6E813}"/>
    <hyperlink ref="X377" r:id="rId122" xr:uid="{D03D7BC7-75E8-40BE-AF1D-74D1735B4B09}"/>
    <hyperlink ref="X614" r:id="rId123" xr:uid="{197F4BB4-803B-469C-A1BF-ABA49B7CE61E}"/>
    <hyperlink ref="X381" r:id="rId124" xr:uid="{9D40A798-FF6D-49BA-A5F3-A74A4B90F388}"/>
    <hyperlink ref="X41" r:id="rId125" xr:uid="{50A62FDD-0083-464E-B1A0-5C69D5C6DD9E}"/>
    <hyperlink ref="X642" r:id="rId126" xr:uid="{C11D515C-5A1E-4F02-A428-C3248E5B3D59}"/>
    <hyperlink ref="X472" r:id="rId127" xr:uid="{867D6033-16C4-41A4-A52A-48EF4D1D5F14}"/>
    <hyperlink ref="X268" r:id="rId128" xr:uid="{93C1CB6A-208D-40EC-B235-DA5A0D8C13C2}"/>
    <hyperlink ref="X850" r:id="rId129" xr:uid="{6D83B89C-2ADC-483C-8D38-3E93EAC9CE91}"/>
    <hyperlink ref="X506" r:id="rId130" xr:uid="{D91FCD23-3285-420C-8D1C-52A437615EBF}"/>
    <hyperlink ref="X497" r:id="rId131" xr:uid="{12F22098-7B99-4EA8-B246-C77494749695}"/>
    <hyperlink ref="X444" r:id="rId132" xr:uid="{222B2D98-103E-48C1-9931-3C1A45BE9E24}"/>
    <hyperlink ref="X194" r:id="rId133" xr:uid="{4B85A426-3197-4261-9BCB-D184D282C30F}"/>
    <hyperlink ref="X298" r:id="rId134" xr:uid="{A014FAF1-F6F9-4FB3-A4C4-62A035733533}"/>
    <hyperlink ref="X525" r:id="rId135" xr:uid="{8A41BA39-32B9-404F-AE30-5504F39676F7}"/>
    <hyperlink ref="X240" r:id="rId136" xr:uid="{469C5544-D86B-4D48-AE9E-52C468083E40}"/>
    <hyperlink ref="X529" r:id="rId137" xr:uid="{522E6965-6450-402A-BEF3-9850FCA604C3}"/>
    <hyperlink ref="X318" r:id="rId138" xr:uid="{A87B4C81-6E3E-4A6D-B21A-B5085C47B7BB}"/>
    <hyperlink ref="X84" r:id="rId139" xr:uid="{F25F4B7C-DF7E-48D4-8320-AC5493983E8D}"/>
    <hyperlink ref="X576" r:id="rId140" xr:uid="{CD5F47E6-6293-4C8D-9C95-11E31ABD2CBA}"/>
    <hyperlink ref="X540" r:id="rId141" xr:uid="{E2CD51C1-6958-47CF-95A3-5C2F0559A0E6}"/>
    <hyperlink ref="X455" r:id="rId142" xr:uid="{6FC0110D-816D-45AF-9AD6-5796AE5C686D}"/>
    <hyperlink ref="X312" r:id="rId143" xr:uid="{B57A5251-C395-437D-9C6E-2B06BBF6FFAD}"/>
    <hyperlink ref="X74" r:id="rId144" xr:uid="{19AB0D7E-4FB4-4D52-AF58-B9ECF17E8A3C}"/>
    <hyperlink ref="X562" r:id="rId145" xr:uid="{10932E77-56A2-4AED-BD19-9145B5508536}"/>
    <hyperlink ref="X697" r:id="rId146" xr:uid="{8A4ECACF-DF24-452A-BF6C-5D72EF882542}"/>
    <hyperlink ref="X211" r:id="rId147" xr:uid="{0FE825C4-413B-4032-A7A8-6BB60B4AC2F4}"/>
    <hyperlink ref="X704" r:id="rId148" xr:uid="{571AC99E-585E-4862-BEBF-6BABC70EE189}"/>
    <hyperlink ref="X837" r:id="rId149" xr:uid="{6FB7C688-E55F-4127-A9A0-17221756FFDA}"/>
    <hyperlink ref="X286" r:id="rId150" xr:uid="{A22843EA-FD6B-4C55-B299-8BFED615A720}"/>
    <hyperlink ref="X242" r:id="rId151" xr:uid="{117ECC2F-8229-4694-A959-5A3E42625E05}"/>
    <hyperlink ref="X236" r:id="rId152" xr:uid="{57FCB014-AC6F-4C6D-8D7B-38E5FAD6DE8D}"/>
    <hyperlink ref="X810" r:id="rId153" xr:uid="{638CCC93-63AD-47A8-BB10-5F554E45605D}"/>
    <hyperlink ref="X368" r:id="rId154" xr:uid="{655C4D3D-2E5D-4F8D-82A1-0C24A415CFBA}"/>
    <hyperlink ref="X324" r:id="rId155" xr:uid="{9CD9AB6D-0687-4039-B7EF-0E60EF2C20FF}"/>
    <hyperlink ref="X530" r:id="rId156" xr:uid="{2A648A19-B30F-4E2D-BD13-490CCA3A7970}"/>
    <hyperlink ref="X224" r:id="rId157" xr:uid="{34EEA25F-DD11-47C9-86A4-28E84F4CA371}"/>
    <hyperlink ref="X255" r:id="rId158" xr:uid="{9F090CD6-5981-4003-BBA3-2497196495DD}"/>
    <hyperlink ref="X359" r:id="rId159" xr:uid="{0E3FE66A-D274-402C-AE4A-BBF3CC9705DC}"/>
    <hyperlink ref="X660" r:id="rId160" xr:uid="{E3977165-915E-4023-B1A1-83F036B4034B}"/>
    <hyperlink ref="Y102" r:id="rId161" xr:uid="{6605C329-2544-4DA3-A46F-08724A893838}"/>
    <hyperlink ref="Y282" r:id="rId162" xr:uid="{1C236295-83BA-43F2-B3BA-24C333863373}"/>
    <hyperlink ref="Y496" r:id="rId163" display="mailto:les@mosaicdowntown.com" xr:uid="{2FFAA0BB-6336-4646-879C-26F24178F484}"/>
    <hyperlink ref="Y18" r:id="rId164" xr:uid="{7FE6EAB0-A470-4334-B70A-0CDDEB0A6873}"/>
    <hyperlink ref="Z833" r:id="rId165" xr:uid="{25A5EEBC-8C4C-4F1F-BA43-3B9BDF471DC5}"/>
    <hyperlink ref="Y313" r:id="rId166" xr:uid="{9D90F3C2-60CB-48F8-8648-67C82A3F9310}"/>
    <hyperlink ref="Y148" r:id="rId167" xr:uid="{ACFCBFC7-3672-44B9-94EB-19B7BF810C82}"/>
    <hyperlink ref="Y213" r:id="rId168" xr:uid="{E0739160-9A31-4C88-8CFA-BB07C95E2E38}"/>
    <hyperlink ref="Y33" r:id="rId169" xr:uid="{8946C588-8205-4C9B-944F-7389DC51C686}"/>
    <hyperlink ref="Y593" r:id="rId170" xr:uid="{02A897DE-046B-4740-8EAB-7E1324FABA26}"/>
    <hyperlink ref="Y381" r:id="rId171" xr:uid="{BED15B7C-9ACE-4ABE-BB9D-3FD59A582546}"/>
    <hyperlink ref="Y69" r:id="rId172" xr:uid="{74F6B859-E341-45E8-8AFA-E2D85A9FD29B}"/>
    <hyperlink ref="Y525" r:id="rId173" xr:uid="{3FB13630-4A2E-41D6-BB1A-032CECD2013A}"/>
    <hyperlink ref="Y390" r:id="rId174" xr:uid="{A996A756-1455-415A-A967-8114419FC09D}"/>
    <hyperlink ref="Y425" r:id="rId175" xr:uid="{0C39C854-C33F-4B52-ABD0-9703D074FD20}"/>
    <hyperlink ref="Y17" r:id="rId176" xr:uid="{16426EE8-1321-4A86-83BD-D98F2FE2D114}"/>
    <hyperlink ref="Z102" r:id="rId177" xr:uid="{2680FABD-1C0C-4152-A89B-E63F294B18A1}"/>
    <hyperlink ref="Z282" r:id="rId178" xr:uid="{6413A39D-79D8-455D-B8F6-9C4A5C84DDB3}"/>
    <hyperlink ref="Z292" r:id="rId179" xr:uid="{A8A4255B-326C-4498-8FD7-F83ACA0BA8F5}"/>
    <hyperlink ref="Z559:Z564" r:id="rId180" display="arnel_judilla@150pelican.com" xr:uid="{A26986F2-8DE4-4E3C-9C37-B3B6E8F4BA61}"/>
    <hyperlink ref="Z802" r:id="rId181" xr:uid="{4356D30F-5D2A-4218-8816-4FFFDC2B2475}"/>
    <hyperlink ref="Z142" r:id="rId182" xr:uid="{D0EE2A53-28E4-4019-8683-6F15E63D9489}"/>
    <hyperlink ref="Z590" r:id="rId183" xr:uid="{5FC0DD42-13BF-4EF2-8242-04B062FE6F54}"/>
    <hyperlink ref="Z109" r:id="rId184" xr:uid="{3160D3CC-6F29-4CBE-B217-ECD1F2754C92}"/>
    <hyperlink ref="Z48" r:id="rId185" xr:uid="{4138A30F-980A-4607-8CB7-8454A5742144}"/>
    <hyperlink ref="Z59" r:id="rId186" xr:uid="{9C3A8744-EA9F-41B4-9B6A-0518E509B819}"/>
    <hyperlink ref="Z556" r:id="rId187" xr:uid="{7AAC1194-8311-49D7-B1BB-1B6FAF175F2C}"/>
    <hyperlink ref="Z106" r:id="rId188" xr:uid="{9E473F8B-3EA1-4868-83F2-81681BC195F8}"/>
    <hyperlink ref="Z680" r:id="rId189" xr:uid="{17229740-5D7D-4065-8415-B754CED93119}"/>
    <hyperlink ref="Z26" r:id="rId190" xr:uid="{159F3701-CD46-4C8A-9604-5D8E04872AB3}"/>
    <hyperlink ref="Z486" r:id="rId191" xr:uid="{BF81C5CF-A743-42C1-B27F-9C705069B1BD}"/>
    <hyperlink ref="Z664" r:id="rId192" xr:uid="{3AC67E83-B6DB-4800-AF62-B08222860F15}"/>
    <hyperlink ref="Z821" r:id="rId193" xr:uid="{ED48D0D9-A08D-471E-9ED7-F1D103658B5D}"/>
    <hyperlink ref="Z630" r:id="rId194" xr:uid="{2914F2CD-8EE0-4DC3-B89F-27884299B9C4}"/>
    <hyperlink ref="Z593" r:id="rId195" xr:uid="{75BB7CC7-5D5A-4C72-969C-2A483503041D}"/>
    <hyperlink ref="Z594" r:id="rId196" xr:uid="{4605D815-871C-45D1-B1D9-C8C3081F7E4C}"/>
    <hyperlink ref="Z730" r:id="rId197" xr:uid="{BC565403-DE84-446B-86A4-457A7D70CC8C}"/>
    <hyperlink ref="Z221" r:id="rId198" xr:uid="{EBA89B13-AF59-4517-915D-6D82E22C5C5E}"/>
    <hyperlink ref="Z425" r:id="rId199" xr:uid="{F1BEF194-AFCB-4AD0-886C-47FB3E88B80D}"/>
    <hyperlink ref="Z14" r:id="rId200" xr:uid="{1D62BC11-A906-4B5D-9CBE-3132666F815A}"/>
    <hyperlink ref="Z42" r:id="rId201" xr:uid="{F2E00280-0B49-4AD0-A35A-6F7065CFB97F}"/>
    <hyperlink ref="Z837" r:id="rId202" xr:uid="{BFB30CE4-9C94-42B6-8387-DCB6314FECC2}"/>
    <hyperlink ref="Y472" r:id="rId203" xr:uid="{69640AFB-3BCC-47BB-B2EF-947373DACC66}"/>
    <hyperlink ref="Y23" r:id="rId204" xr:uid="{7850457C-BE06-4E57-BF0D-180F94B8C853}"/>
    <hyperlink ref="Y319" r:id="rId205" xr:uid="{9CAA6FC6-33E4-45B9-B311-51294F549FF6}"/>
    <hyperlink ref="Y344" r:id="rId206" xr:uid="{B08308BA-2241-4F85-870C-457530C4BD5C}"/>
    <hyperlink ref="X399" r:id="rId207" xr:uid="{172A26BE-BA27-4AE5-B4C0-304BF35D5847}"/>
    <hyperlink ref="X384" r:id="rId208" xr:uid="{32AF9F8E-F98A-4125-9612-A143D4FA9E9B}"/>
    <hyperlink ref="X347" r:id="rId209" xr:uid="{E68E66E4-3925-49BB-85F2-247DAC64C152}"/>
    <hyperlink ref="Y468" r:id="rId210" xr:uid="{7812669D-574F-47B4-9796-92746F3C5E35}"/>
    <hyperlink ref="X491" r:id="rId211" xr:uid="{E89B5D6E-8183-4502-8A13-AFBC9E81CFEC}"/>
    <hyperlink ref="Y107" r:id="rId212" display="mistermacaroni@yahoo.com" xr:uid="{2FC87CBF-7BDE-4BCC-8E14-E3F7950B470A}"/>
    <hyperlink ref="X532" r:id="rId213" xr:uid="{C4CD3F45-9589-4DF2-98DC-724687C02C21}"/>
    <hyperlink ref="Y532" r:id="rId214" xr:uid="{6935E5DA-EA41-41CA-83A8-6A26FEC9F1C4}"/>
    <hyperlink ref="Y454" r:id="rId215" xr:uid="{63CDBC44-9843-43BA-BEDB-1979B178125E}"/>
    <hyperlink ref="X454" r:id="rId216" xr:uid="{A494146B-19BF-4799-8FFF-24EE17E936A4}"/>
    <hyperlink ref="X107" r:id="rId217" xr:uid="{421E3483-6E4F-4CF8-8044-BA0B3D64A6EF}"/>
    <hyperlink ref="Y575" r:id="rId218" xr:uid="{CF31B2E0-8147-4550-AB3A-38EA1D1C544A}"/>
    <hyperlink ref="X647" r:id="rId219" xr:uid="{55278F8E-4DAC-4CF5-A9CB-0E05E158B0C3}"/>
    <hyperlink ref="X261" r:id="rId220" xr:uid="{76CAD5EB-142B-453C-9E0E-B3EE9B6107A5}"/>
    <hyperlink ref="X662" r:id="rId221" xr:uid="{39F72F26-61B1-4C37-84AE-AFEC3D62BC9B}"/>
    <hyperlink ref="X555" r:id="rId222" xr:uid="{4D637690-214C-44AF-9899-4000A642B704}"/>
    <hyperlink ref="X146" r:id="rId223" xr:uid="{5493D0DB-82A1-42B7-90E1-595DFA179785}"/>
    <hyperlink ref="X409" r:id="rId224" xr:uid="{6CD80C39-2D74-41CB-A94F-76A4498820B5}"/>
    <hyperlink ref="X35" r:id="rId225" xr:uid="{33321FC1-1A52-4E00-8B26-BED9270001E3}"/>
    <hyperlink ref="Y35" r:id="rId226" xr:uid="{4875C5FB-14DC-4B48-8365-49640FCD7CCC}"/>
    <hyperlink ref="X239" r:id="rId227" xr:uid="{B89C57D3-30A4-4A90-81BA-FCE2C067F340}"/>
    <hyperlink ref="Y477" r:id="rId228" xr:uid="{72CDE84E-269C-43E3-90FD-74B9393B5287}"/>
    <hyperlink ref="Y478" r:id="rId229" xr:uid="{B31A64D2-25B2-4DB8-9C48-B5D10646A838}"/>
    <hyperlink ref="X477" r:id="rId230" xr:uid="{F4A679A5-19FD-4ECD-BB02-9B49C94ABCE2}"/>
    <hyperlink ref="X478" r:id="rId231" xr:uid="{E3F50F46-E0FA-41DE-837E-FAEF9C1C1C19}"/>
    <hyperlink ref="X849" r:id="rId232" xr:uid="{5DEB77FF-5C10-48AB-AF6A-F5606E89FFC9}"/>
    <hyperlink ref="X718" r:id="rId233" xr:uid="{77E68E53-DCF1-4E62-8522-DEC9EFD0DC93}"/>
    <hyperlink ref="X17" r:id="rId234" xr:uid="{F9C15DB8-2F54-429D-AE38-1EF26126361A}"/>
    <hyperlink ref="X14" r:id="rId235" xr:uid="{90C3DE0A-EAAB-405D-AA66-70EE40E556BE}"/>
    <hyperlink ref="X15" r:id="rId236" display="bakerhot1@aol.com" xr:uid="{21ED656B-0EBA-4880-849F-D6D2D89D5B83}"/>
    <hyperlink ref="X23" r:id="rId237" display="MGHIR@COMCAST.NET" xr:uid="{6A198A89-191B-45F3-91A1-00931F68E963}"/>
    <hyperlink ref="X16" r:id="rId238" xr:uid="{34F009C1-6E1A-4946-AD07-D7DDCDCB65F5}"/>
    <hyperlink ref="X18" r:id="rId239" xr:uid="{C6BEB171-B148-4083-8548-CB747E6DEDDC}"/>
    <hyperlink ref="Y9" r:id="rId240" xr:uid="{2646C72F-D115-4ABD-B3AE-7FB3A70E2A96}"/>
    <hyperlink ref="X9" r:id="rId241" xr:uid="{3BBC94FA-2D05-4B1F-AD08-D90DD4E4A1D0}"/>
    <hyperlink ref="X699" r:id="rId242" xr:uid="{AD7A11DF-F828-4690-81DA-2F7EDD2CCBA8}"/>
    <hyperlink ref="X362" r:id="rId243" xr:uid="{9F686AC0-F05F-42A5-8E20-EC8CE60827DF}"/>
    <hyperlink ref="Y362" r:id="rId244" xr:uid="{AAB4CF5F-EA1E-4EF6-B98C-33C3BE594D16}"/>
    <hyperlink ref="Y14" r:id="rId245" xr:uid="{F5A3B17A-28C8-4573-85D5-C1203FC31541}"/>
    <hyperlink ref="X134" r:id="rId246" xr:uid="{5824E65D-EC72-4193-834C-D0693CB92547}"/>
    <hyperlink ref="Y134" r:id="rId247" xr:uid="{0C761134-B7FF-4672-9A66-E46D913F2CA5}"/>
    <hyperlink ref="Z789" r:id="rId248" xr:uid="{4FF382DB-4811-4AE0-84EC-8709772D46A3}"/>
    <hyperlink ref="Y373" r:id="rId249" xr:uid="{0BABC226-42F0-4B77-B6B2-5D1CC1204BF4}"/>
    <hyperlink ref="Z617" r:id="rId250" xr:uid="{966D0813-C939-40FB-931D-7E447BC10653}"/>
    <hyperlink ref="Y617" r:id="rId251" xr:uid="{A322963A-32AD-47FF-B5F8-7319CA4227ED}"/>
    <hyperlink ref="AA617" r:id="rId252" xr:uid="{28219FA7-3F41-42DC-8259-46B5D631D260}"/>
    <hyperlink ref="X373" r:id="rId253" xr:uid="{82C2BB3A-9442-49EC-865B-159D8BACB2E2}"/>
    <hyperlink ref="X716" r:id="rId254" xr:uid="{5D5A9DFD-E4AD-4BC0-AC3C-2E786994AE79}"/>
    <hyperlink ref="X180" r:id="rId255" xr:uid="{7D540454-09EC-43E4-93A0-75A4ED5033E9}"/>
    <hyperlink ref="Y180" r:id="rId256" xr:uid="{DF61208E-37F2-4E18-BD4E-C4D560B2108B}"/>
    <hyperlink ref="Z180" r:id="rId257" xr:uid="{BFAC7141-AD9C-4F7D-9DF6-3336C5D29F28}"/>
    <hyperlink ref="Y203" r:id="rId258" xr:uid="{0A5257BF-B0DF-40D4-8FCE-00C4C3D2C105}"/>
    <hyperlink ref="Z203" r:id="rId259" xr:uid="{02BC0838-65E2-4C97-A13F-61BFA808B00D}"/>
    <hyperlink ref="X203" r:id="rId260" xr:uid="{F198CED2-2A0F-43C0-A065-5F3104AF7141}"/>
    <hyperlink ref="Y750" r:id="rId261" xr:uid="{B47CC254-9F4F-4A5C-A984-F91A9A48DC79}"/>
    <hyperlink ref="Z750" r:id="rId262" xr:uid="{7AB513AE-3818-4EC2-A1E7-877E9555D3F3}"/>
    <hyperlink ref="Y15" r:id="rId263" xr:uid="{B9BBBDAB-4F4B-41AD-8F60-76BE17D2F800}"/>
    <hyperlink ref="Y385" r:id="rId264" xr:uid="{A3D72340-A7F7-4D71-B9FC-4A9E0F2BF0C2}"/>
    <hyperlink ref="Y386" r:id="rId265" xr:uid="{21D7FDA7-EBE4-4012-BF2D-73C326F5098C}"/>
    <hyperlink ref="X386" r:id="rId266" xr:uid="{E8C09C09-B438-4859-AB8A-7B2DFA837343}"/>
    <hyperlink ref="X385" r:id="rId267" xr:uid="{CC91FDFB-8609-45E4-BEBD-82282C0B3305}"/>
    <hyperlink ref="Z385" r:id="rId268" xr:uid="{26C88906-8DE4-46BC-BDB7-504A4418D924}"/>
    <hyperlink ref="Z386" r:id="rId269" xr:uid="{666AB6CA-D3F1-45DD-9C58-9BE315E28576}"/>
    <hyperlink ref="Z719" r:id="rId270" xr:uid="{225DB83C-A21F-4B9F-928F-CC489AEAE2AC}"/>
    <hyperlink ref="Z373" r:id="rId271" xr:uid="{A40D316B-970C-45BF-B396-2DF4940E86F9}"/>
    <hyperlink ref="X583" r:id="rId272" xr:uid="{C8AB6F95-2BED-4DE1-B4F7-03233083BCC5}"/>
    <hyperlink ref="Y583" r:id="rId273" xr:uid="{0B277F6E-0E56-452E-8BA1-C706B9FAE6F1}"/>
    <hyperlink ref="Z583" r:id="rId274" xr:uid="{FCD2FE3D-143E-46D2-A0B3-6FEFC96B0657}"/>
    <hyperlink ref="X370" r:id="rId275" xr:uid="{B73B17CA-ECD5-402B-9C83-2AA53796CFD6}"/>
    <hyperlink ref="Y370" r:id="rId276" xr:uid="{6A806BD4-2C25-40BB-B2D8-45031C02CA00}"/>
    <hyperlink ref="Z370" r:id="rId277" xr:uid="{0E3A0589-7A0D-4813-B7CA-45693D5B3BEF}"/>
    <hyperlink ref="X339" r:id="rId278" xr:uid="{F597A2E0-1AB7-4794-9EA0-254D42B5E610}"/>
    <hyperlink ref="Y562" r:id="rId279" xr:uid="{91D64FB7-46D3-457F-905D-2FDB74DA0EC0}"/>
    <hyperlink ref="Z562" r:id="rId280" xr:uid="{13A26EDF-7355-4E30-9485-21EE6540A61B}"/>
    <hyperlink ref="Z261" r:id="rId281" xr:uid="{8150B80C-B315-460A-93B4-5BFAAD138C01}"/>
    <hyperlink ref="X320" r:id="rId282" xr:uid="{2BB7F84D-8970-49CD-BC52-A2E5A0E67438}"/>
    <hyperlink ref="Y320" r:id="rId283" xr:uid="{518B7492-9B91-4ABA-A912-D39B8078184E}"/>
    <hyperlink ref="Z320" r:id="rId284" xr:uid="{33BDF93E-1A7A-4CF0-B014-7CEDB7115FA9}"/>
    <hyperlink ref="Z321" r:id="rId285" xr:uid="{9BD2481E-FD25-41FE-A019-F66B26D942B4}"/>
    <hyperlink ref="Y321" r:id="rId286" xr:uid="{BCFDD641-6076-449C-8FF9-6CFE560958BB}"/>
    <hyperlink ref="X321" r:id="rId287" xr:uid="{FB398D6C-8834-4625-89CF-76BC04EDCCDA}"/>
    <hyperlink ref="X801" r:id="rId288" xr:uid="{EA8331C8-079D-4343-90B7-4F94170CF153}"/>
    <hyperlink ref="Y801" r:id="rId289" xr:uid="{0177A567-B4D2-4956-8CB7-EA52CADDE261}"/>
    <hyperlink ref="Z801" r:id="rId290" xr:uid="{F28F82F8-CD8E-4C33-923C-77167C861C6F}"/>
    <hyperlink ref="Y672" r:id="rId291" xr:uid="{866B9A03-020B-4018-B638-B5B46DB9F82C}"/>
    <hyperlink ref="X793" r:id="rId292" xr:uid="{E5E7F180-2FC6-4206-9E9D-6EBBFD1582C9}"/>
    <hyperlink ref="Z793" r:id="rId293" xr:uid="{F9096F65-FECC-4552-B040-2E1BD440235D}"/>
    <hyperlink ref="Y730" r:id="rId294" xr:uid="{8DE21D68-0671-49D0-A920-3BBBCE580A7C}"/>
    <hyperlink ref="Y789" r:id="rId295" xr:uid="{51AE4D22-700A-482A-AB47-64B451BF847D}"/>
    <hyperlink ref="Y166" r:id="rId296" xr:uid="{222D62E2-A7E3-4853-AA91-8CCAEDB290D8}"/>
    <hyperlink ref="Y167" r:id="rId297" xr:uid="{EACFC74A-0F70-46B4-A49C-C170BA8F8750}"/>
    <hyperlink ref="Y168" r:id="rId298" xr:uid="{97E3DA3D-2650-4654-B8CB-170A59874422}"/>
    <hyperlink ref="Z166" r:id="rId299" xr:uid="{FA36D6B9-AE69-4CFE-8EFA-7CD2EC5CED83}"/>
    <hyperlink ref="Z167" r:id="rId300" xr:uid="{52185F83-97E1-4A3B-8B3A-9CED56C04ACB}"/>
    <hyperlink ref="Z168" r:id="rId301" xr:uid="{8304A78D-FC49-4DE9-ADC4-A35B9396FB22}"/>
    <hyperlink ref="X392" r:id="rId302" xr:uid="{02879E37-20FC-4677-82F9-8E3DA6AAB215}"/>
    <hyperlink ref="X390" r:id="rId303" xr:uid="{9AA1810C-C749-479A-9416-F54C65164DEC}"/>
    <hyperlink ref="X498" r:id="rId304" xr:uid="{31A5ADEF-E2DC-4896-B3FB-83C47ADAE914}"/>
    <hyperlink ref="Y498" r:id="rId305" xr:uid="{171113C7-337B-4CB4-A358-E6766F677A29}"/>
    <hyperlink ref="Y497" r:id="rId306" xr:uid="{2E357C74-33FE-4E49-BC58-42CF8B170C63}"/>
    <hyperlink ref="Y849" r:id="rId307" xr:uid="{1E7E3968-EA5F-42DF-B7BB-4DFD265BAD68}"/>
    <hyperlink ref="Y850" r:id="rId308" xr:uid="{80B72FAF-F865-45D6-B30C-C0104116D358}"/>
    <hyperlink ref="Z850" r:id="rId309" xr:uid="{07594CB9-FC30-47D9-A75C-26109DBD6445}"/>
    <hyperlink ref="X270" r:id="rId310" xr:uid="{1165E026-ACF1-43F3-BEB5-198AE0B8BAD7}"/>
    <hyperlink ref="Y270" r:id="rId311" xr:uid="{4C7E1420-2086-4E7A-8320-9FAF878403F0}"/>
    <hyperlink ref="Z270" r:id="rId312" xr:uid="{242CFB67-99D6-4046-89AF-2906E7CFA53C}"/>
    <hyperlink ref="Z697" r:id="rId313" xr:uid="{48A06ECC-AE8F-4E2A-B50D-F467E8200FFF}"/>
    <hyperlink ref="Z698" r:id="rId314" xr:uid="{B406F92D-F019-4F16-B076-CD13962EF8C5}"/>
    <hyperlink ref="X698" r:id="rId315" xr:uid="{BB500951-7FB2-4A0C-8951-5BBE7FF22A78}"/>
    <hyperlink ref="Z699" r:id="rId316" xr:uid="{9220A646-F02D-4DE0-B395-2B1B4336C709}"/>
    <hyperlink ref="Y36" r:id="rId317" xr:uid="{44C7A6D0-00A0-4EB9-96F3-1760B58511A1}"/>
    <hyperlink ref="Z36" r:id="rId318" xr:uid="{E0CD0BD4-6B92-4430-A299-126464ACE467}"/>
    <hyperlink ref="X36" r:id="rId319" xr:uid="{D0EA5CFE-4FEB-4334-8358-1DB5032D07AA}"/>
    <hyperlink ref="Z716" r:id="rId320" xr:uid="{CC815993-1E73-4BBF-9D27-9BBA2640ACC8}"/>
    <hyperlink ref="Y163" r:id="rId321" xr:uid="{BE96FDD1-A9EE-4722-A601-DC3D701F1178}"/>
    <hyperlink ref="Y769" r:id="rId322" xr:uid="{D9354917-8231-4866-B553-01FD73DDD0AA}"/>
    <hyperlink ref="Z769" r:id="rId323" xr:uid="{88055972-7C3B-4878-AEC5-AF85AD1662CB}"/>
    <hyperlink ref="X769" r:id="rId324" xr:uid="{BB18277A-931F-47A6-A3AD-AF931999A3F0}"/>
    <hyperlink ref="Y248" r:id="rId325" xr:uid="{A9E1B994-F3DC-4A39-97AA-EC812CACDAD3}"/>
    <hyperlink ref="Z248" r:id="rId326" xr:uid="{8BC1849E-9B15-40BD-B830-58FAEF0FA282}"/>
    <hyperlink ref="X621" r:id="rId327" xr:uid="{0D9BB3AC-4071-41D7-9CB8-30BDAF814574}"/>
    <hyperlink ref="Y621" r:id="rId328" xr:uid="{FF5AB39B-F05A-4B89-B879-39280F1FD308}"/>
    <hyperlink ref="Z621" r:id="rId329" xr:uid="{BE2E7E0E-D02E-4A30-970B-D38F7C95C83F}"/>
    <hyperlink ref="Y541" r:id="rId330" xr:uid="{5A951C2A-92A8-4C0B-B89B-0DFF775A460D}"/>
    <hyperlink ref="Z541" r:id="rId331" xr:uid="{32A41383-02BD-4994-A61B-1404A203B560}"/>
    <hyperlink ref="Y599" r:id="rId332" xr:uid="{EB919BFF-7B04-4CB8-B819-3EF2ED548530}"/>
    <hyperlink ref="Z599" r:id="rId333" xr:uid="{30A5392C-9E81-4AAD-8494-605327471754}"/>
    <hyperlink ref="X599" r:id="rId334" xr:uid="{C5B44798-E0D3-463B-A343-FC9D4529F926}"/>
    <hyperlink ref="Y359" r:id="rId335" xr:uid="{09B34AA4-E250-4873-B470-6080D3A1E3A8}"/>
    <hyperlink ref="Z359" r:id="rId336" xr:uid="{00F43ABC-2493-43D1-9127-25E93451A8BB}"/>
    <hyperlink ref="X845" r:id="rId337" xr:uid="{38E70380-14EC-4CFD-8A09-2B28D6AE81D9}"/>
    <hyperlink ref="X846" r:id="rId338" xr:uid="{DC731567-BAE0-411A-92F5-EF85465AF6E0}"/>
    <hyperlink ref="X457" r:id="rId339" xr:uid="{E9C64512-B412-4F95-8C6F-F300CA869C69}"/>
    <hyperlink ref="Y457" r:id="rId340" xr:uid="{7473A0E6-D7C5-4291-BBB4-30C04423DDED}"/>
    <hyperlink ref="Z457" r:id="rId341" xr:uid="{4CACEAB6-97FC-4E11-A54E-054A6FA69F32}"/>
    <hyperlink ref="Y59" r:id="rId342" xr:uid="{1FE50BE7-E581-429E-841E-C86EAFA432A9}"/>
    <hyperlink ref="X834" r:id="rId343" xr:uid="{41B24B44-3191-4931-A10F-FB008510134E}"/>
    <hyperlink ref="Y834" r:id="rId344" xr:uid="{8AC23591-81F2-4BF0-8AF7-769AC733E395}"/>
    <hyperlink ref="Z834" r:id="rId345" xr:uid="{0D928895-45FE-4AFC-8A7D-00CC35C5900A}"/>
    <hyperlink ref="Z392" r:id="rId346" xr:uid="{FB3C594E-3072-4FF7-B4F3-36DC33EED285}"/>
    <hyperlink ref="Z391" r:id="rId347" xr:uid="{801E817D-CC19-4CB2-A2F8-81422193E013}"/>
    <hyperlink ref="X391" r:id="rId348" xr:uid="{F4362BB3-67D6-4569-AC41-15C15EB1CD01}"/>
    <hyperlink ref="Y392" r:id="rId349" xr:uid="{26E41E01-B2DD-4DFA-9654-36D399F13BB0}"/>
    <hyperlink ref="Y391" r:id="rId350" xr:uid="{47877854-31EF-43DA-8487-2D1E7B302ED1}"/>
    <hyperlink ref="Z816" r:id="rId351" xr:uid="{57BF5DFC-8E0F-494E-B534-19E3BDBA71F6}"/>
    <hyperlink ref="Y816" r:id="rId352" xr:uid="{04DB2013-57F4-42C7-8FCD-6AC754794195}"/>
    <hyperlink ref="X816" r:id="rId353" xr:uid="{D14B9E9A-18CA-408A-826A-8725F1E1E498}"/>
    <hyperlink ref="X378" r:id="rId354" xr:uid="{6B01924A-913B-42C5-BEB1-1A40E138755B}"/>
    <hyperlink ref="Y378" r:id="rId355" xr:uid="{60C9FFE4-73A2-4164-83A0-17429736173F}"/>
    <hyperlink ref="Z378" r:id="rId356" xr:uid="{CA5E09A6-9CC7-48CF-B126-E4BAA75A17A6}"/>
    <hyperlink ref="X652" r:id="rId357" xr:uid="{8069AB46-8BE1-4921-966F-1E4702578615}"/>
    <hyperlink ref="Z652" r:id="rId358" xr:uid="{D5720A1C-E971-466E-91E1-25D747EF90A1}"/>
    <hyperlink ref="Y652" r:id="rId359" xr:uid="{1B4361B6-A06B-4ECE-A8AB-CFE128E7B347}"/>
    <hyperlink ref="X265" r:id="rId360" xr:uid="{8B6C1F84-807C-406D-B7F3-922DCAD94019}"/>
    <hyperlink ref="Y265" r:id="rId361" xr:uid="{B743AFFA-EED8-44B8-9190-C08C9455ADB1}"/>
    <hyperlink ref="Y266" r:id="rId362" xr:uid="{7DA2BE58-13A9-4144-8357-A14B85F665E8}"/>
    <hyperlink ref="Z266" r:id="rId363" xr:uid="{D7AAA0A7-B625-4868-8001-7C3BD4FD34E9}"/>
    <hyperlink ref="Z265" r:id="rId364" xr:uid="{DC2B7B85-42B1-44BC-AE20-615AF85BF5AE}"/>
    <hyperlink ref="X659" r:id="rId365" xr:uid="{076D0878-B624-40B5-8F78-60AF0D82FF44}"/>
    <hyperlink ref="Y286" r:id="rId366" xr:uid="{7B6D3960-5A74-465D-82AD-034337CF115E}"/>
    <hyperlink ref="Z286" r:id="rId367" xr:uid="{4C7BEDDE-8BA2-4D87-833F-0F314B0D38B6}"/>
    <hyperlink ref="Y618" r:id="rId368" xr:uid="{328FC912-AF8E-44E0-B7B8-5EFD02651D9D}"/>
    <hyperlink ref="Z618" r:id="rId369" xr:uid="{F28836F4-187D-4EDC-929A-D4D6735ACDEB}"/>
    <hyperlink ref="X618" r:id="rId370" xr:uid="{78FFFE2E-D7B0-4E7B-AE29-A8746E6D2B81}"/>
    <hyperlink ref="Z813" r:id="rId371" xr:uid="{59AE099E-93AC-43D2-9F29-2D651E2C97CE}"/>
    <hyperlink ref="Y121" r:id="rId372" xr:uid="{646C03C9-6EC7-4E04-B8AD-B9202A37C2ED}"/>
    <hyperlink ref="X121" r:id="rId373" xr:uid="{B7AF649E-8146-4A53-8418-AD0FA17B78FC}"/>
    <hyperlink ref="Z121" r:id="rId374" xr:uid="{95DB282E-1BED-46AF-BB44-57263DB84F99}"/>
    <hyperlink ref="Y823" r:id="rId375" xr:uid="{ADCAFF22-21B3-417D-9244-C2DE68DEE24F}"/>
    <hyperlink ref="Y824" r:id="rId376" xr:uid="{2E54BB6E-5A4B-4823-BDFC-A1C214120956}"/>
    <hyperlink ref="Y828" r:id="rId377" xr:uid="{6C4B9840-0B72-4DCF-AACC-363F7497B914}"/>
    <hyperlink ref="Y829" r:id="rId378" xr:uid="{0DCF9FE0-1589-4D32-90DD-A10122864EE4}"/>
    <hyperlink ref="Y827" r:id="rId379" xr:uid="{2638F381-F71D-45F4-AD8E-AE7CC21C36FE}"/>
    <hyperlink ref="Y826" r:id="rId380" xr:uid="{5448668E-9F44-435A-9F6B-A2277F7EFF25}"/>
    <hyperlink ref="Y825" r:id="rId381" xr:uid="{B5A56170-2D24-45D9-9F58-208A705128AF}"/>
    <hyperlink ref="X13" r:id="rId382" xr:uid="{BFE151D3-D7FD-4CD7-9D62-CD036791F23A}"/>
    <hyperlink ref="Y13" r:id="rId383" xr:uid="{A0AD7953-5E59-453C-A919-2856E50C0C2A}"/>
    <hyperlink ref="Z13" r:id="rId384" xr:uid="{AB16F34E-88AD-4E24-8258-F542B6529DAA}"/>
    <hyperlink ref="Y743" r:id="rId385" xr:uid="{287DD885-457D-4E74-848B-A2D9C3D9C74A}"/>
    <hyperlink ref="Z743" r:id="rId386" xr:uid="{E0B24C84-853A-42CC-BF2D-7A4D4240369A}"/>
    <hyperlink ref="Y465:Y467" r:id="rId387" display="ap@poquitomas.com" xr:uid="{8AB435AF-C35C-4250-8E3D-A31B7FEE99AE}"/>
    <hyperlink ref="Z465:Z467" r:id="rId388" display="javier@poquitomas.com" xr:uid="{505AFB1A-BF32-4B15-A558-98BCF2706E84}"/>
    <hyperlink ref="Z406" r:id="rId389" xr:uid="{700FADCC-A889-4E6C-8C6A-4ABE30DE7AF4}"/>
    <hyperlink ref="X406" r:id="rId390" xr:uid="{7BDF1170-514E-4A40-ABF7-DAAB032EFE72}"/>
    <hyperlink ref="Z408" r:id="rId391" xr:uid="{56D57F90-72A3-414D-9024-76F7F1BDF3A4}"/>
    <hyperlink ref="Z405" r:id="rId392" xr:uid="{77A0DD94-6479-4A4D-A347-7A1F6905A30C}"/>
    <hyperlink ref="Y405" r:id="rId393" xr:uid="{927EE923-8059-4E38-9F81-ED82CE47059A}"/>
    <hyperlink ref="X405" r:id="rId394" xr:uid="{066C8584-BF8D-4AB5-A57A-AEA2D7A80E1F}"/>
    <hyperlink ref="X408" r:id="rId395" xr:uid="{F20BBC29-69C7-40CD-905E-4D6A03D9B769}"/>
    <hyperlink ref="X323" r:id="rId396" xr:uid="{BAA87A11-C5D9-46A8-BD39-C29A4040FCDB}"/>
    <hyperlink ref="Y323" r:id="rId397" xr:uid="{1E3A44A7-6D8B-47E5-9453-362D7EC81AF0}"/>
    <hyperlink ref="Z323" r:id="rId398" xr:uid="{171AE8A2-2E63-4DDA-878A-9688255C6B7E}"/>
    <hyperlink ref="Z682" r:id="rId399" xr:uid="{58345549-195D-432B-93E4-4118820B2A90}"/>
    <hyperlink ref="Y833" r:id="rId400" xr:uid="{2B235933-17A6-49B1-977D-8F48A9A451DB}"/>
    <hyperlink ref="Y160" r:id="rId401" xr:uid="{8313A471-5E7D-45E6-A29E-D1746920BB6D}"/>
    <hyperlink ref="X160" r:id="rId402" xr:uid="{73962282-03A6-47ED-AD18-C87AE8C66B3E}"/>
    <hyperlink ref="Z160" r:id="rId403" xr:uid="{943C0EC2-AB04-4A55-BEF9-12AA16286FF6}"/>
    <hyperlink ref="Y669" r:id="rId404" xr:uid="{62E19BF9-C0DB-4461-98E3-DAF5B7E1E1DC}"/>
    <hyperlink ref="Z669" r:id="rId405" xr:uid="{5C89E18C-0F1F-4622-A3DF-E047C5F1E7F4}"/>
    <hyperlink ref="Y435" r:id="rId406" xr:uid="{FEF29AF9-C794-4B70-9B64-C076408BCE8C}"/>
    <hyperlink ref="Z435" r:id="rId407" xr:uid="{8A776AFD-6C53-4034-B564-222B1A4D63CD}"/>
    <hyperlink ref="Y436" r:id="rId408" xr:uid="{F1A011C0-45C8-4922-AB9B-ADBCA3269083}"/>
    <hyperlink ref="X436" r:id="rId409" xr:uid="{1D15135C-1418-4AEB-96ED-E8F026DF4FAA}"/>
    <hyperlink ref="Z436" r:id="rId410" xr:uid="{6A61E791-853D-4D1B-92E9-40D2A3B307E8}"/>
    <hyperlink ref="X694" r:id="rId411" xr:uid="{0484CB05-402F-4AD4-8E44-9C135E146DD8}"/>
    <hyperlink ref="Z694" r:id="rId412" xr:uid="{71494969-5631-4F59-9ED0-EB99B54C98F9}"/>
    <hyperlink ref="X206" r:id="rId413" xr:uid="{B3F128F3-8579-4E1C-88E3-25C22A126347}"/>
    <hyperlink ref="Y206" r:id="rId414" xr:uid="{A16E7B0D-326D-4367-8F10-91813E1A854D}"/>
    <hyperlink ref="Z206" r:id="rId415" xr:uid="{1A86E604-0D07-42F0-BED5-BEE588458116}"/>
    <hyperlink ref="X619" r:id="rId416" xr:uid="{AB1115B7-47B5-4B06-920F-E07A9E9ED945}"/>
    <hyperlink ref="Y619" r:id="rId417" xr:uid="{35B99F19-14AF-488A-81A1-0D0487CBCAB3}"/>
    <hyperlink ref="Z619" r:id="rId418" xr:uid="{6FEADCEB-203B-4527-B47B-B00043803B82}"/>
    <hyperlink ref="X228" r:id="rId419" xr:uid="{5C2CA276-F43C-49D4-9A86-6958D5E026FE}"/>
    <hyperlink ref="Y228" r:id="rId420" xr:uid="{DE0A0CF7-B3DD-4D1A-8817-EEF76716652E}"/>
    <hyperlink ref="Z228" r:id="rId421" xr:uid="{8BE43F7B-A6A6-4121-AC65-BD59CC94FBA4}"/>
    <hyperlink ref="Z21" r:id="rId422" xr:uid="{C17C89AA-E956-4AB4-BA72-A2279CA899FB}"/>
    <hyperlink ref="Y21" r:id="rId423" xr:uid="{2DBA10ED-EB79-48E8-B86B-76468F458E43}"/>
    <hyperlink ref="X111" r:id="rId424" xr:uid="{BF8EE74B-7BCA-49B0-A45B-809A924EDC4E}"/>
    <hyperlink ref="Y111" r:id="rId425" xr:uid="{9F317AF1-6665-471F-B1EE-74C7606822EC}"/>
    <hyperlink ref="Z111" r:id="rId426" xr:uid="{B1149966-AEDF-4912-9F2C-7393244185DE}"/>
    <hyperlink ref="X145" r:id="rId427" xr:uid="{445274F5-FF09-405F-87B5-51B6AA3BB9A4}"/>
    <hyperlink ref="Y145" r:id="rId428" xr:uid="{5F4A00AC-3B24-49A6-9A47-0AA68219C8EA}"/>
    <hyperlink ref="Z145" r:id="rId429" xr:uid="{D6D888A8-BD0C-45C9-9776-1068D5352FC3}"/>
    <hyperlink ref="Y586" r:id="rId430" xr:uid="{D8C086E2-4A1C-4AD8-85E1-A5B8FEC2F96F}"/>
    <hyperlink ref="Z586" r:id="rId431" xr:uid="{40C8BE59-9338-4F38-84E0-EB095A7C5F51}"/>
    <hyperlink ref="X129" r:id="rId432" xr:uid="{D31901B8-90FE-410B-9717-D29389862FED}"/>
    <hyperlink ref="Y129" r:id="rId433" xr:uid="{41CD90BD-B7DE-442B-B655-F21065F5C9D2}"/>
    <hyperlink ref="Z129" r:id="rId434" xr:uid="{769C618C-79B7-4A66-8133-B8877733AC8C}"/>
    <hyperlink ref="X230" r:id="rId435" xr:uid="{7377D624-D567-4039-9487-E8F26ACF3B08}"/>
    <hyperlink ref="Y230" r:id="rId436" xr:uid="{E631B5EF-E28C-4ED5-98BE-788876687720}"/>
    <hyperlink ref="Z230" r:id="rId437" xr:uid="{CEDCFB3B-8720-4014-BC7A-97020F58D9F3}"/>
    <hyperlink ref="Y539" r:id="rId438" xr:uid="{5BBFB85F-3A38-47F2-98A4-43B86B5BDF31}"/>
    <hyperlink ref="Z539" r:id="rId439" xr:uid="{697EA63B-9075-48F5-B151-4D41D9FF000A}"/>
    <hyperlink ref="X539" r:id="rId440" xr:uid="{6851BBCA-D0DA-474F-AD8D-FFBC867F0B80}"/>
    <hyperlink ref="Y58" r:id="rId441" xr:uid="{63EB54E3-B90D-4144-99A4-27708F4D8F62}"/>
    <hyperlink ref="X458" r:id="rId442" xr:uid="{0D7EA9D1-A3EE-48D0-94F5-6CCD6E7D28B2}"/>
    <hyperlink ref="Y557" r:id="rId443" xr:uid="{A3F97D6E-C9D0-454A-8DCB-B1E3D7AA351D}"/>
    <hyperlink ref="X557" r:id="rId444" xr:uid="{A8544B81-7A3F-4B58-8EB4-94D11CFA0A0F}"/>
    <hyperlink ref="Z557" r:id="rId445" xr:uid="{630256CF-2982-41A0-9B70-4D24F4BDFF49}"/>
    <hyperlink ref="Z563" r:id="rId446" xr:uid="{E69B8ABB-8EB8-4E08-ADA8-C8106D7BECB1}"/>
    <hyperlink ref="Z598" r:id="rId447" xr:uid="{88DF04F2-9E50-45F0-A9BD-BF32FD78F83A}"/>
    <hyperlink ref="Y44" r:id="rId448" xr:uid="{DBC3C24C-785D-43B5-B33E-1BFEA460283D}"/>
    <hyperlink ref="Y29" r:id="rId449" xr:uid="{005C34E5-8449-4168-B229-202EA78F23A3}"/>
    <hyperlink ref="Z29" r:id="rId450" xr:uid="{615766E0-9123-4E9D-9CE4-66AE9C5D6ADB}"/>
    <hyperlink ref="X29" r:id="rId451" xr:uid="{06838C86-A90F-49F7-8A8D-C5BF72F6B9D9}"/>
    <hyperlink ref="Y821" r:id="rId452" xr:uid="{E02D25B6-EDE9-4F51-AF49-8130AA3E1AC4}"/>
    <hyperlink ref="Y845" r:id="rId453" xr:uid="{3E4E8312-5ECD-443F-8864-B1014DEBC038}"/>
    <hyperlink ref="Y846" r:id="rId454" xr:uid="{B85F321E-09CD-427C-83CC-2A1DF23F1AC4}"/>
    <hyperlink ref="Y63" r:id="rId455" xr:uid="{8A11FD87-2C11-4BF3-B5C8-C15566323400}"/>
    <hyperlink ref="Z63" r:id="rId456" xr:uid="{F319734A-0A32-41A9-B9D7-C3EB819A6E39}"/>
    <hyperlink ref="X63" r:id="rId457" xr:uid="{60AF04EE-4FA5-46BC-A3EC-680F66FF53A7}"/>
    <hyperlink ref="Y314" r:id="rId458" xr:uid="{86CD09EE-0AA4-4CFC-9188-2CAE17089BDA}"/>
    <hyperlink ref="Z314" r:id="rId459" xr:uid="{986352E2-7A0C-4632-B621-3E6D519D221E}"/>
    <hyperlink ref="X314" r:id="rId460" xr:uid="{80559386-AFBC-4773-B9FD-42F43825A427}"/>
    <hyperlink ref="Z676" r:id="rId461" xr:uid="{8748A27F-19CB-4D8C-9575-36DEC7C5AD9C}"/>
    <hyperlink ref="X676" r:id="rId462" xr:uid="{DCA25AF6-C1F5-47DF-89E2-50C362FC1258}"/>
    <hyperlink ref="Y274" r:id="rId463" xr:uid="{C7215806-54B7-4EA1-8E30-468B4F956BAE}"/>
    <hyperlink ref="Y318" r:id="rId464" xr:uid="{5167D754-8789-4B21-818B-0B31CC9684AA}"/>
    <hyperlink ref="Z318" r:id="rId465" xr:uid="{1DE7487F-A7F5-459D-AF70-0186AE1128E2}"/>
    <hyperlink ref="Y813" r:id="rId466" xr:uid="{F5428CA0-6EA8-41AC-8091-9FB80697B9E9}"/>
    <hyperlink ref="X813" r:id="rId467" xr:uid="{0D86EA38-2066-42CE-83BC-7D6F9253BA4C}"/>
    <hyperlink ref="Y22" r:id="rId468" xr:uid="{65B7B54F-18E8-486E-9D90-9B8723234020}"/>
    <hyperlink ref="Y740" r:id="rId469" xr:uid="{45E4E9C8-BCA5-4C7C-BB92-C6088503361E}"/>
    <hyperlink ref="Z740" r:id="rId470" xr:uid="{88F0DCD7-1EEB-47A0-820C-6156103824FA}"/>
    <hyperlink ref="X740" r:id="rId471" xr:uid="{9FA66227-265A-4F2A-B5D2-49C041189E4B}"/>
    <hyperlink ref="Y787" r:id="rId472" xr:uid="{2BBC10A5-210A-4F4F-8F37-8CE69C8F5689}"/>
    <hyperlink ref="Z787" r:id="rId473" xr:uid="{64CE393F-25FF-498A-ABCF-A6F9F50F73A3}"/>
    <hyperlink ref="X787" r:id="rId474" xr:uid="{6E12CE3C-23A3-4C9B-9303-11AB4CCB80BB}"/>
    <hyperlink ref="X227" r:id="rId475" xr:uid="{0C2F9910-19B0-41B5-8C57-513E1EF937F8}"/>
    <hyperlink ref="Y544" r:id="rId476" xr:uid="{8EAFE004-605B-4166-858F-34B971FC5053}"/>
    <hyperlink ref="X544" r:id="rId477" xr:uid="{5DF5DB1F-CFEF-46F9-B38D-3BA2F5484768}"/>
    <hyperlink ref="Z544" r:id="rId478" xr:uid="{AEACC36F-51A3-421E-B336-F2D3BE48A173}"/>
    <hyperlink ref="Z711" r:id="rId479" xr:uid="{B4C9D865-4EC2-4984-9591-BE623953B230}"/>
    <hyperlink ref="X711" r:id="rId480" xr:uid="{8C875540-E983-4987-B336-330E4F9EDD27}"/>
    <hyperlink ref="Z710" r:id="rId481" xr:uid="{2AB49AA1-F300-4198-B821-9ABBFC93E046}"/>
    <hyperlink ref="X710" r:id="rId482" xr:uid="{7CD58940-1137-439E-B10B-45B479929245}"/>
    <hyperlink ref="Y537" r:id="rId483" xr:uid="{08263BF0-3C62-4A6E-A6AC-8686C6873F6F}"/>
    <hyperlink ref="Z537" r:id="rId484" xr:uid="{55649F64-095E-417D-8EC9-C12B7FF3A91E}"/>
    <hyperlink ref="X537" r:id="rId485" xr:uid="{02168DCA-84AC-41A2-A045-F646D73D26E5}"/>
    <hyperlink ref="Y776" r:id="rId486" xr:uid="{2372ED7A-75BA-46A5-BFA6-616D4257609B}"/>
    <hyperlink ref="Y779" r:id="rId487" xr:uid="{B2577FFE-6EEB-4F5A-9496-1A4A0BA849D5}"/>
    <hyperlink ref="Y777" r:id="rId488" xr:uid="{6353DDD5-D8D2-4A69-9E77-516D8A661324}"/>
    <hyperlink ref="X777" r:id="rId489" xr:uid="{907D89D2-C839-4C4E-AC78-18D1BC64D5D0}"/>
    <hyperlink ref="Z777" r:id="rId490" xr:uid="{36C0A93C-2F1E-465D-9474-F438D0F3D029}"/>
    <hyperlink ref="Y105" r:id="rId491" xr:uid="{578A55D3-CC9B-4E89-88AA-17B632DA1E61}"/>
    <hyperlink ref="Z105" r:id="rId492" xr:uid="{3F0A6344-4D81-40F8-9029-409112E6F94F}"/>
    <hyperlink ref="Y745" r:id="rId493" xr:uid="{077788E5-C1A8-4445-8390-AEF56F4DB19A}"/>
    <hyperlink ref="Z745" r:id="rId494" xr:uid="{6D4533DB-7B68-4B7D-B55F-D0B01860F4E0}"/>
    <hyperlink ref="Y16" r:id="rId495" xr:uid="{57D04324-FBEF-4A80-ABB4-52D4F4025A5B}"/>
    <hyperlink ref="Z16" r:id="rId496" xr:uid="{57E04F79-2A7C-461B-B645-381CD8B74FBE}"/>
    <hyperlink ref="Z15" r:id="rId497" xr:uid="{628484C8-9D71-493F-8182-607D87AEDE60}"/>
    <hyperlink ref="X358" r:id="rId498" xr:uid="{EAADFA80-0293-4AE8-8741-DBF23F7ECEC5}"/>
    <hyperlink ref="Y358" r:id="rId499" xr:uid="{D952EDE8-950A-4D74-881E-E50094B4278C}"/>
    <hyperlink ref="Z358" r:id="rId500" xr:uid="{B319BCEF-3B8E-4614-A914-3FF48CB82A35}"/>
    <hyperlink ref="Y339" r:id="rId501" xr:uid="{9D1CC79C-F9BB-45FD-A573-B9A6D6C33CB6}"/>
    <hyperlink ref="Y338" r:id="rId502" xr:uid="{BB3186EE-784A-443E-8B2B-DD89C64AAF5A}"/>
    <hyperlink ref="Z339" r:id="rId503" xr:uid="{79CD65FE-EBD0-45E2-AACB-8AD59CE7FA12}"/>
    <hyperlink ref="Z338" r:id="rId504" xr:uid="{B92A594C-1C3E-450A-BF8F-D550E6FAFAB3}"/>
    <hyperlink ref="Y662" r:id="rId505" xr:uid="{7E2C30B0-877A-4CFD-87CC-30F7754B8474}"/>
    <hyperlink ref="Z662" r:id="rId506" display="vineupload@iqbackoffice.com" xr:uid="{3E62F400-ACAD-48D2-AB79-D8CBEDD3BC97}"/>
    <hyperlink ref="Y755" r:id="rId507" xr:uid="{EE9C4994-B0BE-43AE-96BA-B5BDCBCB13D0}"/>
    <hyperlink ref="Y757" r:id="rId508" xr:uid="{158E3704-131C-4DA4-B52C-89719D141B89}"/>
    <hyperlink ref="Y99" r:id="rId509" xr:uid="{76AE4529-6B18-466E-A403-3BE19BF46F96}"/>
    <hyperlink ref="Y55" r:id="rId510" xr:uid="{1E5EA952-9E54-47E8-9C61-661CB6D8AC02}"/>
    <hyperlink ref="Z55" r:id="rId511" xr:uid="{33F1D477-2A17-40F0-A707-D43C8BCC4D2C}"/>
    <hyperlink ref="Y240" r:id="rId512" xr:uid="{DA331B5A-A198-4F98-AFCE-7B6B87C1806E}"/>
    <hyperlink ref="Z240" r:id="rId513" xr:uid="{AD16F1BA-0D71-4BC1-B38A-D4A4A7F6A5F1}"/>
    <hyperlink ref="Y671" r:id="rId514" xr:uid="{A44B30BC-FF3E-47DC-81F2-7B1D8264ABFA}"/>
    <hyperlink ref="Z671" r:id="rId515" xr:uid="{AE5EC213-2702-4E0A-9AA4-76180BB05F37}"/>
    <hyperlink ref="X671" r:id="rId516" xr:uid="{90373781-8988-45C7-8C3C-98B4FAB5BA0C}"/>
    <hyperlink ref="Y654" r:id="rId517" xr:uid="{1F0F188F-4422-434F-9356-825E1791A464}"/>
    <hyperlink ref="X654" r:id="rId518" xr:uid="{453030EC-7138-4326-8617-DAC49A89208E}"/>
    <hyperlink ref="Z654" r:id="rId519" xr:uid="{9C55C51B-DF43-4259-BD84-5818127D8F2B}"/>
    <hyperlink ref="Z849" r:id="rId520" xr:uid="{C25E3B4C-5922-433A-8E92-5592042720EC}"/>
    <hyperlink ref="Z728" r:id="rId521" xr:uid="{6A421DD2-3D79-4857-AB6C-566F80D5B137}"/>
    <hyperlink ref="X728" r:id="rId522" xr:uid="{BAB64CC6-706F-44B5-A397-86F5C8E0C887}"/>
    <hyperlink ref="X575" r:id="rId523" xr:uid="{F523AF4E-1D8D-4FEE-A55D-D26D2E43F980}"/>
    <hyperlink ref="Z575" r:id="rId524" xr:uid="{D1A3A443-32F1-4924-8D90-4E76ED2400A5}"/>
    <hyperlink ref="X73" r:id="rId525" xr:uid="{E570F2C3-7C94-4304-AF85-A493A97ECD42}"/>
    <hyperlink ref="Y73" r:id="rId526" xr:uid="{8BA44A2A-3A72-4B71-94E7-2C51BCF5884B}"/>
    <hyperlink ref="Z73" r:id="rId527" xr:uid="{E35BA1E6-3A9A-4B8C-91E2-0AD1545BD12D}"/>
    <hyperlink ref="Y524" r:id="rId528" xr:uid="{BE72797E-2289-4683-9CB2-92154D3BDC96}"/>
    <hyperlink ref="Z524" r:id="rId529" xr:uid="{61F8FD9A-8EF6-4C58-873C-4E84B2E13FA3}"/>
    <hyperlink ref="Y122" r:id="rId530" xr:uid="{2C744E9D-CABD-488C-864D-780FF29AD7B1}"/>
    <hyperlink ref="X122" r:id="rId531" xr:uid="{3D4C2F83-BCC8-4A51-8B1B-0591FFB4965F}"/>
    <hyperlink ref="Z122" r:id="rId532" xr:uid="{210FCCD1-C92A-4F72-BAC9-7B4E79C9A704}"/>
    <hyperlink ref="X57" r:id="rId533" xr:uid="{18F0A171-7F5F-4BB2-8F0A-2AF595011565}"/>
    <hyperlink ref="Y57" r:id="rId534" xr:uid="{0825A424-D74F-4F75-B0C9-F53EFE04D2DC}"/>
    <hyperlink ref="Z57" r:id="rId535" xr:uid="{72EC8E63-514D-471C-B052-0797AD6075FD}"/>
    <hyperlink ref="Y642" r:id="rId536" xr:uid="{51A071C0-DA83-482D-957B-ECFBD43EE446}"/>
    <hyperlink ref="Z642" r:id="rId537" xr:uid="{05C8217C-8EC2-42D5-9228-3C462AC9C92B}"/>
    <hyperlink ref="X674" r:id="rId538" xr:uid="{601C3939-B633-4D6C-B00C-E5CBB0497A03}"/>
    <hyperlink ref="Z674" r:id="rId539" xr:uid="{2FC2050C-342C-4F5F-BF17-9AFFD69D1014}"/>
    <hyperlink ref="Z98" r:id="rId540" xr:uid="{27D262D4-95F2-41EF-BFFE-56300FF2DDC5}"/>
    <hyperlink ref="Y98" r:id="rId541" xr:uid="{3A4B8684-E6FA-4135-B473-B0E8B684765C}"/>
    <hyperlink ref="Y432" r:id="rId542" xr:uid="{CB2CA620-6A80-457D-836B-026EC0190C6D}"/>
    <hyperlink ref="X432" r:id="rId543" xr:uid="{987033D7-239A-44BA-9719-919E7ABEBEF4}"/>
    <hyperlink ref="Z432" r:id="rId544" xr:uid="{8C527348-7375-4A08-8FA0-1971C8F213A8}"/>
    <hyperlink ref="X683" r:id="rId545" xr:uid="{3135A519-5F7C-4A73-812B-EEDD1EE4C0C5}"/>
    <hyperlink ref="Z683" r:id="rId546" xr:uid="{CD6CAE58-39D0-4E88-9A48-F297B3291CD8}"/>
    <hyperlink ref="O199" r:id="rId547" display="tel:7077730882" xr:uid="{445506EC-032B-475E-BAD5-587B5BB1256C}"/>
    <hyperlink ref="Y132" r:id="rId548" xr:uid="{E18ED876-43ED-4AAF-BBE7-3AD81E44F7F0}"/>
    <hyperlink ref="X785" r:id="rId549" xr:uid="{D59E8D72-0583-4AB3-8302-3478117F3D7E}"/>
    <hyperlink ref="Y785" r:id="rId550" xr:uid="{B0A31D19-BBFE-428A-BF46-D331840FCE77}"/>
    <hyperlink ref="Z785" r:id="rId551" xr:uid="{0FEF6BAC-AB92-4909-8EAC-48F079C3EA19}"/>
    <hyperlink ref="Y309" r:id="rId552" xr:uid="{E07DE7B4-C49B-4E02-BA39-3BE0E62E0976}"/>
    <hyperlink ref="X309" r:id="rId553" xr:uid="{E756C848-AA5B-4155-9605-0183A2099EA6}"/>
    <hyperlink ref="Z309" r:id="rId554" xr:uid="{ADA4558D-E664-43AE-BA7F-95E3A2C6E439}"/>
    <hyperlink ref="X135" r:id="rId555" xr:uid="{D0FFE324-B6F4-4390-BE06-7D540549A507}"/>
    <hyperlink ref="Y135" r:id="rId556" xr:uid="{2AE718B4-444C-4C75-9A7E-7C296C927C4C}"/>
    <hyperlink ref="Z135" r:id="rId557" xr:uid="{E430A01A-F505-4152-A1DF-86358FE8EE7E}"/>
    <hyperlink ref="X410" r:id="rId558" xr:uid="{11E932CE-B8D9-45F3-BDCE-739C8F6525E5}"/>
    <hyperlink ref="Y410" r:id="rId559" xr:uid="{2644A08C-62C1-4C96-B7AB-5431AAEAFE34}"/>
    <hyperlink ref="Y495" r:id="rId560" xr:uid="{93A4ABEB-01C2-4E5E-A781-20B56E5CC86D}"/>
    <hyperlink ref="Z495" r:id="rId561" xr:uid="{334A9F6C-A689-44D7-9F59-6848B1020A7E}"/>
    <hyperlink ref="X495" r:id="rId562" xr:uid="{D6E5F1EB-CB4C-46FC-ACA5-4EEAC172D9E4}"/>
    <hyperlink ref="AZ508" r:id="rId563" display="https://www.google.com/search?channel=tus5&amp;client=firefox-b-1-d&amp;q=nash+and+tender+lodi+california" xr:uid="{2129864D-E7EC-460D-A3F2-1611C8865C7E}"/>
    <hyperlink ref="Y112" r:id="rId564" xr:uid="{EF3103D8-C34D-4B11-BE9C-6A495F041199}"/>
    <hyperlink ref="Z112" r:id="rId565" xr:uid="{CBDFC7A2-4B1A-4485-A063-9980A012DB58}"/>
    <hyperlink ref="Y588" r:id="rId566" xr:uid="{C4195643-075D-413B-B78B-592C6752B365}"/>
    <hyperlink ref="X588" r:id="rId567" xr:uid="{FE84A7AC-8C5A-4AEF-A9CC-EE3FF5D92E35}"/>
    <hyperlink ref="Z588" r:id="rId568" xr:uid="{0D40EE51-11DC-47B7-8836-DEB7574F1E8A}"/>
    <hyperlink ref="Y276" r:id="rId569" xr:uid="{08AF36F0-21AB-43B9-8740-60C6285012D1}"/>
    <hyperlink ref="Z276" r:id="rId570" xr:uid="{14820991-7BFE-4366-AC9D-978CD92AA29E}"/>
    <hyperlink ref="X276" r:id="rId571" xr:uid="{1F644D58-CFD7-44E0-A051-B9E84719356B}"/>
    <hyperlink ref="Y683" r:id="rId572" xr:uid="{BCEA4465-13FA-48FA-BE01-D1C3D3676BB9}"/>
    <hyperlink ref="Y726" r:id="rId573" xr:uid="{509746FA-0A11-488E-92DD-A0132DAD4C0F}"/>
    <hyperlink ref="Y674" r:id="rId574" xr:uid="{52D9DD12-166D-4F3D-86DF-538B055506B2}"/>
    <hyperlink ref="Y728" r:id="rId575" xr:uid="{A6CE05EE-E515-455D-ABED-609178AE4C20}"/>
    <hyperlink ref="Y710" r:id="rId576" xr:uid="{4C48E5E2-2430-43B1-BD30-3F09F94A9A49}"/>
    <hyperlink ref="Y711" r:id="rId577" xr:uid="{6C91998E-5173-40F8-A9FA-8D4D13FFA64B}"/>
    <hyperlink ref="Y676" r:id="rId578" xr:uid="{4961A88A-9605-4834-B9CD-822BD5B5041D}"/>
    <hyperlink ref="Y719" r:id="rId579" xr:uid="{4DBCD2B6-DCFA-4AF4-93FC-19FA443A7E02}"/>
    <hyperlink ref="Y694" r:id="rId580" xr:uid="{74807B85-B535-4001-A434-37C8F66DBFE9}"/>
    <hyperlink ref="Y699" r:id="rId581" xr:uid="{57249884-DAF5-464E-A9B9-B6CF3ADD7DDE}"/>
    <hyperlink ref="Y698" r:id="rId582" xr:uid="{DB5A5200-8B61-42E8-94DA-F35D06520730}"/>
    <hyperlink ref="Y587:Y597" r:id="rId583" display="vineupload@iqbackoffice.com" xr:uid="{1C955BD9-FC0F-44EC-A8BF-476127C1CEFC}"/>
    <hyperlink ref="Y725" r:id="rId584" xr:uid="{176AEDB9-2A27-4ACF-BA36-357B092DE15A}"/>
    <hyperlink ref="Y716" r:id="rId585" xr:uid="{50A34D0D-DFB6-481C-B41E-B7CAC1C13074}"/>
    <hyperlink ref="Y697" r:id="rId586" xr:uid="{E3AC9489-3178-44FF-9B9E-BDB5321230ED}"/>
    <hyperlink ref="X673" r:id="rId587" xr:uid="{C0FE2CC7-3967-4E04-AA24-9A7531E3951A}"/>
    <hyperlink ref="Y760" r:id="rId588" xr:uid="{17B3FDD4-0EBE-4D25-ABE6-C6EFDC4F793D}"/>
    <hyperlink ref="X760" r:id="rId589" xr:uid="{E25D7469-72BB-4D18-9D4E-8ABF718C0BF2}"/>
    <hyperlink ref="Z760" r:id="rId590" xr:uid="{A2AF6DF4-9CF8-4C6B-BD3D-AD379AF905DA}"/>
    <hyperlink ref="Y774" r:id="rId591" xr:uid="{A04F74AE-2C26-4DEA-9C0C-F6B88696BDB1}"/>
    <hyperlink ref="X774" r:id="rId592" xr:uid="{3F7F7F73-459D-42CC-858A-C4BAAF5D5175}"/>
    <hyperlink ref="Z774" r:id="rId593" xr:uid="{1CF958CF-457C-45EC-A800-8BC49193E223}"/>
    <hyperlink ref="X622" r:id="rId594" xr:uid="{1E30915B-928B-48AF-BB84-1B2E0D8A1F14}"/>
    <hyperlink ref="Y622" r:id="rId595" xr:uid="{22CB3413-F2B4-4F48-BB22-F44BABF5D253}"/>
    <hyperlink ref="Z622" r:id="rId596" xr:uid="{F1D36304-BAEF-482A-B72C-F4D5C0286A0C}"/>
    <hyperlink ref="X681" r:id="rId597" xr:uid="{1AB87011-3B7A-4A87-B718-F08730875F66}"/>
    <hyperlink ref="Y681" r:id="rId598" xr:uid="{BCCA04C0-9166-494A-849D-572AF3D3795F}"/>
    <hyperlink ref="Z681" r:id="rId599" xr:uid="{183CA604-B73A-49D6-AC28-94EFAB073ED2}"/>
    <hyperlink ref="Y443" r:id="rId600" xr:uid="{EFCD1FB8-9BD4-4CEF-8A40-403E4290CFA7}"/>
    <hyperlink ref="Z443" r:id="rId601" xr:uid="{D7DA578C-5809-40D6-855D-159AA09F7DBA}"/>
    <hyperlink ref="Y660" r:id="rId602" xr:uid="{01C1AF9E-E595-410F-B1A9-C587C7A43288}"/>
    <hyperlink ref="Z660" r:id="rId603" xr:uid="{526A5ED7-373C-4E2A-A1C7-502A4D8021F7}"/>
    <hyperlink ref="X493" r:id="rId604" xr:uid="{E2FD01EC-50F5-40FA-86F0-C967AF98A674}"/>
    <hyperlink ref="Y493" r:id="rId605" xr:uid="{78197263-11CB-43B7-BB4C-F50DCBA6AB63}"/>
    <hyperlink ref="Z493" r:id="rId606" xr:uid="{603D89FC-1401-40AC-B033-11049D883154}"/>
    <hyperlink ref="Y244" r:id="rId607" xr:uid="{896279E5-535D-4307-A023-F8FA8315EE29}"/>
    <hyperlink ref="X244" r:id="rId608" xr:uid="{7D4542DF-DECC-48EB-A1D9-98C2170550BE}"/>
    <hyperlink ref="Z244" r:id="rId609" xr:uid="{F8A473A6-D11D-4CFD-B26A-9BF15AC44A68}"/>
    <hyperlink ref="X71" r:id="rId610" xr:uid="{7FD52F5F-E382-464C-AAB3-4BCF46895FAB}"/>
    <hyperlink ref="Y71" r:id="rId611" xr:uid="{A3AE2DA2-C68E-453D-9F96-DD993E9C0B1E}"/>
    <hyperlink ref="Z71" r:id="rId612" xr:uid="{78A44511-2B1B-4834-82F8-0CAD19543073}"/>
    <hyperlink ref="X430" r:id="rId613" xr:uid="{E1FF3198-E439-4185-823D-5B3EE25343A8}"/>
    <hyperlink ref="Y92" r:id="rId614" xr:uid="{E44E3551-DA8E-4723-8395-2A8D0A0FE7F5}"/>
    <hyperlink ref="X92" r:id="rId615" xr:uid="{6C610D48-D108-494A-A7CB-39BF74A992A5}"/>
    <hyperlink ref="Z92" r:id="rId616" xr:uid="{A803C8EF-8DD2-4720-B2ED-48450EF0AB85}"/>
    <hyperlink ref="Y427" r:id="rId617" xr:uid="{F9E3C942-C434-4E68-8923-336656B33157}"/>
    <hyperlink ref="Y183" r:id="rId618" xr:uid="{8710BA89-8801-421F-B789-390A4F98E3D8}"/>
    <hyperlink ref="Y414" r:id="rId619" xr:uid="{C85EB239-6E99-44BB-8A15-FCF00942C19C}"/>
    <hyperlink ref="X414" r:id="rId620" xr:uid="{69C7A422-E354-40B1-9982-797B0077A2D3}"/>
    <hyperlink ref="Z414" r:id="rId621" xr:uid="{1D4F440A-EB3F-4CAE-B1DF-23666CB416DA}"/>
    <hyperlink ref="Y283" r:id="rId622" xr:uid="{328B0F9B-AE5A-45D5-9C03-C18EECC4A97B}"/>
    <hyperlink ref="X283" r:id="rId623" xr:uid="{D36E7C0F-9BB2-423E-8E65-AC6219E530D3}"/>
    <hyperlink ref="Z283" r:id="rId624" xr:uid="{306E40DB-8DC4-4D00-A9A3-2761B31BA35A}"/>
    <hyperlink ref="X426" r:id="rId625" xr:uid="{830427F8-68C1-4FA0-8B92-6356F7225BF9}"/>
    <hyperlink ref="Y426" r:id="rId626" xr:uid="{45FB0C97-F284-4F6A-9AAB-40604B62E3EB}"/>
    <hyperlink ref="Z426" r:id="rId627" xr:uid="{857A1B94-6B13-4D25-9504-ED90747521CC}"/>
    <hyperlink ref="Z148" r:id="rId628" xr:uid="{CB13BEDE-950D-4B9C-8165-F340F0E1A94E}"/>
    <hyperlink ref="Y96" r:id="rId629" xr:uid="{3A5D50A2-4D5C-4FF6-9E3F-F90AC8C67A4E}"/>
    <hyperlink ref="Z636" r:id="rId630" xr:uid="{01ACC705-D2A4-4E7A-ABAC-7C1C25C3E8B8}"/>
    <hyperlink ref="X125" r:id="rId631" xr:uid="{CA54235C-F057-4382-B2EC-89CE91A54D0B}"/>
    <hyperlink ref="Y125" r:id="rId632" xr:uid="{C0496315-5845-466F-901A-95F511F7A077}"/>
    <hyperlink ref="X249" r:id="rId633" xr:uid="{DDAAAB93-1FCC-4A06-B0F5-10C411C12D28}"/>
    <hyperlink ref="Y249" r:id="rId634" xr:uid="{1E06FAA5-A935-434C-A1A3-2B63A9DE2FC6}"/>
    <hyperlink ref="Z249" r:id="rId635" xr:uid="{D59996E1-AC56-43AA-BAF3-E9A0D9E6158B}"/>
    <hyperlink ref="X278" r:id="rId636" xr:uid="{1554FAF8-F127-4909-AB41-757E2A70E367}"/>
    <hyperlink ref="Y278" r:id="rId637" xr:uid="{B1D8486E-49D9-4426-A186-EBA0B4205963}"/>
    <hyperlink ref="Z278" r:id="rId638" xr:uid="{8A8F4CAB-EDDB-49B4-B4F9-FC809D70580C}"/>
    <hyperlink ref="Z194" r:id="rId639" xr:uid="{4CAA6FD8-1B4F-436C-9CCC-5BB526E07484}"/>
    <hyperlink ref="Z534" r:id="rId640" xr:uid="{7828338F-D6A1-4930-A9C3-F5C55206792C}"/>
    <hyperlink ref="Z561" r:id="rId641" xr:uid="{0A1221FA-48C9-45AA-BB61-F07213FD424D}"/>
    <hyperlink ref="Y169" r:id="rId642" xr:uid="{9D3991F9-864F-48EA-8D99-9DE816B7DEC5}"/>
    <hyperlink ref="Z169" r:id="rId643" xr:uid="{1B9F559F-858B-49FF-A619-EE343430893A}"/>
    <hyperlink ref="X169" r:id="rId644" xr:uid="{C52C596B-0196-4E6C-9E31-99BE285C9B85}"/>
    <hyperlink ref="Y301" r:id="rId645" xr:uid="{547E888C-5555-4DD9-B6F0-6FEB2EDC0D03}"/>
    <hyperlink ref="Z301" r:id="rId646" xr:uid="{8701F261-4D3E-46A5-AAA6-F3453BFE0A8A}"/>
    <hyperlink ref="X301" r:id="rId647" xr:uid="{F11CC48B-6DB5-4EC3-88DB-ACAABACA22E2}"/>
    <hyperlink ref="X492" r:id="rId648" xr:uid="{9018E718-366E-4AB5-84F7-7D23C49F3FA0}"/>
    <hyperlink ref="Z492" r:id="rId649" xr:uid="{0A49EB71-C3D1-46A4-8A37-38E22C1C2BC3}"/>
    <hyperlink ref="X120" r:id="rId650" xr:uid="{C96F71C4-DFD5-4CDD-95F8-3D857CCCA4FD}"/>
    <hyperlink ref="Y120" r:id="rId651" xr:uid="{27FB54C0-A10E-4064-A029-B56B22DF8C2B}"/>
    <hyperlink ref="Z120" r:id="rId652" xr:uid="{9C895E15-A240-4D6C-84BE-BED0A2BB6506}"/>
    <hyperlink ref="Y600" r:id="rId653" xr:uid="{0804574D-72EE-420E-8B40-4C8CCBD95A72}"/>
    <hyperlink ref="X600" r:id="rId654" xr:uid="{1D3CCF92-58F8-47D3-8EB1-50984075B648}"/>
    <hyperlink ref="Z600" r:id="rId655" xr:uid="{7EA956D3-AAB2-4C1D-BED0-7BFB76B549FF}"/>
    <hyperlink ref="Y692" r:id="rId656" xr:uid="{1E5E733B-59A2-4304-B38F-D7312B65D005}"/>
    <hyperlink ref="Z692" r:id="rId657" xr:uid="{65D274D2-1DD9-4563-B96A-00CFA90CAC0B}"/>
    <hyperlink ref="X46" r:id="rId658" xr:uid="{EF3869CF-AE91-4755-BBCE-E5829E0576DD}"/>
    <hyperlink ref="Y46" r:id="rId659" xr:uid="{59BA6F48-0599-4B4D-A1B8-8202489C8AAD}"/>
    <hyperlink ref="Z46" r:id="rId660" xr:uid="{610627F7-5195-4A68-AA41-1D0935C8D4C9}"/>
    <hyperlink ref="X383" r:id="rId661" xr:uid="{753BE774-4645-4A45-9A4D-217708F801E0}"/>
    <hyperlink ref="Y383" r:id="rId662" xr:uid="{4697DE83-8682-4D99-BA09-A92A4714D8EA}"/>
    <hyperlink ref="X281" r:id="rId663" display="info@gamh.com" xr:uid="{5830E69F-17D0-4CEC-85D2-2AD9F71BE5BA}"/>
    <hyperlink ref="Y281" r:id="rId664" display="info@gamh.com" xr:uid="{0FFE9D15-8EBE-4F63-999E-248A8853E96C}"/>
    <hyperlink ref="Z281" r:id="rId665" xr:uid="{DF182EEB-6A09-4031-864F-FE14E351FA69}"/>
    <hyperlink ref="X811" r:id="rId666" xr:uid="{6F2CFF21-FCEE-45DF-AC83-645360699294}"/>
    <hyperlink ref="Y811" r:id="rId667" xr:uid="{A7915D4B-7BA6-414B-A263-E1C630081F18}"/>
    <hyperlink ref="Z811" r:id="rId668" xr:uid="{4CCAA9C1-ED2C-4FF9-AEED-9B28D40E703E}"/>
    <hyperlink ref="X510" r:id="rId669" xr:uid="{27ECD30D-A353-4E79-800A-6DA1CBE1E5BD}"/>
    <hyperlink ref="Y510" r:id="rId670" xr:uid="{F34B1298-A8EF-4489-BEF8-6A40EA8A6569}"/>
    <hyperlink ref="Z510" r:id="rId671" xr:uid="{F2815ECD-0D8C-42D1-8A86-5B523D980401}"/>
    <hyperlink ref="X164" r:id="rId672" xr:uid="{CE18CBAA-96F5-404A-987E-17B93C5B8D9F}"/>
    <hyperlink ref="X440" r:id="rId673" xr:uid="{C6638ADB-3BE8-4A87-B8CB-30CD00650573}"/>
    <hyperlink ref="X527" r:id="rId674" xr:uid="{AD9BA742-E991-428E-9D04-8EA48A02C19C}"/>
    <hyperlink ref="X584" r:id="rId675" xr:uid="{330EAD7B-5C45-47F9-8E7D-769C055A290A}"/>
    <hyperlink ref="Z404" r:id="rId676" xr:uid="{EF903478-F300-43A1-BE1B-33905937364C}"/>
    <hyperlink ref="X275" r:id="rId677" xr:uid="{746E0F6A-C619-4B7F-B858-11F1DBB94A5B}"/>
    <hyperlink ref="Z637" r:id="rId678" xr:uid="{17A7049F-861D-4680-9B35-F45E2EBC7DD3}"/>
    <hyperlink ref="X459" r:id="rId679" xr:uid="{9BECD7F7-F33F-4CE8-81F3-329903E5D0E7}"/>
    <hyperlink ref="X416" r:id="rId680" xr:uid="{EA6F7107-FEC3-4674-8591-29802579424F}"/>
    <hyperlink ref="X337" r:id="rId681" xr:uid="{AEA52EE7-9D91-4E69-A8FD-98725FCE4192}"/>
    <hyperlink ref="X490" r:id="rId682" xr:uid="{2472EE64-BA71-4B67-8052-DC29E852705E}"/>
    <hyperlink ref="X637" r:id="rId683" xr:uid="{714A2103-6C65-41CE-A994-A91C20BC281C}"/>
    <hyperlink ref="X663" r:id="rId684" xr:uid="{1BC0F0B7-723E-4777-B6D2-E15E5CA49B9E}"/>
    <hyperlink ref="X649" r:id="rId685" xr:uid="{3713F814-7A59-4FCA-B9CE-5517982176DE}"/>
    <hyperlink ref="Z649" r:id="rId686" xr:uid="{0E6974E2-B40C-459C-9568-1BEF3A54E033}"/>
    <hyperlink ref="X308" r:id="rId687" xr:uid="{A91A56A4-34B6-4DCD-A84D-9C8791BC05B0}"/>
    <hyperlink ref="X45" r:id="rId688" xr:uid="{29C7CDEF-BE1D-4752-BDBF-2972EF0471A3}"/>
    <hyperlink ref="X209" r:id="rId689" xr:uid="{6784D497-EE82-4DF1-934A-AED62FEE7ECF}"/>
    <hyperlink ref="X210" r:id="rId690" xr:uid="{50734F55-42F6-499D-9EA9-1ECB449A877A}"/>
    <hyperlink ref="X565" r:id="rId691" xr:uid="{4245ED46-7A2F-437A-81BF-A075E898F778}"/>
    <hyperlink ref="Z523" r:id="rId692" xr:uid="{C56267B7-E435-4DDB-B739-DC3E3E21E2CE}"/>
    <hyperlink ref="Y751" r:id="rId693" xr:uid="{B782A29D-D3FB-4257-820B-F6F470F0D29E}"/>
    <hyperlink ref="X38" r:id="rId694" xr:uid="{11420A35-9C29-4377-8323-C5BDC4457C6D}"/>
    <hyperlink ref="X156" r:id="rId695" xr:uid="{39531221-5B4D-4F71-93BF-BD953B1FF748}"/>
    <hyperlink ref="Y413" r:id="rId696" xr:uid="{3F6FF123-0C2F-4681-A95E-30168E1D9D71}"/>
    <hyperlink ref="X626" r:id="rId697" xr:uid="{389DF524-D7E9-4EDF-9B96-A145E262DDD5}"/>
    <hyperlink ref="Z611" r:id="rId698" xr:uid="{7D6DC927-3804-4E3B-92FA-F365ED5281F9}"/>
    <hyperlink ref="Y731" r:id="rId699" xr:uid="{D2086D65-0C9D-4FE0-AD84-B0D9DA7381B1}"/>
    <hyperlink ref="Z731" r:id="rId700" xr:uid="{1934F089-486B-4FCB-87B6-44079B57818E}"/>
    <hyperlink ref="Y48" r:id="rId701" xr:uid="{5BBC7A3A-79DE-4426-ADA4-CE666694E47E}"/>
    <hyperlink ref="Z845" r:id="rId702" xr:uid="{97FAEA4E-2C9B-4A18-BAEE-CF1E88C89BB7}"/>
    <hyperlink ref="Y65" r:id="rId703" xr:uid="{EC9DB0C2-2F7F-4817-A281-C480B948981F}"/>
    <hyperlink ref="X234" r:id="rId704" xr:uid="{01E2D833-1AC1-4104-8242-2FFDC6F68E30}"/>
    <hyperlink ref="X133" r:id="rId705" xr:uid="{39E38998-BEE4-4436-8231-904E54EE8802}"/>
    <hyperlink ref="Y306" r:id="rId706" xr:uid="{0C32BA9E-C2AF-4F65-A46B-54B3BACF7FC6}"/>
    <hyperlink ref="Y732" r:id="rId707" xr:uid="{32F947EE-E90A-4201-A548-0CD6E7B68986}"/>
    <hyperlink ref="X218" r:id="rId708" xr:uid="{20C29F05-9E8B-4287-8896-57A1C9304079}"/>
    <hyperlink ref="X832" r:id="rId709" xr:uid="{41102F4E-B1DB-4A2A-96C7-590E7426EB5C}"/>
    <hyperlink ref="Y832" r:id="rId710" xr:uid="{1913E40D-CAA5-4768-A0E9-A4A86C20F76A}"/>
    <hyperlink ref="Z832" r:id="rId711" xr:uid="{E772D64A-E3AF-4FA7-847F-E05EDB0DE113}"/>
    <hyperlink ref="X646" r:id="rId712" xr:uid="{E2FEF258-BB93-4C73-A7E7-3E72633371CA}"/>
    <hyperlink ref="Y646" r:id="rId713" xr:uid="{4A2F369C-5B06-4552-BB71-98875D0ACA79}"/>
    <hyperlink ref="Z646" r:id="rId714" xr:uid="{26D87FEB-6B83-4AE6-ADB6-9C9D68C87FB3}"/>
    <hyperlink ref="Z133" r:id="rId715" xr:uid="{728F0C16-BE79-408C-A988-5B91D916449A}"/>
    <hyperlink ref="X20" r:id="rId716" xr:uid="{AED817B2-8898-4ADF-8927-F7A2883E760C}"/>
    <hyperlink ref="Y762" r:id="rId717" xr:uid="{DAC3EA1D-C537-427A-A04E-309209088174}"/>
    <hyperlink ref="X762" r:id="rId718" xr:uid="{F51E38CC-0942-457E-B9D8-4FB2E4AC44C4}"/>
    <hyperlink ref="Z762" r:id="rId719" xr:uid="{CE90B4F5-A736-47A5-9985-0278552A68F3}"/>
    <hyperlink ref="Z767" r:id="rId720" xr:uid="{1763BD05-B66E-43E4-8F41-E3DB7B056B65}"/>
    <hyperlink ref="X761" r:id="rId721" xr:uid="{F7BF45DA-35B7-4B12-9244-0896F1DD5445}"/>
    <hyperlink ref="Z761" r:id="rId722" xr:uid="{0856CCE6-C676-4C9E-8BE6-CDC2057A0FFD}"/>
    <hyperlink ref="X763" r:id="rId723" xr:uid="{42A8E555-1B73-489E-8F98-79A318C54429}"/>
    <hyperlink ref="Z763" r:id="rId724" xr:uid="{8553B957-EBE4-4E53-A07D-6F2643D2609B}"/>
    <hyperlink ref="Z768" r:id="rId725" xr:uid="{1AF9ABCE-3477-435A-BC7F-98659E5A2039}"/>
    <hyperlink ref="Y673" r:id="rId726" xr:uid="{D4A6ED41-A02E-48C2-9C74-494B014CE1D2}"/>
    <hyperlink ref="Y767" r:id="rId727" xr:uid="{07E6514A-9E77-4478-AA90-BD963A1257AC}"/>
    <hyperlink ref="Y766" r:id="rId728" xr:uid="{D99EDF6A-50EC-4566-AE1D-7895C75F5A52}"/>
    <hyperlink ref="Y718" r:id="rId729" xr:uid="{5B305A7E-BBAF-4FC0-8532-A91BED791FC0}"/>
    <hyperlink ref="X714" r:id="rId730" xr:uid="{7BBF4358-6751-4123-B2BC-7D9A180C122E}"/>
    <hyperlink ref="X721" r:id="rId731" xr:uid="{11BA6579-A4BE-49E6-9819-6E8909A69985}"/>
    <hyperlink ref="Y721" r:id="rId732" xr:uid="{662EB697-F7A6-47B1-A9DE-A3245ADB25FD}"/>
    <hyperlink ref="X624" r:id="rId733" xr:uid="{7B5AC973-56FB-45BC-BB84-F49664B92035}"/>
    <hyperlink ref="Y156" r:id="rId734" xr:uid="{BE9D32D7-9EB2-426A-9EAE-B6D3C0EC1BE1}"/>
    <hyperlink ref="Y688" r:id="rId735" xr:uid="{BD54DBB3-8827-493B-9279-3EF952E5518A}"/>
    <hyperlink ref="X775" r:id="rId736" xr:uid="{2D70E065-F742-4ED4-93AF-71BE965BFBA4}"/>
    <hyperlink ref="Y159" r:id="rId737" xr:uid="{5B20A675-5078-4C4C-A47A-4D500CAD424A}"/>
    <hyperlink ref="Y388" r:id="rId738" xr:uid="{5F0AEBB0-BB66-47CB-929B-6D7AF0F49A54}"/>
    <hyperlink ref="Z388" r:id="rId739" xr:uid="{3516855C-048D-4FD8-9ACA-4EF068BCEB09}"/>
    <hyperlink ref="Y470" r:id="rId740" xr:uid="{15991EA3-9A92-4D29-936B-A56198AB0F35}"/>
    <hyperlink ref="X303" r:id="rId741" xr:uid="{589AC978-7748-483E-8C1A-6633F5918041}"/>
    <hyperlink ref="Y793" r:id="rId742" xr:uid="{39B6D2DE-00B1-4ABD-BCC6-DE68FF302E5E}"/>
    <hyperlink ref="Y261" r:id="rId743" xr:uid="{D4AD8C3B-C712-497F-A43C-CC78692DC625}"/>
  </hyperlinks>
  <pageMargins left="0.31" right="0.23" top="0.44" bottom="0.26" header="0.34" footer="0.18"/>
  <pageSetup orientation="portrait" r:id="rId744"/>
  <headerFooter alignWithMargins="0"/>
  <legacyDrawing r:id="rId74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E1794"/>
  <sheetViews>
    <sheetView topLeftCell="A133" zoomScale="120" zoomScaleNormal="120" workbookViewId="0">
      <selection activeCell="A151" sqref="A151"/>
    </sheetView>
  </sheetViews>
  <sheetFormatPr defaultRowHeight="12.5" x14ac:dyDescent="0.25"/>
  <cols>
    <col min="1" max="1" width="17.54296875" customWidth="1"/>
    <col min="3" max="3" width="13.26953125" customWidth="1"/>
  </cols>
  <sheetData>
    <row r="1" spans="1:5" ht="13" x14ac:dyDescent="0.3">
      <c r="A1" s="47" t="s">
        <v>5795</v>
      </c>
      <c r="E1" s="333">
        <v>45748</v>
      </c>
    </row>
    <row r="2" spans="1:5" ht="13" x14ac:dyDescent="0.3">
      <c r="A2" s="47"/>
      <c r="E2" s="334"/>
    </row>
    <row r="3" spans="1:5" x14ac:dyDescent="0.25">
      <c r="A3" t="s">
        <v>5796</v>
      </c>
      <c r="B3" t="s">
        <v>32</v>
      </c>
      <c r="C3" t="s">
        <v>5797</v>
      </c>
      <c r="D3" t="s">
        <v>5798</v>
      </c>
      <c r="E3" t="s">
        <v>5799</v>
      </c>
    </row>
    <row r="5" spans="1:5" x14ac:dyDescent="0.25">
      <c r="A5" t="s">
        <v>5800</v>
      </c>
      <c r="B5">
        <v>7.7499999999999999E-2</v>
      </c>
      <c r="C5" t="s">
        <v>5801</v>
      </c>
      <c r="D5" t="s">
        <v>75</v>
      </c>
    </row>
    <row r="6" spans="1:5" x14ac:dyDescent="0.25">
      <c r="A6" t="s">
        <v>5802</v>
      </c>
      <c r="B6">
        <v>9.5000000000000001E-2</v>
      </c>
      <c r="C6" t="s">
        <v>1399</v>
      </c>
      <c r="D6" t="s">
        <v>75</v>
      </c>
    </row>
    <row r="7" spans="1:5" x14ac:dyDescent="0.25">
      <c r="A7" t="s">
        <v>324</v>
      </c>
      <c r="B7">
        <v>0.1075</v>
      </c>
      <c r="C7" t="s">
        <v>324</v>
      </c>
      <c r="D7" t="s">
        <v>75</v>
      </c>
    </row>
    <row r="8" spans="1:5" x14ac:dyDescent="0.25">
      <c r="A8" t="s">
        <v>5803</v>
      </c>
      <c r="B8">
        <v>0.10249999999999999</v>
      </c>
      <c r="C8" t="s">
        <v>324</v>
      </c>
      <c r="D8" t="s">
        <v>5797</v>
      </c>
    </row>
    <row r="9" spans="1:5" x14ac:dyDescent="0.25">
      <c r="A9" t="s">
        <v>5344</v>
      </c>
      <c r="B9">
        <v>0.1075</v>
      </c>
      <c r="C9" t="s">
        <v>324</v>
      </c>
      <c r="D9" t="s">
        <v>75</v>
      </c>
    </row>
    <row r="10" spans="1:5" x14ac:dyDescent="0.25">
      <c r="A10" t="s">
        <v>5804</v>
      </c>
      <c r="B10">
        <v>0.105</v>
      </c>
      <c r="C10" t="s">
        <v>1399</v>
      </c>
      <c r="D10" t="s">
        <v>75</v>
      </c>
    </row>
    <row r="11" spans="1:5" x14ac:dyDescent="0.25">
      <c r="A11" t="s">
        <v>5805</v>
      </c>
      <c r="B11">
        <v>7.7499999999999999E-2</v>
      </c>
      <c r="C11" t="s">
        <v>5806</v>
      </c>
      <c r="D11" t="s">
        <v>75</v>
      </c>
    </row>
    <row r="12" spans="1:5" x14ac:dyDescent="0.25">
      <c r="A12" t="s">
        <v>5807</v>
      </c>
      <c r="B12">
        <v>7.2499999999999995E-2</v>
      </c>
      <c r="C12" t="s">
        <v>5808</v>
      </c>
      <c r="D12" t="s">
        <v>5797</v>
      </c>
    </row>
    <row r="13" spans="1:5" x14ac:dyDescent="0.25">
      <c r="A13" t="s">
        <v>5809</v>
      </c>
      <c r="B13">
        <v>7.2499999999999995E-2</v>
      </c>
      <c r="C13" t="s">
        <v>5810</v>
      </c>
      <c r="D13" t="s">
        <v>75</v>
      </c>
    </row>
    <row r="14" spans="1:5" x14ac:dyDescent="0.25">
      <c r="A14" t="s">
        <v>5811</v>
      </c>
      <c r="B14">
        <v>7.7499999999999999E-2</v>
      </c>
      <c r="C14" t="s">
        <v>5812</v>
      </c>
      <c r="D14" t="s">
        <v>75</v>
      </c>
    </row>
    <row r="15" spans="1:5" x14ac:dyDescent="0.25">
      <c r="A15" t="s">
        <v>5813</v>
      </c>
      <c r="B15">
        <v>7.7499999999999999E-2</v>
      </c>
      <c r="C15" t="s">
        <v>5812</v>
      </c>
      <c r="D15" t="s">
        <v>5797</v>
      </c>
    </row>
    <row r="16" spans="1:5" x14ac:dyDescent="0.25">
      <c r="A16" t="s">
        <v>3331</v>
      </c>
      <c r="B16">
        <v>7.7499999999999999E-2</v>
      </c>
      <c r="C16" t="s">
        <v>1492</v>
      </c>
      <c r="D16" t="s">
        <v>75</v>
      </c>
    </row>
    <row r="17" spans="1:4" x14ac:dyDescent="0.25">
      <c r="A17" t="s">
        <v>366</v>
      </c>
      <c r="B17">
        <v>7.7499999999999999E-2</v>
      </c>
      <c r="C17" t="s">
        <v>5806</v>
      </c>
      <c r="D17" t="s">
        <v>75</v>
      </c>
    </row>
    <row r="18" spans="1:4" x14ac:dyDescent="0.25">
      <c r="A18" t="s">
        <v>5814</v>
      </c>
      <c r="B18">
        <v>7.7499999999999999E-2</v>
      </c>
      <c r="C18" t="s">
        <v>5815</v>
      </c>
      <c r="D18" t="s">
        <v>75</v>
      </c>
    </row>
    <row r="19" spans="1:4" x14ac:dyDescent="0.25">
      <c r="A19" t="s">
        <v>5816</v>
      </c>
      <c r="B19">
        <v>7.7499999999999999E-2</v>
      </c>
      <c r="C19" t="s">
        <v>5817</v>
      </c>
      <c r="D19" t="s">
        <v>75</v>
      </c>
    </row>
    <row r="20" spans="1:4" x14ac:dyDescent="0.25">
      <c r="A20" t="s">
        <v>2934</v>
      </c>
      <c r="B20">
        <v>9.7500000000000003E-2</v>
      </c>
      <c r="C20" t="s">
        <v>5818</v>
      </c>
      <c r="D20" t="s">
        <v>75</v>
      </c>
    </row>
    <row r="21" spans="1:4" x14ac:dyDescent="0.25">
      <c r="A21" t="s">
        <v>5819</v>
      </c>
      <c r="B21">
        <v>8.7499999999999994E-2</v>
      </c>
      <c r="C21" t="s">
        <v>5801</v>
      </c>
      <c r="D21" t="s">
        <v>75</v>
      </c>
    </row>
    <row r="22" spans="1:4" x14ac:dyDescent="0.25">
      <c r="A22" t="s">
        <v>5820</v>
      </c>
      <c r="B22">
        <v>0.105</v>
      </c>
      <c r="C22" t="s">
        <v>1399</v>
      </c>
      <c r="D22" t="s">
        <v>75</v>
      </c>
    </row>
    <row r="23" spans="1:4" x14ac:dyDescent="0.25">
      <c r="A23" t="s">
        <v>1115</v>
      </c>
      <c r="B23">
        <v>0.10249999999999999</v>
      </c>
      <c r="C23" t="s">
        <v>5821</v>
      </c>
      <c r="D23" t="s">
        <v>75</v>
      </c>
    </row>
    <row r="24" spans="1:4" x14ac:dyDescent="0.25">
      <c r="A24" t="s">
        <v>5822</v>
      </c>
      <c r="B24">
        <v>8.7499999999999994E-2</v>
      </c>
      <c r="C24" t="s">
        <v>5823</v>
      </c>
      <c r="D24" t="s">
        <v>75</v>
      </c>
    </row>
    <row r="25" spans="1:4" x14ac:dyDescent="0.25">
      <c r="A25" t="s">
        <v>5824</v>
      </c>
      <c r="B25">
        <v>0.105</v>
      </c>
      <c r="C25" t="s">
        <v>1399</v>
      </c>
      <c r="D25" t="s">
        <v>75</v>
      </c>
    </row>
    <row r="26" spans="1:4" x14ac:dyDescent="0.25">
      <c r="A26" t="s">
        <v>5825</v>
      </c>
      <c r="B26">
        <v>8.2500000000000004E-2</v>
      </c>
      <c r="C26" t="s">
        <v>5826</v>
      </c>
      <c r="D26" t="s">
        <v>75</v>
      </c>
    </row>
    <row r="27" spans="1:4" x14ac:dyDescent="0.25">
      <c r="A27" t="s">
        <v>5827</v>
      </c>
      <c r="B27">
        <v>8.7499999999999994E-2</v>
      </c>
      <c r="C27" t="s">
        <v>5823</v>
      </c>
      <c r="D27" t="s">
        <v>75</v>
      </c>
    </row>
    <row r="28" spans="1:4" x14ac:dyDescent="0.25">
      <c r="A28" t="s">
        <v>5828</v>
      </c>
      <c r="B28">
        <v>9.375E-2</v>
      </c>
      <c r="C28" t="s">
        <v>1208</v>
      </c>
      <c r="D28" t="s">
        <v>75</v>
      </c>
    </row>
    <row r="29" spans="1:4" x14ac:dyDescent="0.25">
      <c r="A29" t="s">
        <v>5829</v>
      </c>
      <c r="B29">
        <v>8.7499999999999994E-2</v>
      </c>
      <c r="C29" t="s">
        <v>5830</v>
      </c>
      <c r="D29" t="s">
        <v>75</v>
      </c>
    </row>
    <row r="30" spans="1:4" x14ac:dyDescent="0.25">
      <c r="A30" t="s">
        <v>2213</v>
      </c>
      <c r="B30">
        <v>7.2499999999999995E-2</v>
      </c>
      <c r="C30" t="s">
        <v>2208</v>
      </c>
      <c r="D30" t="s">
        <v>75</v>
      </c>
    </row>
    <row r="31" spans="1:4" x14ac:dyDescent="0.25">
      <c r="A31" t="s">
        <v>5831</v>
      </c>
      <c r="B31">
        <v>0.10249999999999999</v>
      </c>
      <c r="C31" t="s">
        <v>1399</v>
      </c>
      <c r="D31" t="s">
        <v>75</v>
      </c>
    </row>
    <row r="32" spans="1:4" x14ac:dyDescent="0.25">
      <c r="A32" t="s">
        <v>5832</v>
      </c>
      <c r="B32">
        <v>8.2500000000000004E-2</v>
      </c>
      <c r="C32" t="s">
        <v>5833</v>
      </c>
      <c r="D32" t="s">
        <v>75</v>
      </c>
    </row>
    <row r="33" spans="1:4" x14ac:dyDescent="0.25">
      <c r="A33" t="s">
        <v>5834</v>
      </c>
      <c r="B33">
        <v>0.1075</v>
      </c>
      <c r="C33" t="s">
        <v>1399</v>
      </c>
      <c r="D33" t="s">
        <v>75</v>
      </c>
    </row>
    <row r="34" spans="1:4" x14ac:dyDescent="0.25">
      <c r="A34" t="s">
        <v>5835</v>
      </c>
      <c r="B34">
        <v>8.2500000000000004E-2</v>
      </c>
      <c r="C34" t="s">
        <v>5826</v>
      </c>
      <c r="D34" t="s">
        <v>75</v>
      </c>
    </row>
    <row r="35" spans="1:4" x14ac:dyDescent="0.25">
      <c r="A35" t="s">
        <v>5836</v>
      </c>
      <c r="B35">
        <v>0.105</v>
      </c>
      <c r="C35" t="s">
        <v>1399</v>
      </c>
      <c r="D35" t="s">
        <v>75</v>
      </c>
    </row>
    <row r="36" spans="1:4" x14ac:dyDescent="0.25">
      <c r="A36" t="s">
        <v>5837</v>
      </c>
      <c r="B36">
        <v>7.7499999999999999E-2</v>
      </c>
      <c r="C36" t="s">
        <v>439</v>
      </c>
      <c r="D36" t="s">
        <v>75</v>
      </c>
    </row>
    <row r="37" spans="1:4" x14ac:dyDescent="0.25">
      <c r="A37" t="s">
        <v>5838</v>
      </c>
      <c r="B37">
        <v>8.7499999999999994E-2</v>
      </c>
      <c r="C37" t="s">
        <v>5801</v>
      </c>
      <c r="D37" t="s">
        <v>75</v>
      </c>
    </row>
    <row r="38" spans="1:4" x14ac:dyDescent="0.25">
      <c r="A38" t="s">
        <v>5839</v>
      </c>
      <c r="B38">
        <v>7.7499999999999999E-2</v>
      </c>
      <c r="C38" t="s">
        <v>439</v>
      </c>
      <c r="D38" t="s">
        <v>75</v>
      </c>
    </row>
    <row r="39" spans="1:4" x14ac:dyDescent="0.25">
      <c r="A39" t="s">
        <v>5840</v>
      </c>
      <c r="B39">
        <v>9.5000000000000001E-2</v>
      </c>
      <c r="C39" t="s">
        <v>1399</v>
      </c>
      <c r="D39" t="s">
        <v>75</v>
      </c>
    </row>
    <row r="40" spans="1:4" x14ac:dyDescent="0.25">
      <c r="A40" t="s">
        <v>5841</v>
      </c>
      <c r="B40">
        <v>0.105</v>
      </c>
      <c r="C40" t="s">
        <v>1399</v>
      </c>
      <c r="D40" t="s">
        <v>75</v>
      </c>
    </row>
    <row r="41" spans="1:4" x14ac:dyDescent="0.25">
      <c r="A41" t="s">
        <v>5842</v>
      </c>
      <c r="B41">
        <v>0.105</v>
      </c>
      <c r="C41" t="s">
        <v>1399</v>
      </c>
      <c r="D41" t="s">
        <v>75</v>
      </c>
    </row>
    <row r="42" spans="1:4" x14ac:dyDescent="0.25">
      <c r="A42" t="s">
        <v>4371</v>
      </c>
      <c r="B42">
        <v>9.8750000000000004E-2</v>
      </c>
      <c r="C42" t="s">
        <v>1208</v>
      </c>
      <c r="D42" t="s">
        <v>75</v>
      </c>
    </row>
    <row r="43" spans="1:4" x14ac:dyDescent="0.25">
      <c r="A43" t="s">
        <v>5843</v>
      </c>
      <c r="B43">
        <v>8.2500000000000004E-2</v>
      </c>
      <c r="C43" t="s">
        <v>759</v>
      </c>
      <c r="D43" t="s">
        <v>75</v>
      </c>
    </row>
    <row r="44" spans="1:4" x14ac:dyDescent="0.25">
      <c r="A44" t="s">
        <v>2389</v>
      </c>
      <c r="B44">
        <v>9.6250000000000002E-2</v>
      </c>
      <c r="C44" t="s">
        <v>5844</v>
      </c>
      <c r="D44" t="s">
        <v>75</v>
      </c>
    </row>
    <row r="45" spans="1:4" x14ac:dyDescent="0.25">
      <c r="A45" t="s">
        <v>641</v>
      </c>
      <c r="B45">
        <v>0.10249999999999999</v>
      </c>
      <c r="C45" t="s">
        <v>324</v>
      </c>
      <c r="D45" t="s">
        <v>75</v>
      </c>
    </row>
    <row r="46" spans="1:4" x14ac:dyDescent="0.25">
      <c r="A46" t="s">
        <v>5845</v>
      </c>
      <c r="B46">
        <v>9.5000000000000001E-2</v>
      </c>
      <c r="C46" t="s">
        <v>1399</v>
      </c>
      <c r="D46" t="s">
        <v>75</v>
      </c>
    </row>
    <row r="47" spans="1:4" x14ac:dyDescent="0.25">
      <c r="A47" t="s">
        <v>5846</v>
      </c>
      <c r="B47">
        <v>7.7499999999999999E-2</v>
      </c>
      <c r="C47" t="s">
        <v>5801</v>
      </c>
      <c r="D47" t="s">
        <v>75</v>
      </c>
    </row>
    <row r="48" spans="1:4" x14ac:dyDescent="0.25">
      <c r="A48" t="s">
        <v>5847</v>
      </c>
      <c r="B48">
        <v>7.2499999999999995E-2</v>
      </c>
      <c r="C48" t="s">
        <v>5848</v>
      </c>
      <c r="D48" t="s">
        <v>75</v>
      </c>
    </row>
    <row r="49" spans="1:4" x14ac:dyDescent="0.25">
      <c r="A49" t="s">
        <v>5849</v>
      </c>
      <c r="B49">
        <v>8.7499999999999994E-2</v>
      </c>
      <c r="C49" t="s">
        <v>5850</v>
      </c>
      <c r="D49" t="s">
        <v>75</v>
      </c>
    </row>
    <row r="50" spans="1:4" x14ac:dyDescent="0.25">
      <c r="A50" t="s">
        <v>5851</v>
      </c>
      <c r="B50">
        <v>9.7500000000000003E-2</v>
      </c>
      <c r="C50" t="s">
        <v>5821</v>
      </c>
      <c r="D50" t="s">
        <v>75</v>
      </c>
    </row>
    <row r="51" spans="1:4" x14ac:dyDescent="0.25">
      <c r="A51" t="s">
        <v>5852</v>
      </c>
      <c r="B51">
        <v>8.7499999999999994E-2</v>
      </c>
      <c r="C51" t="s">
        <v>439</v>
      </c>
      <c r="D51" t="s">
        <v>75</v>
      </c>
    </row>
    <row r="52" spans="1:4" x14ac:dyDescent="0.25">
      <c r="A52" t="s">
        <v>5853</v>
      </c>
      <c r="B52">
        <v>9.5000000000000001E-2</v>
      </c>
      <c r="C52" t="s">
        <v>1399</v>
      </c>
      <c r="D52" t="s">
        <v>75</v>
      </c>
    </row>
    <row r="53" spans="1:4" x14ac:dyDescent="0.25">
      <c r="A53" t="s">
        <v>5854</v>
      </c>
      <c r="B53">
        <v>8.7499999999999994E-2</v>
      </c>
      <c r="C53" t="s">
        <v>5855</v>
      </c>
      <c r="D53" t="s">
        <v>75</v>
      </c>
    </row>
    <row r="54" spans="1:4" x14ac:dyDescent="0.25">
      <c r="A54" t="s">
        <v>5856</v>
      </c>
      <c r="B54">
        <v>7.7499999999999999E-2</v>
      </c>
      <c r="C54" t="s">
        <v>5806</v>
      </c>
      <c r="D54" t="s">
        <v>75</v>
      </c>
    </row>
    <row r="55" spans="1:4" x14ac:dyDescent="0.25">
      <c r="A55" t="s">
        <v>1558</v>
      </c>
      <c r="B55">
        <v>8.7499999999999994E-2</v>
      </c>
      <c r="C55" t="s">
        <v>5818</v>
      </c>
      <c r="D55" t="s">
        <v>75</v>
      </c>
    </row>
    <row r="56" spans="1:4" x14ac:dyDescent="0.25">
      <c r="A56" t="s">
        <v>4319</v>
      </c>
      <c r="B56">
        <v>9.8750000000000004E-2</v>
      </c>
      <c r="C56" t="s">
        <v>1208</v>
      </c>
      <c r="D56" t="s">
        <v>75</v>
      </c>
    </row>
    <row r="57" spans="1:4" x14ac:dyDescent="0.25">
      <c r="A57" t="s">
        <v>5857</v>
      </c>
      <c r="B57">
        <v>7.7499999999999999E-2</v>
      </c>
      <c r="C57" t="s">
        <v>2914</v>
      </c>
      <c r="D57" t="s">
        <v>75</v>
      </c>
    </row>
    <row r="58" spans="1:4" x14ac:dyDescent="0.25">
      <c r="A58" t="s">
        <v>5858</v>
      </c>
      <c r="B58">
        <v>8.7499999999999994E-2</v>
      </c>
      <c r="C58" t="s">
        <v>5806</v>
      </c>
      <c r="D58" t="s">
        <v>75</v>
      </c>
    </row>
    <row r="59" spans="1:4" x14ac:dyDescent="0.25">
      <c r="A59" t="s">
        <v>5859</v>
      </c>
      <c r="B59">
        <v>0.105</v>
      </c>
      <c r="C59" t="s">
        <v>1399</v>
      </c>
      <c r="D59" t="s">
        <v>75</v>
      </c>
    </row>
    <row r="60" spans="1:4" x14ac:dyDescent="0.25">
      <c r="A60" t="s">
        <v>282</v>
      </c>
      <c r="B60">
        <v>9.6250000000000002E-2</v>
      </c>
      <c r="C60" t="s">
        <v>1208</v>
      </c>
      <c r="D60" t="s">
        <v>75</v>
      </c>
    </row>
    <row r="61" spans="1:4" x14ac:dyDescent="0.25">
      <c r="A61" t="s">
        <v>5860</v>
      </c>
      <c r="B61">
        <v>8.2500000000000004E-2</v>
      </c>
      <c r="C61" t="s">
        <v>5848</v>
      </c>
      <c r="D61" t="s">
        <v>5797</v>
      </c>
    </row>
    <row r="62" spans="1:4" x14ac:dyDescent="0.25">
      <c r="A62" t="s">
        <v>5861</v>
      </c>
      <c r="B62">
        <v>9.5000000000000001E-2</v>
      </c>
      <c r="C62" t="s">
        <v>1399</v>
      </c>
      <c r="D62" t="s">
        <v>75</v>
      </c>
    </row>
    <row r="63" spans="1:4" x14ac:dyDescent="0.25">
      <c r="A63" t="s">
        <v>5862</v>
      </c>
      <c r="B63">
        <v>7.2499999999999995E-2</v>
      </c>
      <c r="C63" t="s">
        <v>5817</v>
      </c>
      <c r="D63" t="s">
        <v>5797</v>
      </c>
    </row>
    <row r="64" spans="1:4" x14ac:dyDescent="0.25">
      <c r="A64" t="s">
        <v>5863</v>
      </c>
      <c r="B64">
        <v>8.2500000000000004E-2</v>
      </c>
      <c r="C64" t="s">
        <v>5855</v>
      </c>
      <c r="D64" t="s">
        <v>75</v>
      </c>
    </row>
    <row r="65" spans="1:4" x14ac:dyDescent="0.25">
      <c r="A65" t="s">
        <v>5864</v>
      </c>
      <c r="B65">
        <v>7.2499999999999995E-2</v>
      </c>
      <c r="C65" t="s">
        <v>5826</v>
      </c>
      <c r="D65" t="s">
        <v>75</v>
      </c>
    </row>
    <row r="66" spans="1:4" x14ac:dyDescent="0.25">
      <c r="A66" t="s">
        <v>5865</v>
      </c>
      <c r="B66">
        <v>7.7499999999999999E-2</v>
      </c>
      <c r="C66" t="s">
        <v>439</v>
      </c>
      <c r="D66" t="s">
        <v>75</v>
      </c>
    </row>
    <row r="67" spans="1:4" x14ac:dyDescent="0.25">
      <c r="A67" t="s">
        <v>5866</v>
      </c>
      <c r="B67">
        <v>7.7499999999999999E-2</v>
      </c>
      <c r="C67" t="s">
        <v>5855</v>
      </c>
      <c r="D67" t="s">
        <v>75</v>
      </c>
    </row>
    <row r="68" spans="1:4" x14ac:dyDescent="0.25">
      <c r="A68" t="s">
        <v>909</v>
      </c>
      <c r="B68">
        <v>7.7499999999999999E-2</v>
      </c>
      <c r="C68" t="s">
        <v>1492</v>
      </c>
      <c r="D68" t="s">
        <v>75</v>
      </c>
    </row>
    <row r="69" spans="1:4" x14ac:dyDescent="0.25">
      <c r="A69" t="s">
        <v>4706</v>
      </c>
      <c r="B69">
        <v>7.2499999999999995E-2</v>
      </c>
      <c r="C69" t="s">
        <v>4704</v>
      </c>
      <c r="D69" t="s">
        <v>75</v>
      </c>
    </row>
    <row r="70" spans="1:4" x14ac:dyDescent="0.25">
      <c r="A70" t="s">
        <v>5867</v>
      </c>
      <c r="B70">
        <v>9.8750000000000004E-2</v>
      </c>
      <c r="C70" t="s">
        <v>2595</v>
      </c>
      <c r="D70" t="s">
        <v>75</v>
      </c>
    </row>
    <row r="71" spans="1:4" x14ac:dyDescent="0.25">
      <c r="A71" t="s">
        <v>5868</v>
      </c>
      <c r="B71">
        <v>7.7499999999999999E-2</v>
      </c>
      <c r="C71" t="s">
        <v>439</v>
      </c>
      <c r="D71" t="s">
        <v>75</v>
      </c>
    </row>
    <row r="72" spans="1:4" x14ac:dyDescent="0.25">
      <c r="A72" t="s">
        <v>5869</v>
      </c>
      <c r="B72">
        <v>9.2499999999999999E-2</v>
      </c>
      <c r="C72" t="s">
        <v>249</v>
      </c>
      <c r="D72" t="s">
        <v>75</v>
      </c>
    </row>
    <row r="73" spans="1:4" x14ac:dyDescent="0.25">
      <c r="A73" t="s">
        <v>5870</v>
      </c>
      <c r="B73">
        <v>7.7499999999999999E-2</v>
      </c>
      <c r="C73" t="s">
        <v>5871</v>
      </c>
      <c r="D73" t="s">
        <v>75</v>
      </c>
    </row>
    <row r="74" spans="1:4" x14ac:dyDescent="0.25">
      <c r="A74" t="s">
        <v>5872</v>
      </c>
      <c r="B74">
        <v>9.2499999999999999E-2</v>
      </c>
      <c r="C74" t="s">
        <v>529</v>
      </c>
      <c r="D74" t="s">
        <v>75</v>
      </c>
    </row>
    <row r="75" spans="1:4" x14ac:dyDescent="0.25">
      <c r="A75" t="s">
        <v>5873</v>
      </c>
      <c r="B75">
        <v>0.09</v>
      </c>
      <c r="C75" t="s">
        <v>2914</v>
      </c>
      <c r="D75" t="s">
        <v>75</v>
      </c>
    </row>
    <row r="76" spans="1:4" x14ac:dyDescent="0.25">
      <c r="A76" t="s">
        <v>5874</v>
      </c>
      <c r="B76">
        <v>0.105</v>
      </c>
      <c r="C76" t="s">
        <v>1399</v>
      </c>
      <c r="D76" t="s">
        <v>75</v>
      </c>
    </row>
    <row r="77" spans="1:4" x14ac:dyDescent="0.25">
      <c r="A77" t="s">
        <v>5875</v>
      </c>
      <c r="B77">
        <v>9.2499999999999999E-2</v>
      </c>
      <c r="C77" t="s">
        <v>439</v>
      </c>
      <c r="D77" t="s">
        <v>75</v>
      </c>
    </row>
    <row r="78" spans="1:4" x14ac:dyDescent="0.25">
      <c r="A78" t="s">
        <v>2433</v>
      </c>
      <c r="B78">
        <v>8.3750000000000005E-2</v>
      </c>
      <c r="C78" t="s">
        <v>5876</v>
      </c>
      <c r="D78" t="s">
        <v>75</v>
      </c>
    </row>
    <row r="79" spans="1:4" x14ac:dyDescent="0.25">
      <c r="A79" t="s">
        <v>5877</v>
      </c>
      <c r="B79">
        <v>9.5000000000000001E-2</v>
      </c>
      <c r="C79" t="s">
        <v>1399</v>
      </c>
      <c r="D79" t="s">
        <v>75</v>
      </c>
    </row>
    <row r="80" spans="1:4" x14ac:dyDescent="0.25">
      <c r="A80" t="s">
        <v>156</v>
      </c>
      <c r="B80">
        <v>9.2499999999999999E-2</v>
      </c>
      <c r="C80" t="s">
        <v>5848</v>
      </c>
      <c r="D80" t="s">
        <v>75</v>
      </c>
    </row>
    <row r="81" spans="1:4" x14ac:dyDescent="0.25">
      <c r="A81" t="s">
        <v>5878</v>
      </c>
      <c r="B81">
        <v>7.7499999999999999E-2</v>
      </c>
      <c r="C81" t="s">
        <v>5801</v>
      </c>
      <c r="D81" t="s">
        <v>75</v>
      </c>
    </row>
    <row r="82" spans="1:4" x14ac:dyDescent="0.25">
      <c r="A82" t="s">
        <v>5879</v>
      </c>
      <c r="B82">
        <v>7.7499999999999999E-2</v>
      </c>
      <c r="C82" t="s">
        <v>5801</v>
      </c>
      <c r="D82" t="s">
        <v>75</v>
      </c>
    </row>
    <row r="83" spans="1:4" x14ac:dyDescent="0.25">
      <c r="A83" t="s">
        <v>5880</v>
      </c>
      <c r="B83">
        <v>8.7499999999999994E-2</v>
      </c>
      <c r="C83" t="s">
        <v>5881</v>
      </c>
      <c r="D83" t="s">
        <v>75</v>
      </c>
    </row>
    <row r="84" spans="1:4" x14ac:dyDescent="0.25">
      <c r="A84" t="s">
        <v>5882</v>
      </c>
      <c r="B84">
        <v>8.7499999999999994E-2</v>
      </c>
      <c r="C84" t="s">
        <v>5871</v>
      </c>
      <c r="D84" t="s">
        <v>75</v>
      </c>
    </row>
    <row r="85" spans="1:4" x14ac:dyDescent="0.25">
      <c r="A85" t="s">
        <v>3947</v>
      </c>
      <c r="B85">
        <v>7.7499999999999999E-2</v>
      </c>
      <c r="C85" t="s">
        <v>311</v>
      </c>
      <c r="D85" t="s">
        <v>75</v>
      </c>
    </row>
    <row r="86" spans="1:4" x14ac:dyDescent="0.25">
      <c r="A86" t="s">
        <v>5883</v>
      </c>
      <c r="B86">
        <v>0.105</v>
      </c>
      <c r="C86" t="s">
        <v>1399</v>
      </c>
      <c r="D86" t="s">
        <v>75</v>
      </c>
    </row>
    <row r="87" spans="1:4" x14ac:dyDescent="0.25">
      <c r="A87" t="s">
        <v>5884</v>
      </c>
      <c r="B87">
        <v>9.5000000000000001E-2</v>
      </c>
      <c r="C87" t="s">
        <v>1399</v>
      </c>
      <c r="D87" t="s">
        <v>75</v>
      </c>
    </row>
    <row r="88" spans="1:4" x14ac:dyDescent="0.25">
      <c r="A88" t="s">
        <v>5885</v>
      </c>
      <c r="B88">
        <v>9.5000000000000001E-2</v>
      </c>
      <c r="C88" t="s">
        <v>1399</v>
      </c>
      <c r="D88" t="s">
        <v>75</v>
      </c>
    </row>
    <row r="89" spans="1:4" x14ac:dyDescent="0.25">
      <c r="A89" t="s">
        <v>5886</v>
      </c>
      <c r="B89">
        <v>8.7499999999999994E-2</v>
      </c>
      <c r="C89" t="s">
        <v>5818</v>
      </c>
      <c r="D89" t="s">
        <v>75</v>
      </c>
    </row>
    <row r="90" spans="1:4" x14ac:dyDescent="0.25">
      <c r="A90" t="s">
        <v>5887</v>
      </c>
      <c r="B90">
        <v>8.7499999999999994E-2</v>
      </c>
      <c r="C90" t="s">
        <v>5888</v>
      </c>
      <c r="D90" t="s">
        <v>75</v>
      </c>
    </row>
    <row r="91" spans="1:4" x14ac:dyDescent="0.25">
      <c r="A91" t="s">
        <v>5889</v>
      </c>
      <c r="B91">
        <v>0.1</v>
      </c>
      <c r="C91" t="s">
        <v>869</v>
      </c>
      <c r="D91" t="s">
        <v>75</v>
      </c>
    </row>
    <row r="92" spans="1:4" x14ac:dyDescent="0.25">
      <c r="A92" t="s">
        <v>5890</v>
      </c>
      <c r="B92">
        <v>8.9749999999999996E-2</v>
      </c>
      <c r="C92" t="s">
        <v>560</v>
      </c>
      <c r="D92" t="s">
        <v>75</v>
      </c>
    </row>
    <row r="93" spans="1:4" x14ac:dyDescent="0.25">
      <c r="A93" t="s">
        <v>5891</v>
      </c>
      <c r="B93">
        <v>8.7499999999999994E-2</v>
      </c>
      <c r="C93" t="s">
        <v>439</v>
      </c>
      <c r="D93" t="s">
        <v>75</v>
      </c>
    </row>
    <row r="94" spans="1:4" x14ac:dyDescent="0.25">
      <c r="A94" t="s">
        <v>5892</v>
      </c>
      <c r="B94">
        <v>8.9749999999999996E-2</v>
      </c>
      <c r="C94" t="s">
        <v>560</v>
      </c>
      <c r="D94" t="s">
        <v>75</v>
      </c>
    </row>
    <row r="95" spans="1:4" x14ac:dyDescent="0.25">
      <c r="A95" t="s">
        <v>5893</v>
      </c>
      <c r="B95">
        <v>7.2499999999999995E-2</v>
      </c>
      <c r="C95" t="s">
        <v>2208</v>
      </c>
      <c r="D95" t="s">
        <v>75</v>
      </c>
    </row>
    <row r="96" spans="1:4" x14ac:dyDescent="0.25">
      <c r="A96" t="s">
        <v>5894</v>
      </c>
      <c r="B96">
        <v>9.375E-2</v>
      </c>
      <c r="C96" t="s">
        <v>1208</v>
      </c>
      <c r="D96" t="s">
        <v>75</v>
      </c>
    </row>
    <row r="97" spans="1:4" x14ac:dyDescent="0.25">
      <c r="A97" t="s">
        <v>5895</v>
      </c>
      <c r="B97">
        <v>8.7499999999999994E-2</v>
      </c>
      <c r="C97" t="s">
        <v>5801</v>
      </c>
      <c r="D97" t="s">
        <v>75</v>
      </c>
    </row>
    <row r="98" spans="1:4" x14ac:dyDescent="0.25">
      <c r="A98" t="s">
        <v>5896</v>
      </c>
      <c r="B98">
        <v>8.7499999999999994E-2</v>
      </c>
      <c r="C98" t="s">
        <v>5896</v>
      </c>
      <c r="D98" t="s">
        <v>75</v>
      </c>
    </row>
    <row r="99" spans="1:4" x14ac:dyDescent="0.25">
      <c r="A99" t="s">
        <v>5897</v>
      </c>
      <c r="B99">
        <v>7.7499999999999999E-2</v>
      </c>
      <c r="C99" t="s">
        <v>5896</v>
      </c>
      <c r="D99" t="s">
        <v>5797</v>
      </c>
    </row>
    <row r="100" spans="1:4" x14ac:dyDescent="0.25">
      <c r="A100" t="s">
        <v>5898</v>
      </c>
      <c r="B100">
        <v>0.1075</v>
      </c>
      <c r="C100" t="s">
        <v>1399</v>
      </c>
      <c r="D100" t="s">
        <v>75</v>
      </c>
    </row>
    <row r="101" spans="1:4" x14ac:dyDescent="0.25">
      <c r="A101" t="s">
        <v>138</v>
      </c>
      <c r="B101">
        <v>9.7500000000000003E-2</v>
      </c>
      <c r="C101" t="s">
        <v>5818</v>
      </c>
      <c r="D101" t="s">
        <v>75</v>
      </c>
    </row>
    <row r="102" spans="1:4" x14ac:dyDescent="0.25">
      <c r="A102" t="s">
        <v>5899</v>
      </c>
      <c r="B102">
        <v>8.7499999999999994E-2</v>
      </c>
      <c r="C102" t="s">
        <v>5818</v>
      </c>
      <c r="D102" t="s">
        <v>5797</v>
      </c>
    </row>
    <row r="103" spans="1:4" x14ac:dyDescent="0.25">
      <c r="A103" t="s">
        <v>5900</v>
      </c>
      <c r="B103">
        <v>8.2500000000000004E-2</v>
      </c>
      <c r="C103" t="s">
        <v>5833</v>
      </c>
      <c r="D103" t="s">
        <v>75</v>
      </c>
    </row>
    <row r="104" spans="1:4" x14ac:dyDescent="0.25">
      <c r="A104" t="s">
        <v>5901</v>
      </c>
      <c r="B104">
        <v>7.7499999999999999E-2</v>
      </c>
      <c r="C104" t="s">
        <v>5902</v>
      </c>
      <c r="D104" t="s">
        <v>75</v>
      </c>
    </row>
    <row r="105" spans="1:4" x14ac:dyDescent="0.25">
      <c r="A105" t="s">
        <v>5903</v>
      </c>
      <c r="B105">
        <v>8.7499999999999994E-2</v>
      </c>
      <c r="C105" t="s">
        <v>439</v>
      </c>
      <c r="D105" t="s">
        <v>75</v>
      </c>
    </row>
    <row r="106" spans="1:4" x14ac:dyDescent="0.25">
      <c r="A106" t="s">
        <v>5904</v>
      </c>
      <c r="B106">
        <v>7.7499999999999999E-2</v>
      </c>
      <c r="C106" t="s">
        <v>5871</v>
      </c>
      <c r="D106" t="s">
        <v>75</v>
      </c>
    </row>
    <row r="107" spans="1:4" x14ac:dyDescent="0.25">
      <c r="A107" t="s">
        <v>701</v>
      </c>
      <c r="B107">
        <v>0.09</v>
      </c>
      <c r="C107" t="s">
        <v>759</v>
      </c>
      <c r="D107" t="s">
        <v>75</v>
      </c>
    </row>
    <row r="108" spans="1:4" x14ac:dyDescent="0.25">
      <c r="A108" t="s">
        <v>5905</v>
      </c>
      <c r="B108">
        <v>7.7499999999999999E-2</v>
      </c>
      <c r="C108" t="s">
        <v>5806</v>
      </c>
      <c r="D108" t="s">
        <v>75</v>
      </c>
    </row>
    <row r="109" spans="1:4" x14ac:dyDescent="0.25">
      <c r="A109" t="s">
        <v>3220</v>
      </c>
      <c r="B109">
        <v>0.10249999999999999</v>
      </c>
      <c r="C109" t="s">
        <v>869</v>
      </c>
      <c r="D109" t="s">
        <v>75</v>
      </c>
    </row>
    <row r="110" spans="1:4" x14ac:dyDescent="0.25">
      <c r="A110" t="s">
        <v>5906</v>
      </c>
      <c r="B110">
        <v>0.105</v>
      </c>
      <c r="C110" t="s">
        <v>1399</v>
      </c>
      <c r="D110" t="s">
        <v>75</v>
      </c>
    </row>
    <row r="111" spans="1:4" x14ac:dyDescent="0.25">
      <c r="A111" t="s">
        <v>5907</v>
      </c>
      <c r="B111">
        <v>8.2500000000000004E-2</v>
      </c>
      <c r="C111" t="s">
        <v>5908</v>
      </c>
      <c r="D111" t="s">
        <v>75</v>
      </c>
    </row>
    <row r="112" spans="1:4" x14ac:dyDescent="0.25">
      <c r="A112" t="s">
        <v>5909</v>
      </c>
      <c r="B112">
        <v>0.105</v>
      </c>
      <c r="C112" t="s">
        <v>1399</v>
      </c>
      <c r="D112" t="s">
        <v>75</v>
      </c>
    </row>
    <row r="113" spans="1:5" x14ac:dyDescent="0.25">
      <c r="A113" t="s">
        <v>5910</v>
      </c>
      <c r="B113">
        <v>0.105</v>
      </c>
      <c r="C113" t="s">
        <v>1399</v>
      </c>
      <c r="D113" t="s">
        <v>75</v>
      </c>
    </row>
    <row r="114" spans="1:5" x14ac:dyDescent="0.25">
      <c r="A114" t="s">
        <v>1282</v>
      </c>
      <c r="B114">
        <v>9.1249999999999998E-2</v>
      </c>
      <c r="C114" t="s">
        <v>2595</v>
      </c>
      <c r="D114" t="s">
        <v>75</v>
      </c>
    </row>
    <row r="115" spans="1:5" x14ac:dyDescent="0.25">
      <c r="A115" t="s">
        <v>5115</v>
      </c>
      <c r="B115">
        <v>7.7499999999999999E-2</v>
      </c>
      <c r="C115" t="s">
        <v>5806</v>
      </c>
      <c r="D115" t="s">
        <v>75</v>
      </c>
    </row>
    <row r="116" spans="1:5" x14ac:dyDescent="0.25">
      <c r="A116" t="s">
        <v>2440</v>
      </c>
      <c r="B116">
        <v>9.8750000000000004E-2</v>
      </c>
      <c r="C116" t="s">
        <v>1208</v>
      </c>
      <c r="D116" t="s">
        <v>75</v>
      </c>
    </row>
    <row r="117" spans="1:5" x14ac:dyDescent="0.25">
      <c r="A117" t="s">
        <v>5911</v>
      </c>
      <c r="B117">
        <v>7.7499999999999999E-2</v>
      </c>
      <c r="C117" t="s">
        <v>5806</v>
      </c>
      <c r="D117" t="s">
        <v>75</v>
      </c>
    </row>
    <row r="118" spans="1:5" x14ac:dyDescent="0.25">
      <c r="A118" t="s">
        <v>1103</v>
      </c>
      <c r="B118">
        <v>8.7499999999999994E-2</v>
      </c>
      <c r="C118" t="s">
        <v>5818</v>
      </c>
      <c r="D118" t="s">
        <v>75</v>
      </c>
    </row>
    <row r="119" spans="1:5" x14ac:dyDescent="0.25">
      <c r="A119" t="s">
        <v>5912</v>
      </c>
      <c r="B119">
        <v>9.2499999999999999E-2</v>
      </c>
      <c r="C119" t="s">
        <v>5913</v>
      </c>
      <c r="D119" t="s">
        <v>75</v>
      </c>
    </row>
    <row r="120" spans="1:5" x14ac:dyDescent="0.25">
      <c r="A120" t="s">
        <v>5914</v>
      </c>
      <c r="B120">
        <v>8.7499999999999994E-2</v>
      </c>
      <c r="C120" t="s">
        <v>5871</v>
      </c>
      <c r="D120" t="s">
        <v>75</v>
      </c>
    </row>
    <row r="121" spans="1:5" x14ac:dyDescent="0.25">
      <c r="A121" t="s">
        <v>5915</v>
      </c>
      <c r="B121">
        <v>7.2499999999999995E-2</v>
      </c>
      <c r="C121" t="s">
        <v>5908</v>
      </c>
      <c r="D121" t="s">
        <v>5797</v>
      </c>
      <c r="E121" t="s">
        <v>5916</v>
      </c>
    </row>
    <row r="122" spans="1:5" x14ac:dyDescent="0.25">
      <c r="A122" t="s">
        <v>5917</v>
      </c>
      <c r="B122">
        <v>8.2500000000000004E-2</v>
      </c>
      <c r="C122" t="s">
        <v>5908</v>
      </c>
      <c r="D122" t="s">
        <v>5797</v>
      </c>
      <c r="E122" t="s">
        <v>5918</v>
      </c>
    </row>
    <row r="123" spans="1:5" x14ac:dyDescent="0.25">
      <c r="A123" t="s">
        <v>5919</v>
      </c>
      <c r="B123">
        <v>9.2499999999999999E-2</v>
      </c>
      <c r="C123" t="s">
        <v>529</v>
      </c>
      <c r="D123" t="s">
        <v>75</v>
      </c>
    </row>
    <row r="124" spans="1:5" x14ac:dyDescent="0.25">
      <c r="A124" t="s">
        <v>5920</v>
      </c>
      <c r="B124">
        <v>8.2500000000000004E-2</v>
      </c>
      <c r="C124" t="s">
        <v>5826</v>
      </c>
      <c r="D124" t="s">
        <v>75</v>
      </c>
    </row>
    <row r="125" spans="1:5" x14ac:dyDescent="0.25">
      <c r="A125" t="s">
        <v>5921</v>
      </c>
      <c r="B125">
        <v>8.7499999999999994E-2</v>
      </c>
      <c r="C125" t="s">
        <v>439</v>
      </c>
      <c r="D125" t="s">
        <v>75</v>
      </c>
    </row>
    <row r="126" spans="1:5" x14ac:dyDescent="0.25">
      <c r="A126" t="s">
        <v>5922</v>
      </c>
      <c r="B126">
        <v>9.5000000000000001E-2</v>
      </c>
      <c r="C126" t="s">
        <v>1399</v>
      </c>
      <c r="D126" t="s">
        <v>75</v>
      </c>
    </row>
    <row r="127" spans="1:5" x14ac:dyDescent="0.25">
      <c r="A127" t="s">
        <v>3101</v>
      </c>
      <c r="B127">
        <v>8.5000000000000006E-2</v>
      </c>
      <c r="C127" t="s">
        <v>3099</v>
      </c>
      <c r="D127" t="s">
        <v>75</v>
      </c>
    </row>
    <row r="128" spans="1:5" x14ac:dyDescent="0.25">
      <c r="A128" t="s">
        <v>5923</v>
      </c>
      <c r="B128">
        <v>8.3750000000000005E-2</v>
      </c>
      <c r="C128" t="s">
        <v>5844</v>
      </c>
      <c r="D128" t="s">
        <v>75</v>
      </c>
    </row>
    <row r="129" spans="1:4" x14ac:dyDescent="0.25">
      <c r="A129" t="s">
        <v>5924</v>
      </c>
      <c r="B129">
        <v>7.2499999999999995E-2</v>
      </c>
      <c r="C129" t="s">
        <v>5925</v>
      </c>
      <c r="D129" t="s">
        <v>75</v>
      </c>
    </row>
    <row r="130" spans="1:4" x14ac:dyDescent="0.25">
      <c r="A130" t="s">
        <v>5926</v>
      </c>
      <c r="B130">
        <v>7.7499999999999999E-2</v>
      </c>
      <c r="C130" t="s">
        <v>5830</v>
      </c>
      <c r="D130" t="s">
        <v>75</v>
      </c>
    </row>
    <row r="131" spans="1:4" x14ac:dyDescent="0.25">
      <c r="A131" t="s">
        <v>5927</v>
      </c>
      <c r="B131">
        <v>0.105</v>
      </c>
      <c r="C131" t="s">
        <v>1399</v>
      </c>
      <c r="D131" t="s">
        <v>75</v>
      </c>
    </row>
    <row r="132" spans="1:4" x14ac:dyDescent="0.25">
      <c r="A132" t="s">
        <v>5928</v>
      </c>
      <c r="B132">
        <v>0.105</v>
      </c>
      <c r="C132" t="s">
        <v>1399</v>
      </c>
      <c r="D132" t="s">
        <v>75</v>
      </c>
    </row>
    <row r="133" spans="1:4" x14ac:dyDescent="0.25">
      <c r="A133" t="s">
        <v>340</v>
      </c>
      <c r="B133">
        <v>0.10249999999999999</v>
      </c>
      <c r="C133" t="s">
        <v>324</v>
      </c>
      <c r="D133" t="s">
        <v>75</v>
      </c>
    </row>
    <row r="134" spans="1:4" x14ac:dyDescent="0.25">
      <c r="A134" t="s">
        <v>5929</v>
      </c>
      <c r="B134">
        <v>7.7499999999999999E-2</v>
      </c>
      <c r="C134" t="s">
        <v>5925</v>
      </c>
      <c r="D134" t="s">
        <v>75</v>
      </c>
    </row>
    <row r="135" spans="1:4" x14ac:dyDescent="0.25">
      <c r="A135" t="s">
        <v>2680</v>
      </c>
      <c r="B135">
        <v>9.8750000000000004E-2</v>
      </c>
      <c r="C135" t="s">
        <v>1208</v>
      </c>
      <c r="D135" t="s">
        <v>75</v>
      </c>
    </row>
    <row r="136" spans="1:4" x14ac:dyDescent="0.25">
      <c r="A136" t="s">
        <v>5930</v>
      </c>
      <c r="B136">
        <v>7.7499999999999999E-2</v>
      </c>
      <c r="C136" t="s">
        <v>439</v>
      </c>
      <c r="D136" t="s">
        <v>75</v>
      </c>
    </row>
    <row r="137" spans="1:4" x14ac:dyDescent="0.25">
      <c r="A137" t="s">
        <v>5931</v>
      </c>
      <c r="B137">
        <v>8.2500000000000004E-2</v>
      </c>
      <c r="C137" t="s">
        <v>5871</v>
      </c>
      <c r="D137" t="s">
        <v>75</v>
      </c>
    </row>
    <row r="138" spans="1:4" x14ac:dyDescent="0.25">
      <c r="A138" t="s">
        <v>5932</v>
      </c>
      <c r="B138">
        <v>8.2500000000000004E-2</v>
      </c>
      <c r="C138" t="s">
        <v>5855</v>
      </c>
      <c r="D138" t="s">
        <v>75</v>
      </c>
    </row>
    <row r="139" spans="1:4" x14ac:dyDescent="0.25">
      <c r="A139" t="s">
        <v>319</v>
      </c>
      <c r="B139">
        <v>0.10249999999999999</v>
      </c>
      <c r="C139" t="s">
        <v>5818</v>
      </c>
      <c r="D139" t="s">
        <v>75</v>
      </c>
    </row>
    <row r="140" spans="1:4" x14ac:dyDescent="0.25">
      <c r="A140" t="s">
        <v>5933</v>
      </c>
      <c r="B140">
        <v>7.2499999999999995E-2</v>
      </c>
      <c r="C140" t="s">
        <v>5934</v>
      </c>
      <c r="D140" t="s">
        <v>5797</v>
      </c>
    </row>
    <row r="141" spans="1:4" x14ac:dyDescent="0.25">
      <c r="A141" t="s">
        <v>5935</v>
      </c>
      <c r="B141">
        <v>0.105</v>
      </c>
      <c r="C141" t="s">
        <v>1399</v>
      </c>
      <c r="D141" t="s">
        <v>75</v>
      </c>
    </row>
    <row r="142" spans="1:4" x14ac:dyDescent="0.25">
      <c r="A142" t="s">
        <v>5936</v>
      </c>
      <c r="B142">
        <v>9.5000000000000001E-2</v>
      </c>
      <c r="C142" t="s">
        <v>1399</v>
      </c>
      <c r="D142" t="s">
        <v>75</v>
      </c>
    </row>
    <row r="143" spans="1:4" x14ac:dyDescent="0.25">
      <c r="A143" t="s">
        <v>2457</v>
      </c>
      <c r="B143">
        <v>8.7499999999999994E-2</v>
      </c>
      <c r="C143" t="s">
        <v>311</v>
      </c>
      <c r="D143" t="s">
        <v>75</v>
      </c>
    </row>
    <row r="144" spans="1:4" x14ac:dyDescent="0.25">
      <c r="A144" t="s">
        <v>166</v>
      </c>
      <c r="B144">
        <v>0.105</v>
      </c>
      <c r="C144" t="s">
        <v>324</v>
      </c>
      <c r="D144" t="s">
        <v>75</v>
      </c>
    </row>
    <row r="145" spans="1:4" x14ac:dyDescent="0.25">
      <c r="A145" t="s">
        <v>5937</v>
      </c>
      <c r="B145">
        <v>7.7499999999999999E-2</v>
      </c>
      <c r="C145" t="s">
        <v>5871</v>
      </c>
      <c r="D145" t="s">
        <v>75</v>
      </c>
    </row>
    <row r="146" spans="1:4" x14ac:dyDescent="0.25">
      <c r="A146" t="s">
        <v>5938</v>
      </c>
      <c r="B146">
        <v>8.7499999999999994E-2</v>
      </c>
      <c r="C146" t="s">
        <v>5939</v>
      </c>
      <c r="D146" t="s">
        <v>75</v>
      </c>
    </row>
    <row r="147" spans="1:4" x14ac:dyDescent="0.25">
      <c r="A147" t="s">
        <v>5940</v>
      </c>
      <c r="B147">
        <v>8.7499999999999994E-2</v>
      </c>
      <c r="C147" t="s">
        <v>5871</v>
      </c>
      <c r="D147" t="s">
        <v>75</v>
      </c>
    </row>
    <row r="148" spans="1:4" x14ac:dyDescent="0.25">
      <c r="A148" t="s">
        <v>5941</v>
      </c>
      <c r="B148">
        <v>7.2499999999999995E-2</v>
      </c>
      <c r="C148" t="s">
        <v>5925</v>
      </c>
      <c r="D148" t="s">
        <v>75</v>
      </c>
    </row>
    <row r="149" spans="1:4" x14ac:dyDescent="0.25">
      <c r="A149" t="s">
        <v>5942</v>
      </c>
      <c r="B149">
        <v>0.10249999999999999</v>
      </c>
      <c r="C149" t="s">
        <v>5821</v>
      </c>
      <c r="D149" t="s">
        <v>75</v>
      </c>
    </row>
    <row r="150" spans="1:4" x14ac:dyDescent="0.25">
      <c r="A150" t="s">
        <v>5943</v>
      </c>
      <c r="B150">
        <v>8.7499999999999994E-2</v>
      </c>
      <c r="C150" t="s">
        <v>3099</v>
      </c>
      <c r="D150" t="s">
        <v>75</v>
      </c>
    </row>
    <row r="151" spans="1:4" x14ac:dyDescent="0.25">
      <c r="A151" t="s">
        <v>875</v>
      </c>
      <c r="B151">
        <v>0.09</v>
      </c>
      <c r="C151" t="s">
        <v>759</v>
      </c>
      <c r="D151" t="s">
        <v>75</v>
      </c>
    </row>
    <row r="152" spans="1:4" x14ac:dyDescent="0.25">
      <c r="A152" t="s">
        <v>305</v>
      </c>
      <c r="B152">
        <v>8.3750000000000005E-2</v>
      </c>
      <c r="C152" t="s">
        <v>5844</v>
      </c>
      <c r="D152" t="s">
        <v>75</v>
      </c>
    </row>
    <row r="153" spans="1:4" x14ac:dyDescent="0.25">
      <c r="A153" t="s">
        <v>5944</v>
      </c>
      <c r="B153">
        <v>8.7499999999999994E-2</v>
      </c>
      <c r="C153" t="s">
        <v>3099</v>
      </c>
      <c r="D153" t="s">
        <v>75</v>
      </c>
    </row>
    <row r="154" spans="1:4" x14ac:dyDescent="0.25">
      <c r="A154" t="s">
        <v>5945</v>
      </c>
      <c r="B154">
        <v>9.5000000000000001E-2</v>
      </c>
      <c r="C154" t="s">
        <v>5821</v>
      </c>
      <c r="D154" t="s">
        <v>75</v>
      </c>
    </row>
    <row r="155" spans="1:4" x14ac:dyDescent="0.25">
      <c r="A155" t="s">
        <v>5946</v>
      </c>
      <c r="B155">
        <v>7.2499999999999995E-2</v>
      </c>
      <c r="C155" t="s">
        <v>4704</v>
      </c>
      <c r="D155" t="s">
        <v>75</v>
      </c>
    </row>
    <row r="156" spans="1:4" x14ac:dyDescent="0.25">
      <c r="A156" t="s">
        <v>5947</v>
      </c>
      <c r="B156">
        <v>7.9750000000000001E-2</v>
      </c>
      <c r="C156" t="s">
        <v>560</v>
      </c>
      <c r="D156" t="s">
        <v>75</v>
      </c>
    </row>
    <row r="157" spans="1:4" x14ac:dyDescent="0.25">
      <c r="A157" t="s">
        <v>3168</v>
      </c>
      <c r="B157">
        <v>7.7499999999999999E-2</v>
      </c>
      <c r="C157" t="s">
        <v>311</v>
      </c>
      <c r="D157" t="s">
        <v>75</v>
      </c>
    </row>
    <row r="158" spans="1:4" x14ac:dyDescent="0.25">
      <c r="A158" t="s">
        <v>5948</v>
      </c>
      <c r="B158">
        <v>8.7499999999999994E-2</v>
      </c>
      <c r="C158" t="s">
        <v>5801</v>
      </c>
      <c r="D158" t="s">
        <v>75</v>
      </c>
    </row>
    <row r="159" spans="1:4" x14ac:dyDescent="0.25">
      <c r="A159" t="s">
        <v>2129</v>
      </c>
      <c r="B159">
        <v>9.2499999999999999E-2</v>
      </c>
      <c r="C159" t="s">
        <v>5949</v>
      </c>
      <c r="D159" t="s">
        <v>75</v>
      </c>
    </row>
    <row r="160" spans="1:4" x14ac:dyDescent="0.25">
      <c r="A160" t="s">
        <v>5950</v>
      </c>
      <c r="B160">
        <v>7.2499999999999995E-2</v>
      </c>
      <c r="C160" t="s">
        <v>5925</v>
      </c>
      <c r="D160" t="s">
        <v>75</v>
      </c>
    </row>
    <row r="161" spans="1:4" x14ac:dyDescent="0.25">
      <c r="A161" t="s">
        <v>5951</v>
      </c>
      <c r="B161">
        <v>9.5000000000000001E-2</v>
      </c>
      <c r="C161" t="s">
        <v>5821</v>
      </c>
      <c r="D161" t="s">
        <v>75</v>
      </c>
    </row>
    <row r="162" spans="1:4" x14ac:dyDescent="0.25">
      <c r="A162" t="s">
        <v>5952</v>
      </c>
      <c r="B162">
        <v>9.375E-2</v>
      </c>
      <c r="C162" t="s">
        <v>1208</v>
      </c>
      <c r="D162" t="s">
        <v>75</v>
      </c>
    </row>
    <row r="163" spans="1:4" x14ac:dyDescent="0.25">
      <c r="A163" t="s">
        <v>5953</v>
      </c>
      <c r="B163">
        <v>8.7499999999999994E-2</v>
      </c>
      <c r="C163" t="s">
        <v>5806</v>
      </c>
      <c r="D163" t="s">
        <v>75</v>
      </c>
    </row>
    <row r="164" spans="1:4" x14ac:dyDescent="0.25">
      <c r="A164" t="s">
        <v>5954</v>
      </c>
      <c r="B164">
        <v>8.9749999999999996E-2</v>
      </c>
      <c r="C164" t="s">
        <v>560</v>
      </c>
      <c r="D164" t="s">
        <v>75</v>
      </c>
    </row>
    <row r="165" spans="1:4" x14ac:dyDescent="0.25">
      <c r="A165" t="s">
        <v>1162</v>
      </c>
      <c r="B165">
        <v>0.10249999999999999</v>
      </c>
      <c r="C165" t="s">
        <v>324</v>
      </c>
      <c r="D165" t="s">
        <v>75</v>
      </c>
    </row>
    <row r="166" spans="1:4" x14ac:dyDescent="0.25">
      <c r="A166" t="s">
        <v>560</v>
      </c>
      <c r="B166">
        <v>8.3500000000000005E-2</v>
      </c>
      <c r="C166" t="s">
        <v>560</v>
      </c>
      <c r="D166" t="s">
        <v>75</v>
      </c>
    </row>
    <row r="167" spans="1:4" x14ac:dyDescent="0.25">
      <c r="A167" t="s">
        <v>5955</v>
      </c>
      <c r="B167">
        <v>7.9750000000000001E-2</v>
      </c>
      <c r="C167" t="s">
        <v>560</v>
      </c>
      <c r="D167" t="s">
        <v>5797</v>
      </c>
    </row>
    <row r="168" spans="1:4" x14ac:dyDescent="0.25">
      <c r="A168" t="s">
        <v>5956</v>
      </c>
      <c r="B168">
        <v>7.7499999999999999E-2</v>
      </c>
      <c r="C168" t="s">
        <v>5806</v>
      </c>
      <c r="D168" t="s">
        <v>75</v>
      </c>
    </row>
    <row r="169" spans="1:4" x14ac:dyDescent="0.25">
      <c r="A169" t="s">
        <v>5957</v>
      </c>
      <c r="B169">
        <v>9.2499999999999999E-2</v>
      </c>
      <c r="C169" t="s">
        <v>311</v>
      </c>
      <c r="D169" t="s">
        <v>75</v>
      </c>
    </row>
    <row r="170" spans="1:4" x14ac:dyDescent="0.25">
      <c r="A170" t="s">
        <v>5958</v>
      </c>
      <c r="B170">
        <v>8.7499999999999994E-2</v>
      </c>
      <c r="C170" t="s">
        <v>5806</v>
      </c>
      <c r="D170" t="s">
        <v>75</v>
      </c>
    </row>
    <row r="171" spans="1:4" x14ac:dyDescent="0.25">
      <c r="A171" t="s">
        <v>5959</v>
      </c>
      <c r="B171">
        <v>0.105</v>
      </c>
      <c r="C171" t="s">
        <v>1399</v>
      </c>
      <c r="D171" t="s">
        <v>75</v>
      </c>
    </row>
    <row r="172" spans="1:4" x14ac:dyDescent="0.25">
      <c r="A172" t="s">
        <v>2470</v>
      </c>
      <c r="B172">
        <v>9.1249999999999998E-2</v>
      </c>
      <c r="C172" t="s">
        <v>2595</v>
      </c>
      <c r="D172" t="s">
        <v>75</v>
      </c>
    </row>
    <row r="173" spans="1:4" x14ac:dyDescent="0.25">
      <c r="A173" t="s">
        <v>1634</v>
      </c>
      <c r="B173">
        <v>0.105</v>
      </c>
      <c r="C173" t="s">
        <v>1399</v>
      </c>
      <c r="D173" t="s">
        <v>75</v>
      </c>
    </row>
    <row r="174" spans="1:4" x14ac:dyDescent="0.25">
      <c r="A174" t="s">
        <v>5960</v>
      </c>
      <c r="B174">
        <v>0.1075</v>
      </c>
      <c r="C174" t="s">
        <v>1399</v>
      </c>
      <c r="D174" t="s">
        <v>75</v>
      </c>
    </row>
    <row r="175" spans="1:4" x14ac:dyDescent="0.25">
      <c r="A175" t="s">
        <v>5961</v>
      </c>
      <c r="B175">
        <v>7.2499999999999995E-2</v>
      </c>
      <c r="C175" t="s">
        <v>5962</v>
      </c>
      <c r="D175" t="s">
        <v>5797</v>
      </c>
    </row>
    <row r="176" spans="1:4" x14ac:dyDescent="0.25">
      <c r="A176" t="s">
        <v>5247</v>
      </c>
      <c r="B176">
        <v>8.7499999999999994E-2</v>
      </c>
      <c r="C176" t="s">
        <v>2914</v>
      </c>
      <c r="D176" t="s">
        <v>75</v>
      </c>
    </row>
    <row r="177" spans="1:4" x14ac:dyDescent="0.25">
      <c r="A177" t="s">
        <v>5963</v>
      </c>
      <c r="B177">
        <v>8.7499999999999994E-2</v>
      </c>
      <c r="C177" t="s">
        <v>529</v>
      </c>
      <c r="D177" t="s">
        <v>75</v>
      </c>
    </row>
    <row r="178" spans="1:4" x14ac:dyDescent="0.25">
      <c r="A178" t="s">
        <v>5964</v>
      </c>
      <c r="B178">
        <v>7.7499999999999999E-2</v>
      </c>
      <c r="C178" t="s">
        <v>5801</v>
      </c>
      <c r="D178" t="s">
        <v>75</v>
      </c>
    </row>
    <row r="179" spans="1:4" x14ac:dyDescent="0.25">
      <c r="A179" t="s">
        <v>628</v>
      </c>
      <c r="B179">
        <v>8.5000000000000006E-2</v>
      </c>
      <c r="C179" t="s">
        <v>5965</v>
      </c>
      <c r="D179" t="s">
        <v>75</v>
      </c>
    </row>
    <row r="180" spans="1:4" x14ac:dyDescent="0.25">
      <c r="A180" t="s">
        <v>5966</v>
      </c>
      <c r="B180">
        <v>9.5000000000000001E-2</v>
      </c>
      <c r="C180" t="s">
        <v>529</v>
      </c>
      <c r="D180" t="s">
        <v>75</v>
      </c>
    </row>
    <row r="181" spans="1:4" x14ac:dyDescent="0.25">
      <c r="A181" t="s">
        <v>950</v>
      </c>
      <c r="B181">
        <v>7.2499999999999995E-2</v>
      </c>
      <c r="C181" t="s">
        <v>5848</v>
      </c>
      <c r="D181" t="s">
        <v>75</v>
      </c>
    </row>
    <row r="182" spans="1:4" x14ac:dyDescent="0.25">
      <c r="A182" t="s">
        <v>5967</v>
      </c>
      <c r="B182">
        <v>8.7499999999999994E-2</v>
      </c>
      <c r="C182" t="s">
        <v>5823</v>
      </c>
      <c r="D182" t="s">
        <v>75</v>
      </c>
    </row>
    <row r="183" spans="1:4" x14ac:dyDescent="0.25">
      <c r="A183" t="s">
        <v>5968</v>
      </c>
      <c r="B183">
        <v>8.7499999999999994E-2</v>
      </c>
      <c r="C183" t="s">
        <v>2914</v>
      </c>
      <c r="D183" t="s">
        <v>75</v>
      </c>
    </row>
    <row r="184" spans="1:4" x14ac:dyDescent="0.25">
      <c r="A184" t="s">
        <v>5969</v>
      </c>
      <c r="B184">
        <v>8.2500000000000004E-2</v>
      </c>
      <c r="C184" t="s">
        <v>5830</v>
      </c>
      <c r="D184" t="s">
        <v>75</v>
      </c>
    </row>
    <row r="185" spans="1:4" x14ac:dyDescent="0.25">
      <c r="A185" t="s">
        <v>1761</v>
      </c>
      <c r="B185">
        <v>9.8750000000000004E-2</v>
      </c>
      <c r="C185" t="s">
        <v>1208</v>
      </c>
      <c r="D185" t="s">
        <v>75</v>
      </c>
    </row>
    <row r="186" spans="1:4" x14ac:dyDescent="0.25">
      <c r="A186" t="s">
        <v>5970</v>
      </c>
      <c r="B186">
        <v>8.2500000000000004E-2</v>
      </c>
      <c r="C186" t="s">
        <v>5833</v>
      </c>
      <c r="D186" t="s">
        <v>75</v>
      </c>
    </row>
    <row r="187" spans="1:4" x14ac:dyDescent="0.25">
      <c r="A187" t="s">
        <v>5971</v>
      </c>
      <c r="B187">
        <v>0.105</v>
      </c>
      <c r="C187" t="s">
        <v>1399</v>
      </c>
      <c r="D187" t="s">
        <v>75</v>
      </c>
    </row>
    <row r="188" spans="1:4" x14ac:dyDescent="0.25">
      <c r="A188" t="s">
        <v>5972</v>
      </c>
      <c r="B188">
        <v>0.105</v>
      </c>
      <c r="C188" t="s">
        <v>1399</v>
      </c>
      <c r="D188" t="s">
        <v>75</v>
      </c>
    </row>
    <row r="189" spans="1:4" x14ac:dyDescent="0.25">
      <c r="A189" t="s">
        <v>994</v>
      </c>
      <c r="B189">
        <v>0.1075</v>
      </c>
      <c r="C189" t="s">
        <v>324</v>
      </c>
      <c r="D189" t="s">
        <v>75</v>
      </c>
    </row>
    <row r="190" spans="1:4" x14ac:dyDescent="0.25">
      <c r="A190" t="s">
        <v>264</v>
      </c>
      <c r="B190">
        <v>9.7500000000000003E-2</v>
      </c>
      <c r="C190" t="s">
        <v>869</v>
      </c>
      <c r="D190" t="s">
        <v>75</v>
      </c>
    </row>
    <row r="191" spans="1:4" x14ac:dyDescent="0.25">
      <c r="A191" t="s">
        <v>5973</v>
      </c>
      <c r="B191">
        <v>8.7499999999999994E-2</v>
      </c>
      <c r="C191" t="s">
        <v>439</v>
      </c>
      <c r="D191" t="s">
        <v>75</v>
      </c>
    </row>
    <row r="192" spans="1:4" x14ac:dyDescent="0.25">
      <c r="A192" t="s">
        <v>2491</v>
      </c>
      <c r="B192">
        <v>9.2499999999999999E-2</v>
      </c>
      <c r="C192" t="s">
        <v>5818</v>
      </c>
      <c r="D192" t="s">
        <v>75</v>
      </c>
    </row>
    <row r="193" spans="1:4" x14ac:dyDescent="0.25">
      <c r="A193" t="s">
        <v>5974</v>
      </c>
      <c r="B193">
        <v>9.5000000000000001E-2</v>
      </c>
      <c r="C193" t="s">
        <v>1399</v>
      </c>
      <c r="D193" t="s">
        <v>75</v>
      </c>
    </row>
    <row r="194" spans="1:4" x14ac:dyDescent="0.25">
      <c r="A194" t="s">
        <v>5975</v>
      </c>
      <c r="B194">
        <v>7.7499999999999999E-2</v>
      </c>
      <c r="C194" t="s">
        <v>5801</v>
      </c>
      <c r="D194" t="s">
        <v>75</v>
      </c>
    </row>
    <row r="195" spans="1:4" x14ac:dyDescent="0.25">
      <c r="A195" t="s">
        <v>5976</v>
      </c>
      <c r="B195">
        <v>9.5000000000000001E-2</v>
      </c>
      <c r="C195" t="s">
        <v>1399</v>
      </c>
      <c r="D195" t="s">
        <v>75</v>
      </c>
    </row>
    <row r="196" spans="1:4" x14ac:dyDescent="0.25">
      <c r="A196" t="s">
        <v>5977</v>
      </c>
      <c r="B196">
        <v>7.7499999999999999E-2</v>
      </c>
      <c r="C196" t="s">
        <v>5801</v>
      </c>
      <c r="D196" t="s">
        <v>75</v>
      </c>
    </row>
    <row r="197" spans="1:4" x14ac:dyDescent="0.25">
      <c r="A197" t="s">
        <v>5978</v>
      </c>
      <c r="B197">
        <v>9.375E-2</v>
      </c>
      <c r="C197" t="s">
        <v>1208</v>
      </c>
      <c r="D197" t="s">
        <v>75</v>
      </c>
    </row>
    <row r="198" spans="1:4" x14ac:dyDescent="0.25">
      <c r="A198" t="s">
        <v>4061</v>
      </c>
      <c r="B198">
        <v>9.2499999999999999E-2</v>
      </c>
      <c r="C198" t="s">
        <v>5979</v>
      </c>
      <c r="D198" t="s">
        <v>75</v>
      </c>
    </row>
    <row r="199" spans="1:4" x14ac:dyDescent="0.25">
      <c r="A199" t="s">
        <v>5980</v>
      </c>
      <c r="B199">
        <v>7.7499999999999999E-2</v>
      </c>
      <c r="C199" t="s">
        <v>5855</v>
      </c>
      <c r="D199" t="s">
        <v>75</v>
      </c>
    </row>
    <row r="200" spans="1:4" x14ac:dyDescent="0.25">
      <c r="A200" t="s">
        <v>5981</v>
      </c>
      <c r="B200">
        <v>7.8750000000000001E-2</v>
      </c>
      <c r="C200" t="s">
        <v>5876</v>
      </c>
      <c r="D200" t="s">
        <v>75</v>
      </c>
    </row>
    <row r="201" spans="1:4" x14ac:dyDescent="0.25">
      <c r="A201" t="s">
        <v>5982</v>
      </c>
      <c r="B201">
        <v>8.7499999999999994E-2</v>
      </c>
      <c r="C201" t="s">
        <v>5821</v>
      </c>
      <c r="D201" t="s">
        <v>5797</v>
      </c>
    </row>
    <row r="202" spans="1:4" x14ac:dyDescent="0.25">
      <c r="A202" t="s">
        <v>5983</v>
      </c>
      <c r="B202">
        <v>7.7499999999999999E-2</v>
      </c>
      <c r="C202" t="s">
        <v>5806</v>
      </c>
      <c r="D202" t="s">
        <v>75</v>
      </c>
    </row>
    <row r="203" spans="1:4" x14ac:dyDescent="0.25">
      <c r="A203" t="s">
        <v>5984</v>
      </c>
      <c r="B203">
        <v>0.105</v>
      </c>
      <c r="C203" t="s">
        <v>1399</v>
      </c>
      <c r="D203" t="s">
        <v>75</v>
      </c>
    </row>
    <row r="204" spans="1:4" x14ac:dyDescent="0.25">
      <c r="A204" t="s">
        <v>5985</v>
      </c>
      <c r="B204">
        <v>8.9749999999999996E-2</v>
      </c>
      <c r="C204" t="s">
        <v>560</v>
      </c>
      <c r="D204" t="s">
        <v>75</v>
      </c>
    </row>
    <row r="205" spans="1:4" x14ac:dyDescent="0.25">
      <c r="A205" t="s">
        <v>5855</v>
      </c>
      <c r="B205">
        <v>7.7499999999999999E-2</v>
      </c>
      <c r="C205" t="s">
        <v>5855</v>
      </c>
      <c r="D205" t="s">
        <v>75</v>
      </c>
    </row>
    <row r="206" spans="1:4" x14ac:dyDescent="0.25">
      <c r="A206" t="s">
        <v>5986</v>
      </c>
      <c r="B206">
        <v>8.7499999999999994E-2</v>
      </c>
      <c r="C206" t="s">
        <v>5871</v>
      </c>
      <c r="D206" t="s">
        <v>75</v>
      </c>
    </row>
    <row r="207" spans="1:4" x14ac:dyDescent="0.25">
      <c r="A207" t="s">
        <v>5987</v>
      </c>
      <c r="B207">
        <v>7.7499999999999999E-2</v>
      </c>
      <c r="C207" t="s">
        <v>5855</v>
      </c>
      <c r="D207" t="s">
        <v>5797</v>
      </c>
    </row>
    <row r="208" spans="1:4" x14ac:dyDescent="0.25">
      <c r="A208" t="s">
        <v>5988</v>
      </c>
      <c r="B208">
        <v>7.7499999999999999E-2</v>
      </c>
      <c r="C208" t="s">
        <v>439</v>
      </c>
      <c r="D208" t="s">
        <v>75</v>
      </c>
    </row>
    <row r="209" spans="1:5" x14ac:dyDescent="0.25">
      <c r="A209" t="s">
        <v>5989</v>
      </c>
      <c r="B209">
        <v>8.7499999999999994E-2</v>
      </c>
      <c r="C209" t="s">
        <v>439</v>
      </c>
      <c r="D209" t="s">
        <v>75</v>
      </c>
    </row>
    <row r="210" spans="1:5" x14ac:dyDescent="0.25">
      <c r="A210" t="s">
        <v>5990</v>
      </c>
      <c r="B210">
        <v>0.10249999999999999</v>
      </c>
      <c r="C210" t="s">
        <v>1399</v>
      </c>
      <c r="D210" t="s">
        <v>75</v>
      </c>
    </row>
    <row r="211" spans="1:5" x14ac:dyDescent="0.25">
      <c r="A211" t="s">
        <v>5991</v>
      </c>
      <c r="B211">
        <v>7.7499999999999999E-2</v>
      </c>
      <c r="C211" t="s">
        <v>5850</v>
      </c>
      <c r="D211" t="s">
        <v>5797</v>
      </c>
    </row>
    <row r="212" spans="1:5" x14ac:dyDescent="0.25">
      <c r="A212" t="s">
        <v>5992</v>
      </c>
      <c r="B212">
        <v>7.7499999999999999E-2</v>
      </c>
      <c r="C212" t="s">
        <v>5812</v>
      </c>
      <c r="D212" t="s">
        <v>75</v>
      </c>
    </row>
    <row r="213" spans="1:5" x14ac:dyDescent="0.25">
      <c r="A213" t="s">
        <v>5993</v>
      </c>
      <c r="B213">
        <v>7.7499999999999999E-2</v>
      </c>
      <c r="C213" t="s">
        <v>5806</v>
      </c>
      <c r="D213" t="s">
        <v>75</v>
      </c>
    </row>
    <row r="214" spans="1:5" x14ac:dyDescent="0.25">
      <c r="A214" t="s">
        <v>5994</v>
      </c>
      <c r="B214">
        <v>0.1075</v>
      </c>
      <c r="C214" t="s">
        <v>1399</v>
      </c>
      <c r="D214" t="s">
        <v>75</v>
      </c>
    </row>
    <row r="215" spans="1:5" x14ac:dyDescent="0.25">
      <c r="A215" t="s">
        <v>5995</v>
      </c>
      <c r="B215">
        <v>8.7499999999999994E-2</v>
      </c>
      <c r="C215" t="s">
        <v>311</v>
      </c>
      <c r="D215" t="s">
        <v>75</v>
      </c>
    </row>
    <row r="216" spans="1:5" x14ac:dyDescent="0.25">
      <c r="A216" t="s">
        <v>5996</v>
      </c>
      <c r="B216">
        <v>7.7499999999999999E-2</v>
      </c>
      <c r="C216" t="s">
        <v>5812</v>
      </c>
      <c r="D216" t="s">
        <v>75</v>
      </c>
    </row>
    <row r="217" spans="1:5" x14ac:dyDescent="0.25">
      <c r="A217" t="s">
        <v>3293</v>
      </c>
      <c r="B217">
        <v>7.7499999999999999E-2</v>
      </c>
      <c r="C217" t="s">
        <v>439</v>
      </c>
      <c r="D217" t="s">
        <v>75</v>
      </c>
    </row>
    <row r="218" spans="1:5" x14ac:dyDescent="0.25">
      <c r="A218" t="s">
        <v>5997</v>
      </c>
      <c r="B218">
        <v>8.9749999999999996E-2</v>
      </c>
      <c r="C218" t="s">
        <v>560</v>
      </c>
      <c r="D218" t="s">
        <v>75</v>
      </c>
    </row>
    <row r="219" spans="1:5" x14ac:dyDescent="0.25">
      <c r="A219" t="s">
        <v>5998</v>
      </c>
      <c r="B219">
        <v>7.2499999999999995E-2</v>
      </c>
      <c r="C219" t="s">
        <v>5826</v>
      </c>
      <c r="D219" t="s">
        <v>5797</v>
      </c>
      <c r="E219" t="s">
        <v>5999</v>
      </c>
    </row>
    <row r="220" spans="1:5" x14ac:dyDescent="0.25">
      <c r="A220" t="s">
        <v>6000</v>
      </c>
      <c r="B220">
        <v>8.2500000000000004E-2</v>
      </c>
      <c r="C220" t="s">
        <v>5826</v>
      </c>
      <c r="D220" t="s">
        <v>5797</v>
      </c>
      <c r="E220" t="s">
        <v>6001</v>
      </c>
    </row>
    <row r="221" spans="1:5" x14ac:dyDescent="0.25">
      <c r="A221" t="s">
        <v>6002</v>
      </c>
      <c r="B221">
        <v>8.7499999999999994E-2</v>
      </c>
      <c r="C221" t="s">
        <v>529</v>
      </c>
      <c r="D221" t="s">
        <v>75</v>
      </c>
    </row>
    <row r="222" spans="1:5" x14ac:dyDescent="0.25">
      <c r="A222" t="s">
        <v>6003</v>
      </c>
      <c r="B222">
        <v>7.2499999999999995E-2</v>
      </c>
      <c r="C222" t="s">
        <v>5833</v>
      </c>
      <c r="D222" t="s">
        <v>5797</v>
      </c>
    </row>
    <row r="223" spans="1:5" x14ac:dyDescent="0.25">
      <c r="A223" t="s">
        <v>6004</v>
      </c>
      <c r="B223">
        <v>8.9749999999999996E-2</v>
      </c>
      <c r="C223" t="s">
        <v>560</v>
      </c>
      <c r="D223" t="s">
        <v>75</v>
      </c>
    </row>
    <row r="224" spans="1:5" x14ac:dyDescent="0.25">
      <c r="A224" t="s">
        <v>6005</v>
      </c>
      <c r="B224">
        <v>0.105</v>
      </c>
      <c r="C224" t="s">
        <v>1399</v>
      </c>
      <c r="D224" t="s">
        <v>75</v>
      </c>
    </row>
    <row r="225" spans="1:4" x14ac:dyDescent="0.25">
      <c r="A225" t="s">
        <v>6006</v>
      </c>
      <c r="B225">
        <v>8.7499999999999994E-2</v>
      </c>
      <c r="C225" t="s">
        <v>5806</v>
      </c>
      <c r="D225" t="s">
        <v>75</v>
      </c>
    </row>
    <row r="226" spans="1:4" x14ac:dyDescent="0.25">
      <c r="A226" t="s">
        <v>6007</v>
      </c>
      <c r="B226">
        <v>9.5000000000000001E-2</v>
      </c>
      <c r="C226" t="s">
        <v>1399</v>
      </c>
      <c r="D226" t="s">
        <v>75</v>
      </c>
    </row>
    <row r="227" spans="1:4" x14ac:dyDescent="0.25">
      <c r="A227" t="s">
        <v>6008</v>
      </c>
      <c r="B227">
        <v>8.5000000000000006E-2</v>
      </c>
      <c r="C227" t="s">
        <v>5871</v>
      </c>
      <c r="D227" t="s">
        <v>75</v>
      </c>
    </row>
    <row r="228" spans="1:4" x14ac:dyDescent="0.25">
      <c r="A228" t="s">
        <v>6009</v>
      </c>
      <c r="B228">
        <v>9.5000000000000001E-2</v>
      </c>
      <c r="C228" t="s">
        <v>1399</v>
      </c>
      <c r="D228" t="s">
        <v>75</v>
      </c>
    </row>
    <row r="229" spans="1:4" x14ac:dyDescent="0.25">
      <c r="A229" t="s">
        <v>6010</v>
      </c>
      <c r="B229">
        <v>8.7499999999999994E-2</v>
      </c>
      <c r="C229" t="s">
        <v>5806</v>
      </c>
      <c r="D229" t="s">
        <v>75</v>
      </c>
    </row>
    <row r="230" spans="1:4" x14ac:dyDescent="0.25">
      <c r="A230" t="s">
        <v>6011</v>
      </c>
      <c r="B230">
        <v>0.10249999999999999</v>
      </c>
      <c r="C230" t="s">
        <v>1399</v>
      </c>
      <c r="D230" t="s">
        <v>75</v>
      </c>
    </row>
    <row r="231" spans="1:4" x14ac:dyDescent="0.25">
      <c r="A231" t="s">
        <v>6012</v>
      </c>
      <c r="B231">
        <v>8.7499999999999994E-2</v>
      </c>
      <c r="C231" t="s">
        <v>439</v>
      </c>
      <c r="D231" t="s">
        <v>75</v>
      </c>
    </row>
    <row r="232" spans="1:4" x14ac:dyDescent="0.25">
      <c r="A232" t="s">
        <v>6013</v>
      </c>
      <c r="B232">
        <v>0.105</v>
      </c>
      <c r="C232" t="s">
        <v>1399</v>
      </c>
      <c r="D232" t="s">
        <v>75</v>
      </c>
    </row>
    <row r="233" spans="1:4" x14ac:dyDescent="0.25">
      <c r="A233" t="s">
        <v>2846</v>
      </c>
      <c r="B233">
        <v>9.2499999999999999E-2</v>
      </c>
      <c r="C233" t="s">
        <v>5818</v>
      </c>
      <c r="D233" t="s">
        <v>75</v>
      </c>
    </row>
    <row r="234" spans="1:4" x14ac:dyDescent="0.25">
      <c r="A234" t="s">
        <v>6014</v>
      </c>
      <c r="B234">
        <v>7.7499999999999999E-2</v>
      </c>
      <c r="C234" t="s">
        <v>5806</v>
      </c>
      <c r="D234" t="s">
        <v>75</v>
      </c>
    </row>
    <row r="235" spans="1:4" x14ac:dyDescent="0.25">
      <c r="A235" t="s">
        <v>6015</v>
      </c>
      <c r="B235">
        <v>7.7499999999999999E-2</v>
      </c>
      <c r="C235" t="s">
        <v>5806</v>
      </c>
      <c r="D235" t="s">
        <v>75</v>
      </c>
    </row>
    <row r="236" spans="1:4" x14ac:dyDescent="0.25">
      <c r="A236" t="s">
        <v>6016</v>
      </c>
      <c r="B236">
        <v>7.7499999999999999E-2</v>
      </c>
      <c r="C236" t="s">
        <v>5806</v>
      </c>
      <c r="D236" t="s">
        <v>75</v>
      </c>
    </row>
    <row r="237" spans="1:4" x14ac:dyDescent="0.25">
      <c r="A237" t="s">
        <v>6017</v>
      </c>
      <c r="B237">
        <v>7.7499999999999999E-2</v>
      </c>
      <c r="C237" t="s">
        <v>5806</v>
      </c>
      <c r="D237" t="s">
        <v>75</v>
      </c>
    </row>
    <row r="238" spans="1:4" x14ac:dyDescent="0.25">
      <c r="A238" t="s">
        <v>6018</v>
      </c>
      <c r="B238">
        <v>7.2499999999999995E-2</v>
      </c>
      <c r="C238" t="s">
        <v>5888</v>
      </c>
      <c r="D238" t="s">
        <v>5797</v>
      </c>
    </row>
    <row r="239" spans="1:4" x14ac:dyDescent="0.25">
      <c r="A239" t="s">
        <v>6019</v>
      </c>
      <c r="B239">
        <v>8.7499999999999994E-2</v>
      </c>
      <c r="C239" t="s">
        <v>439</v>
      </c>
      <c r="D239" t="s">
        <v>75</v>
      </c>
    </row>
    <row r="240" spans="1:4" x14ac:dyDescent="0.25">
      <c r="A240" t="s">
        <v>6020</v>
      </c>
      <c r="B240">
        <v>7.7499999999999999E-2</v>
      </c>
      <c r="C240" t="s">
        <v>5806</v>
      </c>
      <c r="D240" t="s">
        <v>75</v>
      </c>
    </row>
    <row r="241" spans="1:4" x14ac:dyDescent="0.25">
      <c r="A241" t="s">
        <v>6021</v>
      </c>
      <c r="B241">
        <v>8.7499999999999994E-2</v>
      </c>
      <c r="C241" t="s">
        <v>5888</v>
      </c>
      <c r="D241" t="s">
        <v>75</v>
      </c>
    </row>
    <row r="242" spans="1:4" x14ac:dyDescent="0.25">
      <c r="A242" t="s">
        <v>6022</v>
      </c>
      <c r="B242">
        <v>0.105</v>
      </c>
      <c r="C242" t="s">
        <v>1399</v>
      </c>
      <c r="D242" t="s">
        <v>75</v>
      </c>
    </row>
    <row r="243" spans="1:4" x14ac:dyDescent="0.25">
      <c r="A243" t="s">
        <v>6023</v>
      </c>
      <c r="B243">
        <v>0.1125</v>
      </c>
      <c r="C243" t="s">
        <v>1399</v>
      </c>
      <c r="D243" t="s">
        <v>75</v>
      </c>
    </row>
    <row r="244" spans="1:4" x14ac:dyDescent="0.25">
      <c r="A244" t="s">
        <v>1596</v>
      </c>
      <c r="B244">
        <v>9.2499999999999999E-2</v>
      </c>
      <c r="C244" t="s">
        <v>759</v>
      </c>
      <c r="D244" t="s">
        <v>75</v>
      </c>
    </row>
    <row r="245" spans="1:4" x14ac:dyDescent="0.25">
      <c r="A245" t="s">
        <v>6024</v>
      </c>
      <c r="B245">
        <v>7.2499999999999995E-2</v>
      </c>
      <c r="C245" t="s">
        <v>6025</v>
      </c>
      <c r="D245" t="s">
        <v>5797</v>
      </c>
    </row>
    <row r="246" spans="1:4" x14ac:dyDescent="0.25">
      <c r="A246" t="s">
        <v>3027</v>
      </c>
      <c r="B246">
        <v>8.7499999999999994E-2</v>
      </c>
      <c r="C246" t="s">
        <v>5939</v>
      </c>
      <c r="D246" t="s">
        <v>75</v>
      </c>
    </row>
    <row r="247" spans="1:4" x14ac:dyDescent="0.25">
      <c r="A247" t="s">
        <v>6026</v>
      </c>
      <c r="B247">
        <v>0.105</v>
      </c>
      <c r="C247" t="s">
        <v>1399</v>
      </c>
      <c r="D247" t="s">
        <v>75</v>
      </c>
    </row>
    <row r="248" spans="1:4" x14ac:dyDescent="0.25">
      <c r="A248" t="s">
        <v>6027</v>
      </c>
      <c r="B248">
        <v>7.7499999999999999E-2</v>
      </c>
      <c r="C248" t="s">
        <v>5871</v>
      </c>
      <c r="D248" t="s">
        <v>75</v>
      </c>
    </row>
    <row r="249" spans="1:4" x14ac:dyDescent="0.25">
      <c r="A249" t="s">
        <v>6028</v>
      </c>
      <c r="B249">
        <v>8.2500000000000004E-2</v>
      </c>
      <c r="C249" t="s">
        <v>5833</v>
      </c>
      <c r="D249" t="s">
        <v>75</v>
      </c>
    </row>
    <row r="250" spans="1:4" x14ac:dyDescent="0.25">
      <c r="A250" t="s">
        <v>6029</v>
      </c>
      <c r="B250">
        <v>7.2499999999999995E-2</v>
      </c>
      <c r="C250" t="s">
        <v>2208</v>
      </c>
      <c r="D250" t="s">
        <v>75</v>
      </c>
    </row>
    <row r="251" spans="1:4" x14ac:dyDescent="0.25">
      <c r="A251" t="s">
        <v>4113</v>
      </c>
      <c r="B251">
        <v>8.7499999999999994E-2</v>
      </c>
      <c r="C251" t="s">
        <v>3099</v>
      </c>
      <c r="D251" t="s">
        <v>75</v>
      </c>
    </row>
    <row r="252" spans="1:4" x14ac:dyDescent="0.25">
      <c r="A252" t="s">
        <v>6030</v>
      </c>
      <c r="B252">
        <v>7.2499999999999995E-2</v>
      </c>
      <c r="C252" t="s">
        <v>6031</v>
      </c>
      <c r="D252" t="s">
        <v>75</v>
      </c>
    </row>
    <row r="253" spans="1:4" x14ac:dyDescent="0.25">
      <c r="A253" t="s">
        <v>1464</v>
      </c>
      <c r="B253">
        <v>0.10249999999999999</v>
      </c>
      <c r="C253" t="s">
        <v>324</v>
      </c>
      <c r="D253" t="s">
        <v>75</v>
      </c>
    </row>
    <row r="254" spans="1:4" x14ac:dyDescent="0.25">
      <c r="A254" t="s">
        <v>6032</v>
      </c>
      <c r="B254">
        <v>8.7499999999999994E-2</v>
      </c>
      <c r="C254" t="s">
        <v>5830</v>
      </c>
      <c r="D254" t="s">
        <v>75</v>
      </c>
    </row>
    <row r="255" spans="1:4" x14ac:dyDescent="0.25">
      <c r="A255" t="s">
        <v>452</v>
      </c>
      <c r="B255">
        <v>8.2500000000000004E-2</v>
      </c>
      <c r="C255" t="s">
        <v>5939</v>
      </c>
      <c r="D255" t="s">
        <v>75</v>
      </c>
    </row>
    <row r="256" spans="1:4" x14ac:dyDescent="0.25">
      <c r="A256" t="s">
        <v>6033</v>
      </c>
      <c r="B256">
        <v>7.7499999999999999E-2</v>
      </c>
      <c r="C256" t="s">
        <v>5801</v>
      </c>
      <c r="D256" t="s">
        <v>75</v>
      </c>
    </row>
    <row r="257" spans="1:4" x14ac:dyDescent="0.25">
      <c r="A257" t="s">
        <v>6034</v>
      </c>
      <c r="B257">
        <v>0.105</v>
      </c>
      <c r="C257" t="s">
        <v>1399</v>
      </c>
      <c r="D257" t="s">
        <v>75</v>
      </c>
    </row>
    <row r="258" spans="1:4" x14ac:dyDescent="0.25">
      <c r="A258" t="s">
        <v>6035</v>
      </c>
      <c r="B258">
        <v>8.7499999999999994E-2</v>
      </c>
      <c r="C258" t="s">
        <v>2914</v>
      </c>
      <c r="D258" t="s">
        <v>75</v>
      </c>
    </row>
    <row r="259" spans="1:4" x14ac:dyDescent="0.25">
      <c r="A259" t="s">
        <v>4117</v>
      </c>
      <c r="B259">
        <v>0.105</v>
      </c>
      <c r="C259" t="s">
        <v>1399</v>
      </c>
      <c r="D259" t="s">
        <v>75</v>
      </c>
    </row>
    <row r="260" spans="1:4" x14ac:dyDescent="0.25">
      <c r="A260" t="s">
        <v>6036</v>
      </c>
      <c r="B260">
        <v>7.4999999999999997E-2</v>
      </c>
      <c r="C260" t="s">
        <v>2208</v>
      </c>
      <c r="D260" t="s">
        <v>75</v>
      </c>
    </row>
    <row r="261" spans="1:4" x14ac:dyDescent="0.25">
      <c r="A261" t="s">
        <v>6037</v>
      </c>
      <c r="B261">
        <v>9.2499999999999999E-2</v>
      </c>
      <c r="C261" t="s">
        <v>5806</v>
      </c>
      <c r="D261" t="s">
        <v>75</v>
      </c>
    </row>
    <row r="262" spans="1:4" x14ac:dyDescent="0.25">
      <c r="A262" t="s">
        <v>333</v>
      </c>
      <c r="B262">
        <v>9.1249999999999998E-2</v>
      </c>
      <c r="C262" t="s">
        <v>2595</v>
      </c>
      <c r="D262" t="s">
        <v>75</v>
      </c>
    </row>
    <row r="263" spans="1:4" x14ac:dyDescent="0.25">
      <c r="A263" t="s">
        <v>6038</v>
      </c>
      <c r="B263">
        <v>9.1249999999999998E-2</v>
      </c>
      <c r="C263" t="s">
        <v>2595</v>
      </c>
      <c r="D263" t="s">
        <v>75</v>
      </c>
    </row>
    <row r="264" spans="1:4" x14ac:dyDescent="0.25">
      <c r="A264" t="s">
        <v>1399</v>
      </c>
      <c r="B264">
        <v>9.5000000000000001E-2</v>
      </c>
      <c r="C264" t="s">
        <v>1399</v>
      </c>
      <c r="D264" t="s">
        <v>75</v>
      </c>
    </row>
    <row r="265" spans="1:4" x14ac:dyDescent="0.25">
      <c r="A265" t="s">
        <v>6039</v>
      </c>
      <c r="B265">
        <v>9.7500000000000003E-2</v>
      </c>
      <c r="C265" t="s">
        <v>1399</v>
      </c>
      <c r="D265" t="s">
        <v>5797</v>
      </c>
    </row>
    <row r="266" spans="1:4" x14ac:dyDescent="0.25">
      <c r="A266" t="s">
        <v>6040</v>
      </c>
      <c r="B266">
        <v>8.7499999999999994E-2</v>
      </c>
      <c r="C266" t="s">
        <v>5830</v>
      </c>
      <c r="D266" t="s">
        <v>75</v>
      </c>
    </row>
    <row r="267" spans="1:4" x14ac:dyDescent="0.25">
      <c r="A267" t="s">
        <v>4121</v>
      </c>
      <c r="B267">
        <v>9.2499999999999999E-2</v>
      </c>
      <c r="C267" t="s">
        <v>2595</v>
      </c>
      <c r="D267" t="s">
        <v>75</v>
      </c>
    </row>
    <row r="268" spans="1:4" x14ac:dyDescent="0.25">
      <c r="A268" t="s">
        <v>6041</v>
      </c>
      <c r="B268">
        <v>7.2499999999999995E-2</v>
      </c>
      <c r="C268" t="s">
        <v>6042</v>
      </c>
      <c r="D268" t="s">
        <v>75</v>
      </c>
    </row>
    <row r="269" spans="1:4" x14ac:dyDescent="0.25">
      <c r="A269" t="s">
        <v>6043</v>
      </c>
      <c r="B269">
        <v>0.1075</v>
      </c>
      <c r="C269" t="s">
        <v>1399</v>
      </c>
      <c r="D269" t="s">
        <v>75</v>
      </c>
    </row>
    <row r="270" spans="1:4" x14ac:dyDescent="0.25">
      <c r="A270" t="s">
        <v>5881</v>
      </c>
      <c r="B270">
        <v>8.2500000000000004E-2</v>
      </c>
      <c r="C270" t="s">
        <v>5881</v>
      </c>
      <c r="D270" t="s">
        <v>75</v>
      </c>
    </row>
    <row r="271" spans="1:4" x14ac:dyDescent="0.25">
      <c r="A271" t="s">
        <v>6044</v>
      </c>
      <c r="B271">
        <v>7.7499999999999999E-2</v>
      </c>
      <c r="C271" t="s">
        <v>5881</v>
      </c>
      <c r="D271" t="s">
        <v>5797</v>
      </c>
    </row>
    <row r="272" spans="1:4" x14ac:dyDescent="0.25">
      <c r="A272" t="s">
        <v>6045</v>
      </c>
      <c r="B272">
        <v>0.10249999999999999</v>
      </c>
      <c r="C272" t="s">
        <v>1399</v>
      </c>
      <c r="D272" t="s">
        <v>75</v>
      </c>
    </row>
    <row r="273" spans="1:4" x14ac:dyDescent="0.25">
      <c r="A273" t="s">
        <v>6046</v>
      </c>
      <c r="B273">
        <v>7.7499999999999999E-2</v>
      </c>
      <c r="C273" t="s">
        <v>6047</v>
      </c>
      <c r="D273" t="s">
        <v>75</v>
      </c>
    </row>
    <row r="274" spans="1:4" x14ac:dyDescent="0.25">
      <c r="A274" t="s">
        <v>6048</v>
      </c>
      <c r="B274">
        <v>0.10249999999999999</v>
      </c>
      <c r="C274" t="s">
        <v>1399</v>
      </c>
      <c r="D274" t="s">
        <v>75</v>
      </c>
    </row>
    <row r="275" spans="1:4" x14ac:dyDescent="0.25">
      <c r="A275" t="s">
        <v>6049</v>
      </c>
      <c r="B275">
        <v>0.09</v>
      </c>
      <c r="C275" t="s">
        <v>5939</v>
      </c>
      <c r="D275" t="s">
        <v>75</v>
      </c>
    </row>
    <row r="276" spans="1:4" x14ac:dyDescent="0.25">
      <c r="A276" t="s">
        <v>6050</v>
      </c>
      <c r="B276">
        <v>8.2500000000000004E-2</v>
      </c>
      <c r="C276" t="s">
        <v>5826</v>
      </c>
      <c r="D276" t="s">
        <v>75</v>
      </c>
    </row>
    <row r="277" spans="1:4" x14ac:dyDescent="0.25">
      <c r="A277" t="s">
        <v>6051</v>
      </c>
      <c r="B277">
        <v>8.2500000000000004E-2</v>
      </c>
      <c r="C277" t="s">
        <v>759</v>
      </c>
      <c r="D277" t="s">
        <v>5797</v>
      </c>
    </row>
    <row r="278" spans="1:4" x14ac:dyDescent="0.25">
      <c r="A278" t="s">
        <v>3295</v>
      </c>
      <c r="B278">
        <v>9.2499999999999999E-2</v>
      </c>
      <c r="C278" t="s">
        <v>529</v>
      </c>
      <c r="D278" t="s">
        <v>75</v>
      </c>
    </row>
    <row r="279" spans="1:4" x14ac:dyDescent="0.25">
      <c r="A279" t="s">
        <v>6052</v>
      </c>
      <c r="B279">
        <v>8.2500000000000004E-2</v>
      </c>
      <c r="C279" t="s">
        <v>6053</v>
      </c>
      <c r="D279" t="s">
        <v>5797</v>
      </c>
    </row>
    <row r="280" spans="1:4" x14ac:dyDescent="0.25">
      <c r="A280" t="s">
        <v>576</v>
      </c>
      <c r="B280">
        <v>9.7500000000000003E-2</v>
      </c>
      <c r="C280" t="s">
        <v>5818</v>
      </c>
      <c r="D280" t="s">
        <v>75</v>
      </c>
    </row>
    <row r="281" spans="1:4" x14ac:dyDescent="0.25">
      <c r="A281" t="s">
        <v>6054</v>
      </c>
      <c r="B281">
        <v>8.2500000000000004E-2</v>
      </c>
      <c r="C281" t="s">
        <v>6055</v>
      </c>
      <c r="D281" t="s">
        <v>75</v>
      </c>
    </row>
    <row r="282" spans="1:4" x14ac:dyDescent="0.25">
      <c r="A282" t="s">
        <v>6056</v>
      </c>
      <c r="B282">
        <v>9.5000000000000001E-2</v>
      </c>
      <c r="C282" t="s">
        <v>1399</v>
      </c>
      <c r="D282" t="s">
        <v>75</v>
      </c>
    </row>
    <row r="283" spans="1:4" x14ac:dyDescent="0.25">
      <c r="A283" t="s">
        <v>6057</v>
      </c>
      <c r="B283">
        <v>8.2500000000000004E-2</v>
      </c>
      <c r="C283" t="s">
        <v>5826</v>
      </c>
      <c r="D283" t="s">
        <v>75</v>
      </c>
    </row>
    <row r="284" spans="1:4" x14ac:dyDescent="0.25">
      <c r="A284" t="s">
        <v>6058</v>
      </c>
      <c r="B284">
        <v>7.8750000000000001E-2</v>
      </c>
      <c r="C284" t="s">
        <v>5949</v>
      </c>
      <c r="D284" t="s">
        <v>5797</v>
      </c>
    </row>
    <row r="285" spans="1:4" x14ac:dyDescent="0.25">
      <c r="A285" t="s">
        <v>6059</v>
      </c>
      <c r="B285">
        <v>9.2249999999999999E-2</v>
      </c>
      <c r="C285" t="s">
        <v>560</v>
      </c>
      <c r="D285" t="s">
        <v>75</v>
      </c>
    </row>
    <row r="286" spans="1:4" x14ac:dyDescent="0.25">
      <c r="A286" t="s">
        <v>6060</v>
      </c>
      <c r="B286">
        <v>8.7499999999999994E-2</v>
      </c>
      <c r="C286" t="s">
        <v>439</v>
      </c>
      <c r="D286" t="s">
        <v>75</v>
      </c>
    </row>
    <row r="287" spans="1:4" x14ac:dyDescent="0.25">
      <c r="A287" t="s">
        <v>6061</v>
      </c>
      <c r="B287">
        <v>9.375E-2</v>
      </c>
      <c r="C287" t="s">
        <v>1208</v>
      </c>
      <c r="D287" t="s">
        <v>75</v>
      </c>
    </row>
    <row r="288" spans="1:4" x14ac:dyDescent="0.25">
      <c r="A288" t="s">
        <v>5830</v>
      </c>
      <c r="B288">
        <v>8.2500000000000004E-2</v>
      </c>
      <c r="C288" t="s">
        <v>5830</v>
      </c>
      <c r="D288" t="s">
        <v>75</v>
      </c>
    </row>
    <row r="289" spans="1:4" x14ac:dyDescent="0.25">
      <c r="A289" t="s">
        <v>6062</v>
      </c>
      <c r="B289">
        <v>7.7499999999999999E-2</v>
      </c>
      <c r="C289" t="s">
        <v>5830</v>
      </c>
      <c r="D289" t="s">
        <v>5797</v>
      </c>
    </row>
    <row r="290" spans="1:4" x14ac:dyDescent="0.25">
      <c r="A290" t="s">
        <v>823</v>
      </c>
      <c r="B290">
        <v>9.2499999999999999E-2</v>
      </c>
      <c r="C290" t="s">
        <v>759</v>
      </c>
      <c r="D290" t="s">
        <v>75</v>
      </c>
    </row>
    <row r="291" spans="1:4" x14ac:dyDescent="0.25">
      <c r="A291" t="s">
        <v>2505</v>
      </c>
      <c r="B291">
        <v>9.375E-2</v>
      </c>
      <c r="C291" t="s">
        <v>1208</v>
      </c>
      <c r="D291" t="s">
        <v>75</v>
      </c>
    </row>
    <row r="292" spans="1:4" x14ac:dyDescent="0.25">
      <c r="A292" t="s">
        <v>2509</v>
      </c>
      <c r="B292">
        <v>9.375E-2</v>
      </c>
      <c r="C292" t="s">
        <v>2595</v>
      </c>
      <c r="D292" t="s">
        <v>75</v>
      </c>
    </row>
    <row r="293" spans="1:4" x14ac:dyDescent="0.25">
      <c r="A293" t="s">
        <v>6063</v>
      </c>
      <c r="B293">
        <v>7.7499999999999999E-2</v>
      </c>
      <c r="C293" t="s">
        <v>5806</v>
      </c>
      <c r="D293" t="s">
        <v>75</v>
      </c>
    </row>
    <row r="294" spans="1:4" x14ac:dyDescent="0.25">
      <c r="A294" t="s">
        <v>1565</v>
      </c>
      <c r="B294">
        <v>8.8749999999999996E-2</v>
      </c>
      <c r="C294" t="s">
        <v>5876</v>
      </c>
      <c r="D294" t="s">
        <v>75</v>
      </c>
    </row>
    <row r="295" spans="1:4" x14ac:dyDescent="0.25">
      <c r="A295" t="s">
        <v>6064</v>
      </c>
      <c r="B295">
        <v>7.2499999999999995E-2</v>
      </c>
      <c r="C295" t="s">
        <v>5810</v>
      </c>
      <c r="D295" t="s">
        <v>5797</v>
      </c>
    </row>
    <row r="296" spans="1:4" x14ac:dyDescent="0.25">
      <c r="A296" t="s">
        <v>6065</v>
      </c>
      <c r="B296">
        <v>7.2499999999999995E-2</v>
      </c>
      <c r="C296" t="s">
        <v>6047</v>
      </c>
      <c r="D296" t="s">
        <v>5797</v>
      </c>
    </row>
    <row r="297" spans="1:4" x14ac:dyDescent="0.25">
      <c r="A297" t="s">
        <v>6066</v>
      </c>
      <c r="B297">
        <v>0.105</v>
      </c>
      <c r="C297" t="s">
        <v>1399</v>
      </c>
      <c r="D297" t="s">
        <v>75</v>
      </c>
    </row>
    <row r="298" spans="1:4" x14ac:dyDescent="0.25">
      <c r="A298" t="s">
        <v>6067</v>
      </c>
      <c r="B298">
        <v>7.2499999999999995E-2</v>
      </c>
      <c r="C298" t="s">
        <v>5925</v>
      </c>
      <c r="D298" t="s">
        <v>75</v>
      </c>
    </row>
    <row r="299" spans="1:4" x14ac:dyDescent="0.25">
      <c r="A299" t="s">
        <v>6068</v>
      </c>
      <c r="B299">
        <v>0.09</v>
      </c>
      <c r="C299" t="s">
        <v>5801</v>
      </c>
      <c r="D299" t="s">
        <v>75</v>
      </c>
    </row>
    <row r="300" spans="1:4" x14ac:dyDescent="0.25">
      <c r="A300" t="s">
        <v>6069</v>
      </c>
      <c r="B300">
        <v>9.1249999999999998E-2</v>
      </c>
      <c r="C300" t="s">
        <v>2595</v>
      </c>
      <c r="D300" t="s">
        <v>75</v>
      </c>
    </row>
    <row r="301" spans="1:4" x14ac:dyDescent="0.25">
      <c r="A301" t="s">
        <v>6070</v>
      </c>
      <c r="B301">
        <v>0.105</v>
      </c>
      <c r="C301" t="s">
        <v>1399</v>
      </c>
      <c r="D301" t="s">
        <v>75</v>
      </c>
    </row>
    <row r="302" spans="1:4" x14ac:dyDescent="0.25">
      <c r="A302" t="s">
        <v>529</v>
      </c>
      <c r="B302">
        <v>9.2499999999999999E-2</v>
      </c>
      <c r="C302" t="s">
        <v>529</v>
      </c>
      <c r="D302" t="s">
        <v>75</v>
      </c>
    </row>
    <row r="303" spans="1:4" x14ac:dyDescent="0.25">
      <c r="A303" t="s">
        <v>6071</v>
      </c>
      <c r="B303">
        <v>8.7499999999999994E-2</v>
      </c>
      <c r="C303" t="s">
        <v>529</v>
      </c>
      <c r="D303" t="s">
        <v>5797</v>
      </c>
    </row>
    <row r="304" spans="1:4" x14ac:dyDescent="0.25">
      <c r="A304" t="s">
        <v>6072</v>
      </c>
      <c r="B304">
        <v>0.105</v>
      </c>
      <c r="C304" t="s">
        <v>1399</v>
      </c>
      <c r="D304" t="s">
        <v>75</v>
      </c>
    </row>
    <row r="305" spans="1:4" x14ac:dyDescent="0.25">
      <c r="A305" t="s">
        <v>6073</v>
      </c>
      <c r="B305">
        <v>7.2499999999999995E-2</v>
      </c>
      <c r="C305" t="s">
        <v>4704</v>
      </c>
      <c r="D305" t="s">
        <v>75</v>
      </c>
    </row>
    <row r="306" spans="1:4" x14ac:dyDescent="0.25">
      <c r="A306" t="s">
        <v>6074</v>
      </c>
      <c r="B306">
        <v>9.7500000000000003E-2</v>
      </c>
      <c r="C306" t="s">
        <v>5818</v>
      </c>
      <c r="D306" t="s">
        <v>75</v>
      </c>
    </row>
    <row r="307" spans="1:4" x14ac:dyDescent="0.25">
      <c r="A307" t="s">
        <v>6075</v>
      </c>
      <c r="B307">
        <v>8.7499999999999994E-2</v>
      </c>
      <c r="C307" t="s">
        <v>439</v>
      </c>
      <c r="D307" t="s">
        <v>75</v>
      </c>
    </row>
    <row r="308" spans="1:4" x14ac:dyDescent="0.25">
      <c r="A308" t="s">
        <v>6076</v>
      </c>
      <c r="B308">
        <v>9.1249999999999998E-2</v>
      </c>
      <c r="C308" t="s">
        <v>2595</v>
      </c>
      <c r="D308" t="s">
        <v>75</v>
      </c>
    </row>
    <row r="309" spans="1:4" x14ac:dyDescent="0.25">
      <c r="A309" t="s">
        <v>6077</v>
      </c>
      <c r="B309">
        <v>8.7499999999999994E-2</v>
      </c>
      <c r="C309" t="s">
        <v>5823</v>
      </c>
      <c r="D309" t="s">
        <v>75</v>
      </c>
    </row>
    <row r="310" spans="1:4" x14ac:dyDescent="0.25">
      <c r="A310" t="s">
        <v>6078</v>
      </c>
      <c r="B310">
        <v>7.4999999999999997E-2</v>
      </c>
      <c r="C310" t="s">
        <v>5925</v>
      </c>
      <c r="D310" t="s">
        <v>75</v>
      </c>
    </row>
    <row r="311" spans="1:4" x14ac:dyDescent="0.25">
      <c r="A311" t="s">
        <v>179</v>
      </c>
      <c r="B311">
        <v>9.1249999999999998E-2</v>
      </c>
      <c r="C311" t="s">
        <v>2595</v>
      </c>
      <c r="D311" t="s">
        <v>75</v>
      </c>
    </row>
    <row r="312" spans="1:4" x14ac:dyDescent="0.25">
      <c r="A312" t="s">
        <v>6079</v>
      </c>
      <c r="B312">
        <v>8.7499999999999994E-2</v>
      </c>
      <c r="C312" t="s">
        <v>439</v>
      </c>
      <c r="D312" t="s">
        <v>75</v>
      </c>
    </row>
    <row r="313" spans="1:4" x14ac:dyDescent="0.25">
      <c r="A313" t="s">
        <v>1492</v>
      </c>
      <c r="B313">
        <v>8.7499999999999994E-2</v>
      </c>
      <c r="C313" t="s">
        <v>1492</v>
      </c>
      <c r="D313" t="s">
        <v>75</v>
      </c>
    </row>
    <row r="314" spans="1:4" x14ac:dyDescent="0.25">
      <c r="A314" t="s">
        <v>6080</v>
      </c>
      <c r="B314">
        <v>7.7499999999999999E-2</v>
      </c>
      <c r="C314" t="s">
        <v>1492</v>
      </c>
      <c r="D314" t="s">
        <v>5797</v>
      </c>
    </row>
    <row r="315" spans="1:4" x14ac:dyDescent="0.25">
      <c r="A315" t="s">
        <v>6081</v>
      </c>
      <c r="B315">
        <v>8.7499999999999994E-2</v>
      </c>
      <c r="C315" t="s">
        <v>5871</v>
      </c>
      <c r="D315" t="s">
        <v>75</v>
      </c>
    </row>
    <row r="316" spans="1:4" x14ac:dyDescent="0.25">
      <c r="A316" t="s">
        <v>6082</v>
      </c>
      <c r="B316">
        <v>7.7499999999999999E-2</v>
      </c>
      <c r="C316" t="s">
        <v>5801</v>
      </c>
      <c r="D316" t="s">
        <v>75</v>
      </c>
    </row>
    <row r="317" spans="1:4" x14ac:dyDescent="0.25">
      <c r="A317" t="s">
        <v>6083</v>
      </c>
      <c r="B317">
        <v>8.3750000000000005E-2</v>
      </c>
      <c r="C317" t="s">
        <v>5965</v>
      </c>
      <c r="D317" t="s">
        <v>75</v>
      </c>
    </row>
    <row r="318" spans="1:4" x14ac:dyDescent="0.25">
      <c r="A318" t="s">
        <v>6084</v>
      </c>
      <c r="B318">
        <v>7.4999999999999997E-2</v>
      </c>
      <c r="C318" t="s">
        <v>5965</v>
      </c>
      <c r="D318" t="s">
        <v>5797</v>
      </c>
    </row>
    <row r="319" spans="1:4" x14ac:dyDescent="0.25">
      <c r="A319" t="s">
        <v>463</v>
      </c>
      <c r="B319">
        <v>0.1075</v>
      </c>
      <c r="C319" t="s">
        <v>324</v>
      </c>
      <c r="D319" t="s">
        <v>75</v>
      </c>
    </row>
    <row r="320" spans="1:4" x14ac:dyDescent="0.25">
      <c r="A320" t="s">
        <v>6085</v>
      </c>
      <c r="B320">
        <v>7.8750000000000001E-2</v>
      </c>
      <c r="C320" t="s">
        <v>5876</v>
      </c>
      <c r="D320" t="s">
        <v>75</v>
      </c>
    </row>
    <row r="321" spans="1:4" x14ac:dyDescent="0.25">
      <c r="A321" t="s">
        <v>6086</v>
      </c>
      <c r="B321">
        <v>7.7499999999999999E-2</v>
      </c>
      <c r="C321" t="s">
        <v>5806</v>
      </c>
      <c r="D321" t="s">
        <v>75</v>
      </c>
    </row>
    <row r="322" spans="1:4" x14ac:dyDescent="0.25">
      <c r="A322" t="s">
        <v>6087</v>
      </c>
      <c r="B322">
        <v>8.7499999999999994E-2</v>
      </c>
      <c r="C322" t="s">
        <v>439</v>
      </c>
      <c r="D322" t="s">
        <v>75</v>
      </c>
    </row>
    <row r="323" spans="1:4" x14ac:dyDescent="0.25">
      <c r="A323" t="s">
        <v>6088</v>
      </c>
      <c r="B323">
        <v>0.105</v>
      </c>
      <c r="C323" t="s">
        <v>1399</v>
      </c>
      <c r="D323" t="s">
        <v>75</v>
      </c>
    </row>
    <row r="324" spans="1:4" x14ac:dyDescent="0.25">
      <c r="A324" t="s">
        <v>420</v>
      </c>
      <c r="B324">
        <v>9.2499999999999999E-2</v>
      </c>
      <c r="C324" t="s">
        <v>759</v>
      </c>
      <c r="D324" t="s">
        <v>75</v>
      </c>
    </row>
    <row r="325" spans="1:4" x14ac:dyDescent="0.25">
      <c r="A325" t="s">
        <v>6089</v>
      </c>
      <c r="B325">
        <v>8.3750000000000005E-2</v>
      </c>
      <c r="C325" t="s">
        <v>5876</v>
      </c>
      <c r="D325" t="s">
        <v>75</v>
      </c>
    </row>
    <row r="326" spans="1:4" x14ac:dyDescent="0.25">
      <c r="A326" t="s">
        <v>115</v>
      </c>
      <c r="B326">
        <v>0.10249999999999999</v>
      </c>
      <c r="C326" t="s">
        <v>324</v>
      </c>
      <c r="D326" t="s">
        <v>75</v>
      </c>
    </row>
    <row r="327" spans="1:4" x14ac:dyDescent="0.25">
      <c r="A327" t="s">
        <v>6090</v>
      </c>
      <c r="B327">
        <v>8.7499999999999994E-2</v>
      </c>
      <c r="C327" t="s">
        <v>5818</v>
      </c>
      <c r="D327" t="s">
        <v>75</v>
      </c>
    </row>
    <row r="328" spans="1:4" x14ac:dyDescent="0.25">
      <c r="A328" t="s">
        <v>2529</v>
      </c>
      <c r="B328">
        <v>8.2500000000000004E-2</v>
      </c>
      <c r="C328" t="s">
        <v>5871</v>
      </c>
      <c r="D328" t="s">
        <v>75</v>
      </c>
    </row>
    <row r="329" spans="1:4" x14ac:dyDescent="0.25">
      <c r="A329" t="s">
        <v>6091</v>
      </c>
      <c r="B329">
        <v>7.2499999999999995E-2</v>
      </c>
      <c r="C329" t="s">
        <v>4704</v>
      </c>
      <c r="D329" t="s">
        <v>75</v>
      </c>
    </row>
    <row r="330" spans="1:4" x14ac:dyDescent="0.25">
      <c r="A330" t="s">
        <v>6092</v>
      </c>
      <c r="B330">
        <v>8.7499999999999994E-2</v>
      </c>
      <c r="C330" t="s">
        <v>5801</v>
      </c>
      <c r="D330" t="s">
        <v>75</v>
      </c>
    </row>
    <row r="331" spans="1:4" x14ac:dyDescent="0.25">
      <c r="A331" t="s">
        <v>5806</v>
      </c>
      <c r="B331">
        <v>7.7499999999999999E-2</v>
      </c>
      <c r="C331" t="s">
        <v>5806</v>
      </c>
      <c r="D331" t="s">
        <v>75</v>
      </c>
    </row>
    <row r="332" spans="1:4" x14ac:dyDescent="0.25">
      <c r="A332" t="s">
        <v>6093</v>
      </c>
      <c r="B332">
        <v>7.7499999999999999E-2</v>
      </c>
      <c r="C332" t="s">
        <v>5806</v>
      </c>
      <c r="D332" t="s">
        <v>5797</v>
      </c>
    </row>
    <row r="333" spans="1:4" x14ac:dyDescent="0.25">
      <c r="A333" t="s">
        <v>6094</v>
      </c>
      <c r="B333">
        <v>7.9750000000000001E-2</v>
      </c>
      <c r="C333" t="s">
        <v>560</v>
      </c>
      <c r="D333" t="s">
        <v>75</v>
      </c>
    </row>
    <row r="334" spans="1:4" x14ac:dyDescent="0.25">
      <c r="A334" t="s">
        <v>6095</v>
      </c>
      <c r="B334">
        <v>9.7500000000000003E-2</v>
      </c>
      <c r="C334" t="s">
        <v>5818</v>
      </c>
      <c r="D334" t="s">
        <v>75</v>
      </c>
    </row>
    <row r="335" spans="1:4" x14ac:dyDescent="0.25">
      <c r="A335" t="s">
        <v>6096</v>
      </c>
      <c r="B335">
        <v>8.2500000000000004E-2</v>
      </c>
      <c r="C335" t="s">
        <v>5962</v>
      </c>
      <c r="D335" t="s">
        <v>75</v>
      </c>
    </row>
    <row r="336" spans="1:4" x14ac:dyDescent="0.25">
      <c r="A336" t="s">
        <v>6097</v>
      </c>
      <c r="B336">
        <v>9.2499999999999999E-2</v>
      </c>
      <c r="C336" t="s">
        <v>5848</v>
      </c>
      <c r="D336" t="s">
        <v>75</v>
      </c>
    </row>
    <row r="337" spans="1:4" x14ac:dyDescent="0.25">
      <c r="A337" t="s">
        <v>6098</v>
      </c>
      <c r="B337">
        <v>9.2499999999999999E-2</v>
      </c>
      <c r="C337" t="s">
        <v>4704</v>
      </c>
      <c r="D337" t="s">
        <v>75</v>
      </c>
    </row>
    <row r="338" spans="1:4" x14ac:dyDescent="0.25">
      <c r="A338" t="s">
        <v>6099</v>
      </c>
      <c r="B338">
        <v>9.2499999999999999E-2</v>
      </c>
      <c r="C338" t="s">
        <v>529</v>
      </c>
      <c r="D338" t="s">
        <v>75</v>
      </c>
    </row>
    <row r="339" spans="1:4" x14ac:dyDescent="0.25">
      <c r="A339" t="s">
        <v>1687</v>
      </c>
      <c r="B339">
        <v>9.8750000000000004E-2</v>
      </c>
      <c r="C339" t="s">
        <v>1208</v>
      </c>
      <c r="D339" t="s">
        <v>75</v>
      </c>
    </row>
    <row r="340" spans="1:4" x14ac:dyDescent="0.25">
      <c r="A340" t="s">
        <v>441</v>
      </c>
      <c r="B340">
        <v>8.7499999999999994E-2</v>
      </c>
      <c r="C340" t="s">
        <v>439</v>
      </c>
      <c r="D340" t="s">
        <v>75</v>
      </c>
    </row>
    <row r="341" spans="1:4" x14ac:dyDescent="0.25">
      <c r="A341" t="s">
        <v>6100</v>
      </c>
      <c r="B341">
        <v>9.2499999999999999E-2</v>
      </c>
      <c r="C341" t="s">
        <v>439</v>
      </c>
      <c r="D341" t="s">
        <v>75</v>
      </c>
    </row>
    <row r="342" spans="1:4" x14ac:dyDescent="0.25">
      <c r="A342" t="s">
        <v>1581</v>
      </c>
      <c r="B342">
        <v>0.1125</v>
      </c>
      <c r="C342" t="s">
        <v>1399</v>
      </c>
      <c r="D342" t="s">
        <v>75</v>
      </c>
    </row>
    <row r="343" spans="1:4" x14ac:dyDescent="0.25">
      <c r="A343" t="s">
        <v>476</v>
      </c>
      <c r="B343">
        <v>9.1249999999999998E-2</v>
      </c>
      <c r="C343" t="s">
        <v>2595</v>
      </c>
      <c r="D343" t="s">
        <v>75</v>
      </c>
    </row>
    <row r="344" spans="1:4" x14ac:dyDescent="0.25">
      <c r="A344" t="s">
        <v>6101</v>
      </c>
      <c r="B344">
        <v>9.5000000000000001E-2</v>
      </c>
      <c r="C344" t="s">
        <v>1399</v>
      </c>
      <c r="D344" t="s">
        <v>75</v>
      </c>
    </row>
    <row r="345" spans="1:4" x14ac:dyDescent="0.25">
      <c r="A345" t="s">
        <v>6102</v>
      </c>
      <c r="B345">
        <v>8.7499999999999994E-2</v>
      </c>
      <c r="C345" t="s">
        <v>5848</v>
      </c>
      <c r="D345" t="s">
        <v>75</v>
      </c>
    </row>
    <row r="346" spans="1:4" x14ac:dyDescent="0.25">
      <c r="A346" t="s">
        <v>6103</v>
      </c>
      <c r="B346">
        <v>0.105</v>
      </c>
      <c r="C346" t="s">
        <v>1399</v>
      </c>
      <c r="D346" t="s">
        <v>75</v>
      </c>
    </row>
    <row r="347" spans="1:4" x14ac:dyDescent="0.25">
      <c r="A347" t="s">
        <v>6104</v>
      </c>
      <c r="B347">
        <v>8.9749999999999996E-2</v>
      </c>
      <c r="C347" t="s">
        <v>560</v>
      </c>
      <c r="D347" t="s">
        <v>75</v>
      </c>
    </row>
    <row r="348" spans="1:4" x14ac:dyDescent="0.25">
      <c r="A348" t="s">
        <v>668</v>
      </c>
      <c r="B348">
        <v>0.105</v>
      </c>
      <c r="C348" t="s">
        <v>1399</v>
      </c>
      <c r="D348" t="s">
        <v>75</v>
      </c>
    </row>
    <row r="349" spans="1:4" x14ac:dyDescent="0.25">
      <c r="A349" t="s">
        <v>6105</v>
      </c>
      <c r="B349">
        <v>8.7499999999999994E-2</v>
      </c>
      <c r="C349" t="s">
        <v>5823</v>
      </c>
      <c r="D349" t="s">
        <v>75</v>
      </c>
    </row>
    <row r="350" spans="1:4" x14ac:dyDescent="0.25">
      <c r="A350" t="s">
        <v>2544</v>
      </c>
      <c r="B350">
        <v>7.8750000000000001E-2</v>
      </c>
      <c r="C350" t="s">
        <v>5876</v>
      </c>
      <c r="D350" t="s">
        <v>75</v>
      </c>
    </row>
    <row r="351" spans="1:4" x14ac:dyDescent="0.25">
      <c r="A351" t="s">
        <v>6106</v>
      </c>
      <c r="B351">
        <v>7.7499999999999999E-2</v>
      </c>
      <c r="C351" t="s">
        <v>439</v>
      </c>
      <c r="D351" t="s">
        <v>75</v>
      </c>
    </row>
    <row r="352" spans="1:4" x14ac:dyDescent="0.25">
      <c r="A352" t="s">
        <v>653</v>
      </c>
      <c r="B352">
        <v>0.10249999999999999</v>
      </c>
      <c r="C352" t="s">
        <v>869</v>
      </c>
      <c r="D352" t="s">
        <v>75</v>
      </c>
    </row>
    <row r="353" spans="1:4" x14ac:dyDescent="0.25">
      <c r="A353" t="s">
        <v>6107</v>
      </c>
      <c r="B353">
        <v>0.1075</v>
      </c>
      <c r="C353" t="s">
        <v>1399</v>
      </c>
      <c r="D353" t="s">
        <v>75</v>
      </c>
    </row>
    <row r="354" spans="1:4" x14ac:dyDescent="0.25">
      <c r="A354" t="s">
        <v>6108</v>
      </c>
      <c r="B354">
        <v>0.10249999999999999</v>
      </c>
      <c r="C354" t="s">
        <v>324</v>
      </c>
      <c r="D354" t="s">
        <v>75</v>
      </c>
    </row>
    <row r="355" spans="1:4" x14ac:dyDescent="0.25">
      <c r="A355" t="s">
        <v>1872</v>
      </c>
      <c r="B355">
        <v>0.10249999999999999</v>
      </c>
      <c r="C355" t="s">
        <v>5818</v>
      </c>
      <c r="D355" t="s">
        <v>75</v>
      </c>
    </row>
    <row r="356" spans="1:4" x14ac:dyDescent="0.25">
      <c r="A356" t="s">
        <v>6109</v>
      </c>
      <c r="B356">
        <v>8.2500000000000004E-2</v>
      </c>
      <c r="C356" t="s">
        <v>5823</v>
      </c>
      <c r="D356" t="s">
        <v>75</v>
      </c>
    </row>
    <row r="357" spans="1:4" x14ac:dyDescent="0.25">
      <c r="A357" t="s">
        <v>4201</v>
      </c>
      <c r="B357">
        <v>9.2499999999999999E-2</v>
      </c>
      <c r="C357" t="s">
        <v>5818</v>
      </c>
      <c r="D357" t="s">
        <v>75</v>
      </c>
    </row>
    <row r="358" spans="1:4" x14ac:dyDescent="0.25">
      <c r="A358" t="s">
        <v>6110</v>
      </c>
      <c r="B358">
        <v>8.7499999999999994E-2</v>
      </c>
      <c r="C358" t="s">
        <v>5806</v>
      </c>
      <c r="D358" t="s">
        <v>75</v>
      </c>
    </row>
    <row r="359" spans="1:4" x14ac:dyDescent="0.25">
      <c r="A359" t="s">
        <v>6111</v>
      </c>
      <c r="B359">
        <v>7.2499999999999995E-2</v>
      </c>
      <c r="C359" t="s">
        <v>2208</v>
      </c>
      <c r="D359" t="s">
        <v>5797</v>
      </c>
    </row>
    <row r="360" spans="1:4" x14ac:dyDescent="0.25">
      <c r="A360" t="s">
        <v>3648</v>
      </c>
      <c r="B360">
        <v>8.2500000000000004E-2</v>
      </c>
      <c r="C360" t="s">
        <v>5934</v>
      </c>
      <c r="D360" t="s">
        <v>75</v>
      </c>
    </row>
    <row r="361" spans="1:4" x14ac:dyDescent="0.25">
      <c r="A361" t="s">
        <v>1458</v>
      </c>
      <c r="B361">
        <v>9.2499999999999999E-2</v>
      </c>
      <c r="C361" t="s">
        <v>5818</v>
      </c>
      <c r="D361" t="s">
        <v>75</v>
      </c>
    </row>
    <row r="362" spans="1:4" x14ac:dyDescent="0.25">
      <c r="A362" t="s">
        <v>398</v>
      </c>
      <c r="B362">
        <v>0.10249999999999999</v>
      </c>
      <c r="C362" t="s">
        <v>324</v>
      </c>
      <c r="D362" t="s">
        <v>75</v>
      </c>
    </row>
    <row r="363" spans="1:4" x14ac:dyDescent="0.25">
      <c r="A363" t="s">
        <v>6112</v>
      </c>
      <c r="B363">
        <v>7.2499999999999995E-2</v>
      </c>
      <c r="C363" t="s">
        <v>6113</v>
      </c>
      <c r="D363" t="s">
        <v>5797</v>
      </c>
    </row>
    <row r="364" spans="1:4" x14ac:dyDescent="0.25">
      <c r="A364" t="s">
        <v>6114</v>
      </c>
      <c r="B364">
        <v>7.7499999999999999E-2</v>
      </c>
      <c r="C364" t="s">
        <v>5812</v>
      </c>
      <c r="D364" t="s">
        <v>75</v>
      </c>
    </row>
    <row r="365" spans="1:4" x14ac:dyDescent="0.25">
      <c r="A365" t="s">
        <v>6115</v>
      </c>
      <c r="B365">
        <v>9.2499999999999999E-2</v>
      </c>
      <c r="C365" t="s">
        <v>5949</v>
      </c>
      <c r="D365" t="s">
        <v>75</v>
      </c>
    </row>
    <row r="366" spans="1:4" x14ac:dyDescent="0.25">
      <c r="A366" t="s">
        <v>6116</v>
      </c>
      <c r="B366">
        <v>0.105</v>
      </c>
      <c r="C366" t="s">
        <v>1399</v>
      </c>
      <c r="D366" t="s">
        <v>75</v>
      </c>
    </row>
    <row r="367" spans="1:4" x14ac:dyDescent="0.25">
      <c r="A367" t="s">
        <v>6117</v>
      </c>
      <c r="B367">
        <v>8.7499999999999994E-2</v>
      </c>
      <c r="C367" t="s">
        <v>4704</v>
      </c>
      <c r="D367" t="s">
        <v>75</v>
      </c>
    </row>
    <row r="368" spans="1:4" x14ac:dyDescent="0.25">
      <c r="A368" t="s">
        <v>6118</v>
      </c>
      <c r="B368">
        <v>9.2499999999999999E-2</v>
      </c>
      <c r="C368" t="s">
        <v>3099</v>
      </c>
      <c r="D368" t="s">
        <v>75</v>
      </c>
    </row>
    <row r="369" spans="1:4" x14ac:dyDescent="0.25">
      <c r="A369" t="s">
        <v>6119</v>
      </c>
      <c r="B369">
        <v>7.2499999999999995E-2</v>
      </c>
      <c r="C369" t="s">
        <v>6113</v>
      </c>
      <c r="D369" t="s">
        <v>75</v>
      </c>
    </row>
    <row r="370" spans="1:4" x14ac:dyDescent="0.25">
      <c r="A370" t="s">
        <v>6120</v>
      </c>
      <c r="B370">
        <v>9.375E-2</v>
      </c>
      <c r="C370" t="s">
        <v>1208</v>
      </c>
      <c r="D370" t="s">
        <v>75</v>
      </c>
    </row>
    <row r="371" spans="1:4" x14ac:dyDescent="0.25">
      <c r="A371" t="s">
        <v>6121</v>
      </c>
      <c r="B371">
        <v>7.7499999999999999E-2</v>
      </c>
      <c r="C371" t="s">
        <v>5871</v>
      </c>
      <c r="D371" t="s">
        <v>75</v>
      </c>
    </row>
    <row r="372" spans="1:4" x14ac:dyDescent="0.25">
      <c r="A372" t="s">
        <v>6122</v>
      </c>
      <c r="B372">
        <v>8.7499999999999994E-2</v>
      </c>
      <c r="C372" t="s">
        <v>311</v>
      </c>
      <c r="D372" t="s">
        <v>75</v>
      </c>
    </row>
    <row r="373" spans="1:4" x14ac:dyDescent="0.25">
      <c r="A373" t="s">
        <v>6123</v>
      </c>
      <c r="B373">
        <v>7.7499999999999999E-2</v>
      </c>
      <c r="C373" t="s">
        <v>5801</v>
      </c>
      <c r="D373" t="s">
        <v>75</v>
      </c>
    </row>
    <row r="374" spans="1:4" x14ac:dyDescent="0.25">
      <c r="A374" t="s">
        <v>6124</v>
      </c>
      <c r="B374">
        <v>7.7499999999999999E-2</v>
      </c>
      <c r="C374" t="s">
        <v>439</v>
      </c>
      <c r="D374" t="s">
        <v>75</v>
      </c>
    </row>
    <row r="375" spans="1:4" x14ac:dyDescent="0.25">
      <c r="A375" t="s">
        <v>6125</v>
      </c>
      <c r="B375">
        <v>9.5000000000000001E-2</v>
      </c>
      <c r="C375" t="s">
        <v>1399</v>
      </c>
      <c r="D375" t="s">
        <v>75</v>
      </c>
    </row>
    <row r="376" spans="1:4" x14ac:dyDescent="0.25">
      <c r="A376" t="s">
        <v>6126</v>
      </c>
      <c r="B376">
        <v>7.7499999999999999E-2</v>
      </c>
      <c r="C376" t="s">
        <v>5806</v>
      </c>
      <c r="D376" t="s">
        <v>75</v>
      </c>
    </row>
    <row r="377" spans="1:4" x14ac:dyDescent="0.25">
      <c r="A377" t="s">
        <v>6127</v>
      </c>
      <c r="B377">
        <v>7.4999999999999997E-2</v>
      </c>
      <c r="C377" t="s">
        <v>5902</v>
      </c>
      <c r="D377" t="s">
        <v>75</v>
      </c>
    </row>
    <row r="378" spans="1:4" x14ac:dyDescent="0.25">
      <c r="A378" t="s">
        <v>6128</v>
      </c>
      <c r="B378">
        <v>7.2499999999999995E-2</v>
      </c>
      <c r="C378" t="s">
        <v>5815</v>
      </c>
      <c r="D378" t="s">
        <v>75</v>
      </c>
    </row>
    <row r="379" spans="1:4" x14ac:dyDescent="0.25">
      <c r="A379" t="s">
        <v>6129</v>
      </c>
      <c r="B379">
        <v>8.7499999999999994E-2</v>
      </c>
      <c r="C379" t="s">
        <v>5801</v>
      </c>
      <c r="D379" t="s">
        <v>75</v>
      </c>
    </row>
    <row r="380" spans="1:4" x14ac:dyDescent="0.25">
      <c r="A380" t="s">
        <v>6130</v>
      </c>
      <c r="B380">
        <v>9.5000000000000001E-2</v>
      </c>
      <c r="C380" t="s">
        <v>1399</v>
      </c>
      <c r="D380" t="s">
        <v>75</v>
      </c>
    </row>
    <row r="381" spans="1:4" x14ac:dyDescent="0.25">
      <c r="A381" t="s">
        <v>524</v>
      </c>
      <c r="B381">
        <v>9.8750000000000004E-2</v>
      </c>
      <c r="C381" t="s">
        <v>1208</v>
      </c>
      <c r="D381" t="s">
        <v>75</v>
      </c>
    </row>
    <row r="382" spans="1:4" x14ac:dyDescent="0.25">
      <c r="A382" t="s">
        <v>6131</v>
      </c>
      <c r="B382">
        <v>9.2249999999999999E-2</v>
      </c>
      <c r="C382" t="s">
        <v>560</v>
      </c>
      <c r="D382" t="s">
        <v>75</v>
      </c>
    </row>
    <row r="383" spans="1:4" x14ac:dyDescent="0.25">
      <c r="A383" t="s">
        <v>6132</v>
      </c>
      <c r="B383">
        <v>7.7499999999999999E-2</v>
      </c>
      <c r="C383" t="s">
        <v>5801</v>
      </c>
      <c r="D383" t="s">
        <v>75</v>
      </c>
    </row>
    <row r="384" spans="1:4" x14ac:dyDescent="0.25">
      <c r="A384" t="s">
        <v>553</v>
      </c>
      <c r="B384">
        <v>9.7500000000000003E-2</v>
      </c>
      <c r="C384" t="s">
        <v>5818</v>
      </c>
      <c r="D384" t="s">
        <v>75</v>
      </c>
    </row>
    <row r="385" spans="1:4" x14ac:dyDescent="0.25">
      <c r="A385" t="s">
        <v>6133</v>
      </c>
      <c r="B385">
        <v>9.2499999999999999E-2</v>
      </c>
      <c r="C385" t="s">
        <v>5826</v>
      </c>
      <c r="D385" t="s">
        <v>75</v>
      </c>
    </row>
    <row r="386" spans="1:4" x14ac:dyDescent="0.25">
      <c r="A386" t="s">
        <v>6134</v>
      </c>
      <c r="B386">
        <v>9.5000000000000001E-2</v>
      </c>
      <c r="C386" t="s">
        <v>5821</v>
      </c>
      <c r="D386" t="s">
        <v>75</v>
      </c>
    </row>
    <row r="387" spans="1:4" x14ac:dyDescent="0.25">
      <c r="A387" t="s">
        <v>1389</v>
      </c>
      <c r="B387">
        <v>9.1249999999999998E-2</v>
      </c>
      <c r="C387" t="s">
        <v>5844</v>
      </c>
      <c r="D387" t="s">
        <v>75</v>
      </c>
    </row>
    <row r="388" spans="1:4" x14ac:dyDescent="0.25">
      <c r="A388" t="s">
        <v>2252</v>
      </c>
      <c r="B388">
        <v>7.7499999999999999E-2</v>
      </c>
      <c r="C388" t="s">
        <v>5939</v>
      </c>
      <c r="D388" t="s">
        <v>75</v>
      </c>
    </row>
    <row r="389" spans="1:4" x14ac:dyDescent="0.25">
      <c r="A389" t="s">
        <v>2558</v>
      </c>
      <c r="B389">
        <v>7.8750000000000001E-2</v>
      </c>
      <c r="C389" t="s">
        <v>5876</v>
      </c>
      <c r="D389" t="s">
        <v>75</v>
      </c>
    </row>
    <row r="390" spans="1:4" x14ac:dyDescent="0.25">
      <c r="A390" t="s">
        <v>439</v>
      </c>
      <c r="B390">
        <v>8.7499999999999994E-2</v>
      </c>
      <c r="C390" t="s">
        <v>439</v>
      </c>
      <c r="D390" t="s">
        <v>75</v>
      </c>
    </row>
    <row r="391" spans="1:4" x14ac:dyDescent="0.25">
      <c r="A391" t="s">
        <v>6135</v>
      </c>
      <c r="B391">
        <v>7.7499999999999999E-2</v>
      </c>
      <c r="C391" t="s">
        <v>439</v>
      </c>
      <c r="D391" t="s">
        <v>5797</v>
      </c>
    </row>
    <row r="392" spans="1:4" x14ac:dyDescent="0.25">
      <c r="A392" t="s">
        <v>6136</v>
      </c>
      <c r="B392">
        <v>7.2499999999999995E-2</v>
      </c>
      <c r="C392" t="s">
        <v>2208</v>
      </c>
      <c r="D392" t="s">
        <v>75</v>
      </c>
    </row>
    <row r="393" spans="1:4" x14ac:dyDescent="0.25">
      <c r="A393" t="s">
        <v>3881</v>
      </c>
      <c r="B393">
        <v>9.7500000000000003E-2</v>
      </c>
      <c r="C393" t="s">
        <v>869</v>
      </c>
      <c r="D393" t="s">
        <v>75</v>
      </c>
    </row>
    <row r="394" spans="1:4" x14ac:dyDescent="0.25">
      <c r="A394" t="s">
        <v>6137</v>
      </c>
      <c r="B394">
        <v>9.5000000000000001E-2</v>
      </c>
      <c r="C394" t="s">
        <v>1399</v>
      </c>
      <c r="D394" t="s">
        <v>75</v>
      </c>
    </row>
    <row r="395" spans="1:4" x14ac:dyDescent="0.25">
      <c r="A395" t="s">
        <v>6138</v>
      </c>
      <c r="B395">
        <v>9.5000000000000001E-2</v>
      </c>
      <c r="C395" t="s">
        <v>1399</v>
      </c>
      <c r="D395" t="s">
        <v>75</v>
      </c>
    </row>
    <row r="396" spans="1:4" x14ac:dyDescent="0.25">
      <c r="A396" t="s">
        <v>3499</v>
      </c>
      <c r="B396">
        <v>9.5000000000000001E-2</v>
      </c>
      <c r="C396" t="s">
        <v>1399</v>
      </c>
      <c r="D396" t="s">
        <v>75</v>
      </c>
    </row>
    <row r="397" spans="1:4" x14ac:dyDescent="0.25">
      <c r="A397" t="s">
        <v>1249</v>
      </c>
      <c r="B397">
        <v>7.7499999999999999E-2</v>
      </c>
      <c r="C397" t="s">
        <v>2208</v>
      </c>
      <c r="D397" t="s">
        <v>75</v>
      </c>
    </row>
    <row r="398" spans="1:4" x14ac:dyDescent="0.25">
      <c r="A398" t="s">
        <v>3537</v>
      </c>
      <c r="B398">
        <v>8.2500000000000004E-2</v>
      </c>
      <c r="C398" t="s">
        <v>759</v>
      </c>
      <c r="D398" t="s">
        <v>75</v>
      </c>
    </row>
    <row r="399" spans="1:4" x14ac:dyDescent="0.25">
      <c r="A399" t="s">
        <v>311</v>
      </c>
      <c r="B399">
        <v>8.7499999999999994E-2</v>
      </c>
      <c r="C399" t="s">
        <v>311</v>
      </c>
      <c r="D399" t="s">
        <v>75</v>
      </c>
    </row>
    <row r="400" spans="1:4" x14ac:dyDescent="0.25">
      <c r="A400" t="s">
        <v>6139</v>
      </c>
      <c r="B400">
        <v>7.7499999999999999E-2</v>
      </c>
      <c r="C400" t="s">
        <v>311</v>
      </c>
      <c r="D400" t="s">
        <v>5797</v>
      </c>
    </row>
    <row r="401" spans="1:4" x14ac:dyDescent="0.25">
      <c r="A401" t="s">
        <v>6140</v>
      </c>
      <c r="B401">
        <v>9.2499999999999999E-2</v>
      </c>
      <c r="C401" t="s">
        <v>529</v>
      </c>
      <c r="D401" t="s">
        <v>75</v>
      </c>
    </row>
    <row r="402" spans="1:4" x14ac:dyDescent="0.25">
      <c r="A402" t="s">
        <v>538</v>
      </c>
      <c r="B402">
        <v>9.2499999999999999E-2</v>
      </c>
      <c r="C402" t="s">
        <v>759</v>
      </c>
      <c r="D402" t="s">
        <v>75</v>
      </c>
    </row>
    <row r="403" spans="1:4" x14ac:dyDescent="0.25">
      <c r="A403" t="s">
        <v>6141</v>
      </c>
      <c r="B403">
        <v>8.2500000000000004E-2</v>
      </c>
      <c r="C403" t="s">
        <v>5979</v>
      </c>
      <c r="D403" t="s">
        <v>5797</v>
      </c>
    </row>
    <row r="404" spans="1:4" x14ac:dyDescent="0.25">
      <c r="A404" t="s">
        <v>5801</v>
      </c>
      <c r="B404">
        <v>8.7499999999999994E-2</v>
      </c>
      <c r="C404" t="s">
        <v>5801</v>
      </c>
      <c r="D404" t="s">
        <v>75</v>
      </c>
    </row>
    <row r="405" spans="1:4" x14ac:dyDescent="0.25">
      <c r="A405" t="s">
        <v>6142</v>
      </c>
      <c r="B405">
        <v>7.7499999999999999E-2</v>
      </c>
      <c r="C405" t="s">
        <v>5801</v>
      </c>
      <c r="D405" t="s">
        <v>5797</v>
      </c>
    </row>
    <row r="406" spans="1:4" x14ac:dyDescent="0.25">
      <c r="A406" t="s">
        <v>980</v>
      </c>
      <c r="B406">
        <v>9.8750000000000004E-2</v>
      </c>
      <c r="C406" t="s">
        <v>1208</v>
      </c>
      <c r="D406" t="s">
        <v>75</v>
      </c>
    </row>
    <row r="407" spans="1:4" x14ac:dyDescent="0.25">
      <c r="A407" t="s">
        <v>3335</v>
      </c>
      <c r="B407">
        <v>9.375E-2</v>
      </c>
      <c r="C407" t="s">
        <v>1208</v>
      </c>
      <c r="D407" t="s">
        <v>75</v>
      </c>
    </row>
    <row r="408" spans="1:4" x14ac:dyDescent="0.25">
      <c r="A408" t="s">
        <v>6143</v>
      </c>
      <c r="B408">
        <v>7.7499999999999999E-2</v>
      </c>
      <c r="C408" t="s">
        <v>5806</v>
      </c>
      <c r="D408" t="s">
        <v>75</v>
      </c>
    </row>
    <row r="409" spans="1:4" x14ac:dyDescent="0.25">
      <c r="A409" t="s">
        <v>5871</v>
      </c>
      <c r="B409">
        <v>7.7499999999999999E-2</v>
      </c>
      <c r="C409" t="s">
        <v>5871</v>
      </c>
      <c r="D409" t="s">
        <v>75</v>
      </c>
    </row>
    <row r="410" spans="1:4" x14ac:dyDescent="0.25">
      <c r="A410" t="s">
        <v>6144</v>
      </c>
      <c r="B410">
        <v>7.7499999999999999E-2</v>
      </c>
      <c r="C410" t="s">
        <v>5871</v>
      </c>
      <c r="D410" t="s">
        <v>5797</v>
      </c>
    </row>
    <row r="411" spans="1:4" x14ac:dyDescent="0.25">
      <c r="A411" t="s">
        <v>6145</v>
      </c>
      <c r="B411">
        <v>9.5000000000000001E-2</v>
      </c>
      <c r="C411" t="s">
        <v>1399</v>
      </c>
      <c r="D411" t="s">
        <v>75</v>
      </c>
    </row>
    <row r="412" spans="1:4" x14ac:dyDescent="0.25">
      <c r="A412" t="s">
        <v>6146</v>
      </c>
      <c r="B412">
        <v>0.105</v>
      </c>
      <c r="C412" t="s">
        <v>1399</v>
      </c>
      <c r="D412" t="s">
        <v>75</v>
      </c>
    </row>
    <row r="413" spans="1:4" x14ac:dyDescent="0.25">
      <c r="A413" t="s">
        <v>105</v>
      </c>
      <c r="B413">
        <v>8.6249999999999993E-2</v>
      </c>
      <c r="C413" t="s">
        <v>105</v>
      </c>
      <c r="D413" t="s">
        <v>75</v>
      </c>
    </row>
    <row r="414" spans="1:4" x14ac:dyDescent="0.25">
      <c r="A414" t="s">
        <v>6147</v>
      </c>
      <c r="B414">
        <v>8.6249999999999993E-2</v>
      </c>
      <c r="C414" t="s">
        <v>105</v>
      </c>
      <c r="D414" t="s">
        <v>5797</v>
      </c>
    </row>
    <row r="415" spans="1:4" x14ac:dyDescent="0.25">
      <c r="A415" t="s">
        <v>6148</v>
      </c>
      <c r="B415">
        <v>0.105</v>
      </c>
      <c r="C415" t="s">
        <v>1399</v>
      </c>
      <c r="D415" t="s">
        <v>75</v>
      </c>
    </row>
    <row r="416" spans="1:4" x14ac:dyDescent="0.25">
      <c r="A416" t="s">
        <v>6149</v>
      </c>
      <c r="B416">
        <v>8.7499999999999994E-2</v>
      </c>
      <c r="C416" t="s">
        <v>439</v>
      </c>
      <c r="D416" t="s">
        <v>75</v>
      </c>
    </row>
    <row r="417" spans="1:4" x14ac:dyDescent="0.25">
      <c r="A417" t="s">
        <v>5939</v>
      </c>
      <c r="B417">
        <v>7.9750000000000001E-2</v>
      </c>
      <c r="C417" t="s">
        <v>560</v>
      </c>
      <c r="D417" t="s">
        <v>75</v>
      </c>
    </row>
    <row r="418" spans="1:4" x14ac:dyDescent="0.25">
      <c r="A418" t="s">
        <v>6150</v>
      </c>
      <c r="B418">
        <v>7.7499999999999999E-2</v>
      </c>
      <c r="C418" t="s">
        <v>5939</v>
      </c>
      <c r="D418" t="s">
        <v>5797</v>
      </c>
    </row>
    <row r="419" spans="1:4" x14ac:dyDescent="0.25">
      <c r="A419" t="s">
        <v>148</v>
      </c>
      <c r="B419">
        <v>9.375E-2</v>
      </c>
      <c r="C419" t="s">
        <v>2595</v>
      </c>
      <c r="D419" t="s">
        <v>75</v>
      </c>
    </row>
    <row r="420" spans="1:4" x14ac:dyDescent="0.25">
      <c r="A420" t="s">
        <v>6151</v>
      </c>
      <c r="B420">
        <v>0.09</v>
      </c>
      <c r="C420" t="s">
        <v>5979</v>
      </c>
      <c r="D420" t="s">
        <v>75</v>
      </c>
    </row>
    <row r="421" spans="1:4" x14ac:dyDescent="0.25">
      <c r="A421" t="s">
        <v>6152</v>
      </c>
      <c r="B421">
        <v>7.7499999999999999E-2</v>
      </c>
      <c r="C421" t="s">
        <v>5806</v>
      </c>
      <c r="D421" t="s">
        <v>75</v>
      </c>
    </row>
    <row r="422" spans="1:4" x14ac:dyDescent="0.25">
      <c r="A422" t="s">
        <v>1274</v>
      </c>
      <c r="B422">
        <v>0.1075</v>
      </c>
      <c r="C422" t="s">
        <v>324</v>
      </c>
      <c r="D422" t="s">
        <v>75</v>
      </c>
    </row>
    <row r="423" spans="1:4" x14ac:dyDescent="0.25">
      <c r="A423" t="s">
        <v>5823</v>
      </c>
      <c r="B423">
        <v>8.7499999999999994E-2</v>
      </c>
      <c r="C423" t="s">
        <v>5823</v>
      </c>
      <c r="D423" t="s">
        <v>75</v>
      </c>
    </row>
    <row r="424" spans="1:4" x14ac:dyDescent="0.25">
      <c r="A424" t="s">
        <v>6153</v>
      </c>
      <c r="B424">
        <v>7.2499999999999995E-2</v>
      </c>
      <c r="C424" t="s">
        <v>5823</v>
      </c>
      <c r="D424" t="s">
        <v>5797</v>
      </c>
    </row>
    <row r="425" spans="1:4" x14ac:dyDescent="0.25">
      <c r="A425" t="s">
        <v>6154</v>
      </c>
      <c r="B425">
        <v>8.7499999999999994E-2</v>
      </c>
      <c r="C425" t="s">
        <v>5871</v>
      </c>
      <c r="D425" t="s">
        <v>75</v>
      </c>
    </row>
    <row r="426" spans="1:4" x14ac:dyDescent="0.25">
      <c r="A426" t="s">
        <v>6155</v>
      </c>
      <c r="B426">
        <v>9.5000000000000001E-2</v>
      </c>
      <c r="C426" t="s">
        <v>1399</v>
      </c>
      <c r="D426" t="s">
        <v>75</v>
      </c>
    </row>
    <row r="427" spans="1:4" x14ac:dyDescent="0.25">
      <c r="A427" t="s">
        <v>1208</v>
      </c>
      <c r="B427">
        <v>9.6250000000000002E-2</v>
      </c>
      <c r="C427" t="s">
        <v>1208</v>
      </c>
      <c r="D427" t="s">
        <v>75</v>
      </c>
    </row>
    <row r="428" spans="1:4" x14ac:dyDescent="0.25">
      <c r="A428" t="s">
        <v>6156</v>
      </c>
      <c r="B428">
        <v>9.375E-2</v>
      </c>
      <c r="C428" t="s">
        <v>1208</v>
      </c>
      <c r="D428" t="s">
        <v>5797</v>
      </c>
    </row>
    <row r="429" spans="1:4" x14ac:dyDescent="0.25">
      <c r="A429" t="s">
        <v>1719</v>
      </c>
      <c r="B429">
        <v>9.5000000000000001E-2</v>
      </c>
      <c r="C429" t="s">
        <v>5818</v>
      </c>
      <c r="D429" t="s">
        <v>75</v>
      </c>
    </row>
    <row r="430" spans="1:4" x14ac:dyDescent="0.25">
      <c r="A430" t="s">
        <v>228</v>
      </c>
      <c r="B430">
        <v>9.2499999999999999E-2</v>
      </c>
      <c r="C430" t="s">
        <v>759</v>
      </c>
      <c r="D430" t="s">
        <v>75</v>
      </c>
    </row>
    <row r="431" spans="1:4" x14ac:dyDescent="0.25">
      <c r="A431" t="s">
        <v>1327</v>
      </c>
      <c r="B431">
        <v>9.7500000000000003E-2</v>
      </c>
      <c r="C431" t="s">
        <v>5818</v>
      </c>
      <c r="D431" t="s">
        <v>75</v>
      </c>
    </row>
    <row r="432" spans="1:4" x14ac:dyDescent="0.25">
      <c r="A432" t="s">
        <v>6157</v>
      </c>
      <c r="B432">
        <v>9.2499999999999999E-2</v>
      </c>
      <c r="C432" t="s">
        <v>529</v>
      </c>
      <c r="D432" t="s">
        <v>75</v>
      </c>
    </row>
    <row r="433" spans="1:5" x14ac:dyDescent="0.25">
      <c r="A433" t="s">
        <v>6158</v>
      </c>
      <c r="B433">
        <v>8.7249999999999994E-2</v>
      </c>
      <c r="C433" t="s">
        <v>560</v>
      </c>
      <c r="D433" t="s">
        <v>75</v>
      </c>
    </row>
    <row r="434" spans="1:5" x14ac:dyDescent="0.25">
      <c r="A434" t="s">
        <v>1366</v>
      </c>
      <c r="B434">
        <v>9.2499999999999999E-2</v>
      </c>
      <c r="C434" t="s">
        <v>5806</v>
      </c>
      <c r="D434" t="s">
        <v>75</v>
      </c>
    </row>
    <row r="435" spans="1:5" x14ac:dyDescent="0.25">
      <c r="A435" t="s">
        <v>2914</v>
      </c>
      <c r="B435">
        <v>9.2499999999999999E-2</v>
      </c>
      <c r="C435" t="s">
        <v>2914</v>
      </c>
      <c r="D435" t="s">
        <v>75</v>
      </c>
    </row>
    <row r="436" spans="1:5" x14ac:dyDescent="0.25">
      <c r="A436" t="s">
        <v>6159</v>
      </c>
      <c r="B436">
        <v>7.7499999999999999E-2</v>
      </c>
      <c r="C436" t="s">
        <v>2914</v>
      </c>
      <c r="D436" t="s">
        <v>5797</v>
      </c>
    </row>
    <row r="437" spans="1:5" x14ac:dyDescent="0.25">
      <c r="A437" t="s">
        <v>2595</v>
      </c>
      <c r="B437">
        <v>9.1249999999999998E-2</v>
      </c>
      <c r="C437" t="s">
        <v>2595</v>
      </c>
      <c r="D437" t="s">
        <v>75</v>
      </c>
    </row>
    <row r="438" spans="1:5" x14ac:dyDescent="0.25">
      <c r="A438" t="s">
        <v>6160</v>
      </c>
      <c r="B438">
        <v>9.1249999999999998E-2</v>
      </c>
      <c r="C438" t="s">
        <v>2595</v>
      </c>
      <c r="D438" t="s">
        <v>5797</v>
      </c>
    </row>
    <row r="439" spans="1:5" x14ac:dyDescent="0.25">
      <c r="A439" t="s">
        <v>6161</v>
      </c>
      <c r="B439">
        <v>9.5000000000000001E-2</v>
      </c>
      <c r="C439" t="s">
        <v>1399</v>
      </c>
      <c r="D439" t="s">
        <v>75</v>
      </c>
    </row>
    <row r="440" spans="1:5" x14ac:dyDescent="0.25">
      <c r="A440" t="s">
        <v>249</v>
      </c>
      <c r="B440">
        <v>9.2499999999999999E-2</v>
      </c>
      <c r="C440" t="s">
        <v>249</v>
      </c>
      <c r="D440" t="s">
        <v>75</v>
      </c>
    </row>
    <row r="441" spans="1:5" x14ac:dyDescent="0.25">
      <c r="A441" t="s">
        <v>6162</v>
      </c>
      <c r="B441">
        <v>8.5000000000000006E-2</v>
      </c>
      <c r="C441" t="s">
        <v>249</v>
      </c>
      <c r="D441" t="s">
        <v>5797</v>
      </c>
      <c r="E441" t="s">
        <v>6163</v>
      </c>
    </row>
    <row r="442" spans="1:5" x14ac:dyDescent="0.25">
      <c r="A442" t="s">
        <v>6164</v>
      </c>
      <c r="B442">
        <v>0.09</v>
      </c>
      <c r="C442" t="s">
        <v>249</v>
      </c>
      <c r="D442" t="s">
        <v>5797</v>
      </c>
      <c r="E442" t="s">
        <v>6165</v>
      </c>
    </row>
    <row r="443" spans="1:5" x14ac:dyDescent="0.25">
      <c r="A443" t="s">
        <v>6166</v>
      </c>
      <c r="B443">
        <v>0.1075</v>
      </c>
      <c r="C443" t="s">
        <v>1399</v>
      </c>
      <c r="D443" t="s">
        <v>75</v>
      </c>
    </row>
    <row r="444" spans="1:5" x14ac:dyDescent="0.25">
      <c r="A444" t="s">
        <v>6167</v>
      </c>
      <c r="B444">
        <v>8.7499999999999994E-2</v>
      </c>
      <c r="C444" t="s">
        <v>2914</v>
      </c>
      <c r="D444" t="s">
        <v>75</v>
      </c>
    </row>
    <row r="445" spans="1:5" x14ac:dyDescent="0.25">
      <c r="A445" t="s">
        <v>6168</v>
      </c>
      <c r="B445">
        <v>0.1075</v>
      </c>
      <c r="C445" t="s">
        <v>1399</v>
      </c>
      <c r="D445" t="s">
        <v>75</v>
      </c>
    </row>
    <row r="446" spans="1:5" x14ac:dyDescent="0.25">
      <c r="A446" t="s">
        <v>3728</v>
      </c>
      <c r="B446">
        <v>9.2499999999999999E-2</v>
      </c>
      <c r="C446" t="s">
        <v>4704</v>
      </c>
      <c r="D446" t="s">
        <v>75</v>
      </c>
    </row>
    <row r="447" spans="1:5" x14ac:dyDescent="0.25">
      <c r="A447" t="s">
        <v>188</v>
      </c>
      <c r="B447">
        <v>0.1</v>
      </c>
      <c r="C447" t="s">
        <v>869</v>
      </c>
      <c r="D447" t="s">
        <v>75</v>
      </c>
    </row>
    <row r="448" spans="1:5" x14ac:dyDescent="0.25">
      <c r="A448" t="s">
        <v>6169</v>
      </c>
      <c r="B448">
        <v>7.7499999999999999E-2</v>
      </c>
      <c r="C448" t="s">
        <v>5871</v>
      </c>
      <c r="D448" t="s">
        <v>75</v>
      </c>
    </row>
    <row r="449" spans="1:4" x14ac:dyDescent="0.25">
      <c r="A449" t="s">
        <v>6170</v>
      </c>
      <c r="B449">
        <v>9.1249999999999998E-2</v>
      </c>
      <c r="C449" t="s">
        <v>2595</v>
      </c>
      <c r="D449" t="s">
        <v>75</v>
      </c>
    </row>
    <row r="450" spans="1:4" x14ac:dyDescent="0.25">
      <c r="A450" t="s">
        <v>509</v>
      </c>
      <c r="B450">
        <v>9.2499999999999999E-2</v>
      </c>
      <c r="C450" t="s">
        <v>759</v>
      </c>
      <c r="D450" t="s">
        <v>75</v>
      </c>
    </row>
    <row r="451" spans="1:4" x14ac:dyDescent="0.25">
      <c r="A451" t="s">
        <v>6171</v>
      </c>
      <c r="B451">
        <v>9.7500000000000003E-2</v>
      </c>
      <c r="C451" t="s">
        <v>249</v>
      </c>
      <c r="D451" t="s">
        <v>75</v>
      </c>
    </row>
    <row r="452" spans="1:4" x14ac:dyDescent="0.25">
      <c r="A452" t="s">
        <v>4109</v>
      </c>
      <c r="B452">
        <v>9.2499999999999999E-2</v>
      </c>
      <c r="C452" t="s">
        <v>5806</v>
      </c>
      <c r="D452" t="s">
        <v>75</v>
      </c>
    </row>
    <row r="453" spans="1:4" x14ac:dyDescent="0.25">
      <c r="A453" t="s">
        <v>531</v>
      </c>
      <c r="B453">
        <v>9.2499999999999999E-2</v>
      </c>
      <c r="C453" t="s">
        <v>529</v>
      </c>
      <c r="D453" t="s">
        <v>75</v>
      </c>
    </row>
    <row r="454" spans="1:4" x14ac:dyDescent="0.25">
      <c r="A454" t="s">
        <v>1372</v>
      </c>
      <c r="B454">
        <v>0.10249999999999999</v>
      </c>
      <c r="C454" t="s">
        <v>869</v>
      </c>
      <c r="D454" t="s">
        <v>75</v>
      </c>
    </row>
    <row r="455" spans="1:4" x14ac:dyDescent="0.25">
      <c r="A455" t="s">
        <v>6172</v>
      </c>
      <c r="B455">
        <v>8.4750000000000006E-2</v>
      </c>
      <c r="C455" t="s">
        <v>560</v>
      </c>
      <c r="D455" t="s">
        <v>75</v>
      </c>
    </row>
    <row r="456" spans="1:4" x14ac:dyDescent="0.25">
      <c r="A456" t="s">
        <v>6173</v>
      </c>
      <c r="B456">
        <v>7.2499999999999995E-2</v>
      </c>
      <c r="C456" t="s">
        <v>5826</v>
      </c>
      <c r="D456" t="s">
        <v>75</v>
      </c>
    </row>
    <row r="457" spans="1:4" x14ac:dyDescent="0.25">
      <c r="A457" t="s">
        <v>6174</v>
      </c>
      <c r="B457">
        <v>7.2499999999999995E-2</v>
      </c>
      <c r="C457" t="s">
        <v>5815</v>
      </c>
      <c r="D457" t="s">
        <v>5797</v>
      </c>
    </row>
    <row r="458" spans="1:4" x14ac:dyDescent="0.25">
      <c r="A458" t="s">
        <v>6175</v>
      </c>
      <c r="B458">
        <v>7.2499999999999995E-2</v>
      </c>
      <c r="C458" t="s">
        <v>5815</v>
      </c>
      <c r="D458" t="s">
        <v>75</v>
      </c>
    </row>
    <row r="459" spans="1:4" x14ac:dyDescent="0.25">
      <c r="A459" t="s">
        <v>6176</v>
      </c>
      <c r="B459">
        <v>7.2499999999999995E-2</v>
      </c>
      <c r="C459" t="s">
        <v>6042</v>
      </c>
      <c r="D459" t="s">
        <v>5797</v>
      </c>
    </row>
    <row r="460" spans="1:4" x14ac:dyDescent="0.25">
      <c r="A460" t="s">
        <v>6177</v>
      </c>
      <c r="B460">
        <v>0.105</v>
      </c>
      <c r="C460" t="s">
        <v>1399</v>
      </c>
      <c r="D460" t="s">
        <v>75</v>
      </c>
    </row>
    <row r="461" spans="1:4" x14ac:dyDescent="0.25">
      <c r="A461" t="s">
        <v>6178</v>
      </c>
      <c r="B461">
        <v>0.105</v>
      </c>
      <c r="C461" t="s">
        <v>1399</v>
      </c>
      <c r="D461" t="s">
        <v>75</v>
      </c>
    </row>
    <row r="462" spans="1:4" x14ac:dyDescent="0.25">
      <c r="A462" t="s">
        <v>6179</v>
      </c>
      <c r="B462">
        <v>7.2499999999999995E-2</v>
      </c>
      <c r="C462" t="s">
        <v>4704</v>
      </c>
      <c r="D462" t="s">
        <v>75</v>
      </c>
    </row>
    <row r="463" spans="1:4" x14ac:dyDescent="0.25">
      <c r="A463" t="s">
        <v>6180</v>
      </c>
      <c r="B463">
        <v>7.2499999999999995E-2</v>
      </c>
      <c r="C463" t="s">
        <v>5925</v>
      </c>
      <c r="D463" t="s">
        <v>5797</v>
      </c>
    </row>
    <row r="464" spans="1:4" x14ac:dyDescent="0.25">
      <c r="A464" t="s">
        <v>6181</v>
      </c>
      <c r="B464">
        <v>8.7499999999999994E-2</v>
      </c>
      <c r="C464" t="s">
        <v>5871</v>
      </c>
      <c r="D464" t="s">
        <v>75</v>
      </c>
    </row>
    <row r="465" spans="1:4" x14ac:dyDescent="0.25">
      <c r="A465" t="s">
        <v>6182</v>
      </c>
      <c r="B465">
        <v>7.3749999999999996E-2</v>
      </c>
      <c r="C465" t="s">
        <v>5844</v>
      </c>
      <c r="D465" t="s">
        <v>5797</v>
      </c>
    </row>
    <row r="466" spans="1:4" x14ac:dyDescent="0.25">
      <c r="A466" t="s">
        <v>5133</v>
      </c>
      <c r="B466">
        <v>9.2499999999999999E-2</v>
      </c>
      <c r="C466" t="s">
        <v>529</v>
      </c>
      <c r="D466" t="s">
        <v>75</v>
      </c>
    </row>
    <row r="467" spans="1:4" x14ac:dyDescent="0.25">
      <c r="A467" t="s">
        <v>6183</v>
      </c>
      <c r="B467">
        <v>8.7499999999999994E-2</v>
      </c>
      <c r="C467" t="s">
        <v>2914</v>
      </c>
      <c r="D467" t="s">
        <v>75</v>
      </c>
    </row>
    <row r="468" spans="1:4" x14ac:dyDescent="0.25">
      <c r="A468" t="s">
        <v>869</v>
      </c>
      <c r="B468">
        <v>0.09</v>
      </c>
      <c r="C468" t="s">
        <v>869</v>
      </c>
      <c r="D468" t="s">
        <v>75</v>
      </c>
    </row>
    <row r="469" spans="1:4" x14ac:dyDescent="0.25">
      <c r="A469" t="s">
        <v>6184</v>
      </c>
      <c r="B469">
        <v>9.2499999999999999E-2</v>
      </c>
      <c r="C469" t="s">
        <v>869</v>
      </c>
      <c r="D469" t="s">
        <v>5797</v>
      </c>
    </row>
    <row r="470" spans="1:4" x14ac:dyDescent="0.25">
      <c r="A470" t="s">
        <v>6185</v>
      </c>
      <c r="B470">
        <v>8.7499999999999994E-2</v>
      </c>
      <c r="C470" t="s">
        <v>6186</v>
      </c>
      <c r="D470" t="s">
        <v>75</v>
      </c>
    </row>
    <row r="471" spans="1:4" x14ac:dyDescent="0.25">
      <c r="A471" t="s">
        <v>6187</v>
      </c>
      <c r="B471">
        <v>0.1075</v>
      </c>
      <c r="C471" t="s">
        <v>1399</v>
      </c>
      <c r="D471" t="s">
        <v>75</v>
      </c>
    </row>
    <row r="472" spans="1:4" x14ac:dyDescent="0.25">
      <c r="A472" t="s">
        <v>6188</v>
      </c>
      <c r="B472">
        <v>0.1075</v>
      </c>
      <c r="C472" t="s">
        <v>1399</v>
      </c>
      <c r="D472" t="s">
        <v>75</v>
      </c>
    </row>
    <row r="473" spans="1:4" x14ac:dyDescent="0.25">
      <c r="A473" t="s">
        <v>6189</v>
      </c>
      <c r="B473">
        <v>8.7499999999999994E-2</v>
      </c>
      <c r="C473" t="s">
        <v>5934</v>
      </c>
      <c r="D473" t="s">
        <v>75</v>
      </c>
    </row>
    <row r="474" spans="1:4" x14ac:dyDescent="0.25">
      <c r="A474" t="s">
        <v>6190</v>
      </c>
      <c r="B474">
        <v>0.105</v>
      </c>
      <c r="C474" t="s">
        <v>1399</v>
      </c>
      <c r="D474" t="s">
        <v>75</v>
      </c>
    </row>
    <row r="475" spans="1:4" x14ac:dyDescent="0.25">
      <c r="A475" t="s">
        <v>1267</v>
      </c>
      <c r="B475">
        <v>9.8750000000000004E-2</v>
      </c>
      <c r="C475" t="s">
        <v>1208</v>
      </c>
      <c r="D475" t="s">
        <v>75</v>
      </c>
    </row>
    <row r="476" spans="1:4" x14ac:dyDescent="0.25">
      <c r="A476" t="s">
        <v>1743</v>
      </c>
      <c r="B476">
        <v>8.2500000000000004E-2</v>
      </c>
      <c r="C476" t="s">
        <v>1492</v>
      </c>
      <c r="D476" t="s">
        <v>75</v>
      </c>
    </row>
    <row r="477" spans="1:4" x14ac:dyDescent="0.25">
      <c r="A477" t="s">
        <v>6191</v>
      </c>
      <c r="B477">
        <v>7.8750000000000001E-2</v>
      </c>
      <c r="C477" t="s">
        <v>5876</v>
      </c>
      <c r="D477" t="s">
        <v>5797</v>
      </c>
    </row>
    <row r="478" spans="1:4" x14ac:dyDescent="0.25">
      <c r="A478" t="s">
        <v>6192</v>
      </c>
      <c r="B478">
        <v>8.7499999999999994E-2</v>
      </c>
      <c r="C478" t="s">
        <v>5806</v>
      </c>
      <c r="D478" t="s">
        <v>75</v>
      </c>
    </row>
    <row r="479" spans="1:4" x14ac:dyDescent="0.25">
      <c r="A479" t="s">
        <v>1108</v>
      </c>
      <c r="B479">
        <v>0.09</v>
      </c>
      <c r="C479" t="s">
        <v>5939</v>
      </c>
      <c r="D479" t="s">
        <v>75</v>
      </c>
    </row>
    <row r="480" spans="1:4" x14ac:dyDescent="0.25">
      <c r="A480" t="s">
        <v>3421</v>
      </c>
      <c r="B480">
        <v>9.1249999999999998E-2</v>
      </c>
      <c r="C480" t="s">
        <v>5844</v>
      </c>
      <c r="D480" t="s">
        <v>75</v>
      </c>
    </row>
    <row r="481" spans="1:4" x14ac:dyDescent="0.25">
      <c r="A481" t="s">
        <v>3204</v>
      </c>
      <c r="B481">
        <v>9.1249999999999998E-2</v>
      </c>
      <c r="C481" t="s">
        <v>2595</v>
      </c>
      <c r="D481" t="s">
        <v>75</v>
      </c>
    </row>
    <row r="482" spans="1:4" x14ac:dyDescent="0.25">
      <c r="A482" t="s">
        <v>6193</v>
      </c>
      <c r="B482">
        <v>8.2500000000000004E-2</v>
      </c>
      <c r="C482" t="s">
        <v>6025</v>
      </c>
      <c r="D482" t="s">
        <v>75</v>
      </c>
    </row>
    <row r="483" spans="1:4" x14ac:dyDescent="0.25">
      <c r="A483" t="s">
        <v>6194</v>
      </c>
      <c r="B483">
        <v>7.2499999999999995E-2</v>
      </c>
      <c r="C483" t="s">
        <v>6031</v>
      </c>
      <c r="D483" t="s">
        <v>5797</v>
      </c>
    </row>
    <row r="484" spans="1:4" x14ac:dyDescent="0.25">
      <c r="A484" t="s">
        <v>6195</v>
      </c>
      <c r="B484">
        <v>8.7499999999999994E-2</v>
      </c>
      <c r="C484" t="s">
        <v>5812</v>
      </c>
      <c r="D484" t="s">
        <v>75</v>
      </c>
    </row>
    <row r="485" spans="1:4" x14ac:dyDescent="0.25">
      <c r="A485" t="s">
        <v>6196</v>
      </c>
      <c r="B485">
        <v>8.2500000000000004E-2</v>
      </c>
      <c r="C485" t="s">
        <v>5826</v>
      </c>
      <c r="D485" t="s">
        <v>75</v>
      </c>
    </row>
    <row r="486" spans="1:4" x14ac:dyDescent="0.25">
      <c r="A486" t="s">
        <v>1443</v>
      </c>
      <c r="B486">
        <v>8.2500000000000004E-2</v>
      </c>
      <c r="C486" t="s">
        <v>5826</v>
      </c>
      <c r="D486" t="s">
        <v>75</v>
      </c>
    </row>
    <row r="487" spans="1:4" x14ac:dyDescent="0.25">
      <c r="A487" t="s">
        <v>5902</v>
      </c>
      <c r="B487">
        <v>7.2499999999999995E-2</v>
      </c>
      <c r="C487" t="s">
        <v>5902</v>
      </c>
      <c r="D487" t="s">
        <v>75</v>
      </c>
    </row>
    <row r="488" spans="1:4" x14ac:dyDescent="0.25">
      <c r="A488" t="s">
        <v>6197</v>
      </c>
      <c r="B488">
        <v>7.2499999999999995E-2</v>
      </c>
      <c r="C488" t="s">
        <v>5902</v>
      </c>
      <c r="D488" t="s">
        <v>5797</v>
      </c>
    </row>
    <row r="489" spans="1:4" x14ac:dyDescent="0.25">
      <c r="A489" t="s">
        <v>6198</v>
      </c>
      <c r="B489">
        <v>8.7499999999999994E-2</v>
      </c>
      <c r="C489" t="s">
        <v>439</v>
      </c>
      <c r="D489" t="s">
        <v>75</v>
      </c>
    </row>
    <row r="490" spans="1:4" x14ac:dyDescent="0.25">
      <c r="A490" t="s">
        <v>6199</v>
      </c>
      <c r="B490">
        <v>9.5000000000000001E-2</v>
      </c>
      <c r="C490" t="s">
        <v>1399</v>
      </c>
      <c r="D490" t="s">
        <v>75</v>
      </c>
    </row>
    <row r="491" spans="1:4" x14ac:dyDescent="0.25">
      <c r="A491" t="s">
        <v>6200</v>
      </c>
      <c r="B491">
        <v>7.2499999999999995E-2</v>
      </c>
      <c r="C491" t="s">
        <v>4704</v>
      </c>
      <c r="D491" t="s">
        <v>75</v>
      </c>
    </row>
    <row r="492" spans="1:4" x14ac:dyDescent="0.25">
      <c r="A492" t="s">
        <v>2896</v>
      </c>
      <c r="B492">
        <v>8.2500000000000004E-2</v>
      </c>
      <c r="C492" t="s">
        <v>759</v>
      </c>
      <c r="D492" t="s">
        <v>75</v>
      </c>
    </row>
    <row r="493" spans="1:4" x14ac:dyDescent="0.25">
      <c r="A493" t="s">
        <v>6201</v>
      </c>
      <c r="B493">
        <v>0.10249999999999999</v>
      </c>
      <c r="C493" t="s">
        <v>1399</v>
      </c>
      <c r="D493" t="s">
        <v>75</v>
      </c>
    </row>
    <row r="494" spans="1:4" x14ac:dyDescent="0.25">
      <c r="A494" t="s">
        <v>2343</v>
      </c>
      <c r="B494">
        <v>8.2500000000000004E-2</v>
      </c>
      <c r="C494" t="s">
        <v>5939</v>
      </c>
      <c r="D494" t="s">
        <v>75</v>
      </c>
    </row>
    <row r="495" spans="1:4" x14ac:dyDescent="0.25">
      <c r="A495" t="s">
        <v>6202</v>
      </c>
      <c r="B495">
        <v>9.5000000000000001E-2</v>
      </c>
      <c r="C495" t="s">
        <v>5821</v>
      </c>
      <c r="D495" t="s">
        <v>75</v>
      </c>
    </row>
    <row r="496" spans="1:4" x14ac:dyDescent="0.25">
      <c r="A496" t="s">
        <v>6203</v>
      </c>
      <c r="B496">
        <v>7.2499999999999995E-2</v>
      </c>
      <c r="C496" t="s">
        <v>6204</v>
      </c>
      <c r="D496" t="s">
        <v>5797</v>
      </c>
    </row>
    <row r="497" spans="1:4" x14ac:dyDescent="0.25">
      <c r="A497" t="s">
        <v>6205</v>
      </c>
      <c r="B497">
        <v>0.09</v>
      </c>
      <c r="C497" t="s">
        <v>5965</v>
      </c>
      <c r="D497" t="s">
        <v>75</v>
      </c>
    </row>
    <row r="498" spans="1:4" x14ac:dyDescent="0.25">
      <c r="A498" t="s">
        <v>3099</v>
      </c>
      <c r="B498">
        <v>8.2500000000000004E-2</v>
      </c>
      <c r="C498" t="s">
        <v>3099</v>
      </c>
      <c r="D498" t="s">
        <v>75</v>
      </c>
    </row>
    <row r="499" spans="1:4" x14ac:dyDescent="0.25">
      <c r="A499" t="s">
        <v>6206</v>
      </c>
      <c r="B499">
        <v>7.7499999999999999E-2</v>
      </c>
      <c r="C499" t="s">
        <v>3099</v>
      </c>
      <c r="D499" t="s">
        <v>5797</v>
      </c>
    </row>
    <row r="500" spans="1:4" x14ac:dyDescent="0.25">
      <c r="A500" t="s">
        <v>6207</v>
      </c>
      <c r="B500">
        <v>7.2499999999999995E-2</v>
      </c>
      <c r="C500" t="s">
        <v>5925</v>
      </c>
      <c r="D500" t="s">
        <v>75</v>
      </c>
    </row>
    <row r="501" spans="1:4" x14ac:dyDescent="0.25">
      <c r="A501" t="s">
        <v>6208</v>
      </c>
      <c r="B501">
        <v>7.2499999999999995E-2</v>
      </c>
      <c r="C501" t="s">
        <v>6186</v>
      </c>
      <c r="D501" t="s">
        <v>5797</v>
      </c>
    </row>
    <row r="502" spans="1:4" x14ac:dyDescent="0.25">
      <c r="A502" t="s">
        <v>2257</v>
      </c>
      <c r="B502">
        <v>8.6249999999999993E-2</v>
      </c>
      <c r="C502" t="s">
        <v>5876</v>
      </c>
      <c r="D502" t="s">
        <v>75</v>
      </c>
    </row>
    <row r="503" spans="1:4" x14ac:dyDescent="0.25">
      <c r="A503" t="s">
        <v>6209</v>
      </c>
      <c r="B503">
        <v>7.7499999999999999E-2</v>
      </c>
      <c r="C503" t="s">
        <v>5806</v>
      </c>
      <c r="D503" t="s">
        <v>75</v>
      </c>
    </row>
    <row r="504" spans="1:4" x14ac:dyDescent="0.25">
      <c r="A504" t="s">
        <v>6210</v>
      </c>
      <c r="B504">
        <v>7.7499999999999999E-2</v>
      </c>
      <c r="C504" t="s">
        <v>5801</v>
      </c>
      <c r="D504" t="s">
        <v>75</v>
      </c>
    </row>
    <row r="505" spans="1:4" x14ac:dyDescent="0.25">
      <c r="A505" t="s">
        <v>1859</v>
      </c>
      <c r="B505">
        <v>8.8749999999999996E-2</v>
      </c>
      <c r="C505" t="s">
        <v>5949</v>
      </c>
      <c r="D505" t="s">
        <v>75</v>
      </c>
    </row>
    <row r="506" spans="1:4" x14ac:dyDescent="0.25">
      <c r="A506" t="s">
        <v>2620</v>
      </c>
      <c r="B506">
        <v>0.1075</v>
      </c>
      <c r="C506" t="s">
        <v>324</v>
      </c>
      <c r="D506" t="s">
        <v>75</v>
      </c>
    </row>
    <row r="507" spans="1:4" x14ac:dyDescent="0.25">
      <c r="A507" t="s">
        <v>6211</v>
      </c>
      <c r="B507">
        <v>7.7499999999999999E-2</v>
      </c>
      <c r="C507" t="s">
        <v>5801</v>
      </c>
      <c r="D507" t="s">
        <v>75</v>
      </c>
    </row>
    <row r="508" spans="1:4" x14ac:dyDescent="0.25">
      <c r="A508" t="s">
        <v>1618</v>
      </c>
      <c r="B508">
        <v>8.1250000000000003E-2</v>
      </c>
      <c r="C508" t="s">
        <v>5844</v>
      </c>
      <c r="D508" t="s">
        <v>75</v>
      </c>
    </row>
    <row r="509" spans="1:4" x14ac:dyDescent="0.25">
      <c r="A509" t="s">
        <v>1533</v>
      </c>
      <c r="B509">
        <v>9.2499999999999999E-2</v>
      </c>
      <c r="C509" t="s">
        <v>5844</v>
      </c>
      <c r="D509" t="s">
        <v>75</v>
      </c>
    </row>
    <row r="510" spans="1:4" x14ac:dyDescent="0.25">
      <c r="A510" t="s">
        <v>4704</v>
      </c>
      <c r="B510">
        <v>7.7499999999999999E-2</v>
      </c>
      <c r="C510" t="s">
        <v>4704</v>
      </c>
      <c r="D510" t="s">
        <v>75</v>
      </c>
    </row>
    <row r="511" spans="1:4" x14ac:dyDescent="0.25">
      <c r="A511" t="s">
        <v>6212</v>
      </c>
      <c r="B511">
        <v>7.2499999999999995E-2</v>
      </c>
      <c r="C511" t="s">
        <v>4704</v>
      </c>
      <c r="D511" t="s">
        <v>5797</v>
      </c>
    </row>
    <row r="512" spans="1:4" x14ac:dyDescent="0.25">
      <c r="A512" t="s">
        <v>3161</v>
      </c>
      <c r="B512">
        <v>0.105</v>
      </c>
      <c r="C512" t="s">
        <v>1399</v>
      </c>
      <c r="D512" t="s">
        <v>75</v>
      </c>
    </row>
    <row r="513" spans="1:4" x14ac:dyDescent="0.25">
      <c r="A513" t="s">
        <v>1356</v>
      </c>
      <c r="B513">
        <v>8.7499999999999994E-2</v>
      </c>
      <c r="C513" t="s">
        <v>5801</v>
      </c>
      <c r="D513" t="s">
        <v>75</v>
      </c>
    </row>
    <row r="514" spans="1:4" x14ac:dyDescent="0.25">
      <c r="A514" t="s">
        <v>6213</v>
      </c>
      <c r="B514">
        <v>7.7499999999999999E-2</v>
      </c>
      <c r="C514" t="s">
        <v>5806</v>
      </c>
      <c r="D514" t="s">
        <v>75</v>
      </c>
    </row>
    <row r="515" spans="1:4" x14ac:dyDescent="0.25">
      <c r="A515" t="s">
        <v>6214</v>
      </c>
      <c r="B515">
        <v>8.5000000000000006E-2</v>
      </c>
      <c r="C515" t="s">
        <v>3099</v>
      </c>
      <c r="D515" t="s">
        <v>75</v>
      </c>
    </row>
    <row r="516" spans="1:4" x14ac:dyDescent="0.25">
      <c r="A516" t="s">
        <v>6215</v>
      </c>
      <c r="B516">
        <v>8.2500000000000004E-2</v>
      </c>
      <c r="C516" t="s">
        <v>5871</v>
      </c>
      <c r="D516" t="s">
        <v>75</v>
      </c>
    </row>
    <row r="517" spans="1:4" x14ac:dyDescent="0.25">
      <c r="A517" t="s">
        <v>6216</v>
      </c>
      <c r="B517">
        <v>9.5000000000000001E-2</v>
      </c>
      <c r="C517" t="s">
        <v>1399</v>
      </c>
      <c r="D517" t="s">
        <v>75</v>
      </c>
    </row>
    <row r="518" spans="1:4" x14ac:dyDescent="0.25">
      <c r="A518" t="s">
        <v>207</v>
      </c>
      <c r="B518">
        <v>9.2499999999999999E-2</v>
      </c>
      <c r="C518" t="s">
        <v>5818</v>
      </c>
      <c r="D518" t="s">
        <v>75</v>
      </c>
    </row>
    <row r="519" spans="1:4" x14ac:dyDescent="0.25">
      <c r="A519" t="s">
        <v>6217</v>
      </c>
      <c r="B519">
        <v>8.2500000000000004E-2</v>
      </c>
      <c r="C519" t="s">
        <v>5826</v>
      </c>
      <c r="D519" t="s">
        <v>75</v>
      </c>
    </row>
    <row r="520" spans="1:4" x14ac:dyDescent="0.25">
      <c r="A520" t="s">
        <v>6218</v>
      </c>
      <c r="B520">
        <v>7.8750000000000001E-2</v>
      </c>
      <c r="C520" t="s">
        <v>5876</v>
      </c>
      <c r="D520" t="s">
        <v>75</v>
      </c>
    </row>
    <row r="521" spans="1:4" x14ac:dyDescent="0.25">
      <c r="A521" t="s">
        <v>6219</v>
      </c>
      <c r="B521">
        <v>9.7500000000000003E-2</v>
      </c>
      <c r="C521" t="s">
        <v>249</v>
      </c>
      <c r="D521" t="s">
        <v>75</v>
      </c>
    </row>
    <row r="522" spans="1:4" x14ac:dyDescent="0.25">
      <c r="A522" t="s">
        <v>6220</v>
      </c>
      <c r="B522">
        <v>7.4999999999999997E-2</v>
      </c>
      <c r="C522" t="s">
        <v>5925</v>
      </c>
      <c r="D522" t="s">
        <v>75</v>
      </c>
    </row>
    <row r="523" spans="1:4" x14ac:dyDescent="0.25">
      <c r="A523" t="s">
        <v>6221</v>
      </c>
      <c r="B523">
        <v>9.5000000000000001E-2</v>
      </c>
      <c r="C523" t="s">
        <v>1399</v>
      </c>
      <c r="D523" t="s">
        <v>75</v>
      </c>
    </row>
    <row r="524" spans="1:4" x14ac:dyDescent="0.25">
      <c r="A524" t="s">
        <v>6222</v>
      </c>
      <c r="B524">
        <v>0.105</v>
      </c>
      <c r="C524" t="s">
        <v>1399</v>
      </c>
      <c r="D524" t="s">
        <v>75</v>
      </c>
    </row>
    <row r="525" spans="1:4" x14ac:dyDescent="0.25">
      <c r="A525" t="s">
        <v>6223</v>
      </c>
      <c r="B525">
        <v>9.2499999999999999E-2</v>
      </c>
      <c r="C525" t="s">
        <v>5913</v>
      </c>
      <c r="D525" t="s">
        <v>75</v>
      </c>
    </row>
    <row r="526" spans="1:4" x14ac:dyDescent="0.25">
      <c r="A526" t="s">
        <v>6224</v>
      </c>
      <c r="B526">
        <v>9.5000000000000001E-2</v>
      </c>
      <c r="C526" t="s">
        <v>1399</v>
      </c>
      <c r="D526" t="s">
        <v>75</v>
      </c>
    </row>
    <row r="527" spans="1:4" x14ac:dyDescent="0.25">
      <c r="A527" t="s">
        <v>6225</v>
      </c>
      <c r="B527">
        <v>8.7499999999999994E-2</v>
      </c>
      <c r="C527" t="s">
        <v>5806</v>
      </c>
      <c r="D527" t="s">
        <v>75</v>
      </c>
    </row>
    <row r="528" spans="1:4" x14ac:dyDescent="0.25">
      <c r="A528" t="s">
        <v>6226</v>
      </c>
      <c r="B528">
        <v>7.7499999999999999E-2</v>
      </c>
      <c r="C528" t="s">
        <v>5855</v>
      </c>
      <c r="D528" t="s">
        <v>75</v>
      </c>
    </row>
    <row r="529" spans="1:4" x14ac:dyDescent="0.25">
      <c r="A529" t="s">
        <v>6227</v>
      </c>
      <c r="B529">
        <v>7.7499999999999999E-2</v>
      </c>
      <c r="C529" t="s">
        <v>6055</v>
      </c>
      <c r="D529" t="s">
        <v>75</v>
      </c>
    </row>
    <row r="530" spans="1:4" x14ac:dyDescent="0.25">
      <c r="A530" t="s">
        <v>6228</v>
      </c>
      <c r="B530">
        <v>0.105</v>
      </c>
      <c r="C530" t="s">
        <v>1399</v>
      </c>
      <c r="D530" t="s">
        <v>75</v>
      </c>
    </row>
    <row r="531" spans="1:4" x14ac:dyDescent="0.25">
      <c r="A531" t="s">
        <v>6229</v>
      </c>
      <c r="B531">
        <v>8.7499999999999994E-2</v>
      </c>
      <c r="C531" t="s">
        <v>439</v>
      </c>
      <c r="D531" t="s">
        <v>75</v>
      </c>
    </row>
    <row r="532" spans="1:4" x14ac:dyDescent="0.25">
      <c r="A532" t="s">
        <v>6230</v>
      </c>
      <c r="B532">
        <v>8.2500000000000004E-2</v>
      </c>
      <c r="C532" t="s">
        <v>5896</v>
      </c>
      <c r="D532" t="s">
        <v>75</v>
      </c>
    </row>
    <row r="533" spans="1:4" x14ac:dyDescent="0.25">
      <c r="A533" t="s">
        <v>6231</v>
      </c>
      <c r="B533">
        <v>9.1249999999999998E-2</v>
      </c>
      <c r="C533" t="s">
        <v>5949</v>
      </c>
      <c r="D533" t="s">
        <v>75</v>
      </c>
    </row>
    <row r="534" spans="1:4" x14ac:dyDescent="0.25">
      <c r="A534" t="s">
        <v>6232</v>
      </c>
      <c r="B534">
        <v>8.7499999999999994E-2</v>
      </c>
      <c r="C534" t="s">
        <v>5962</v>
      </c>
      <c r="D534" t="s">
        <v>75</v>
      </c>
    </row>
    <row r="535" spans="1:4" x14ac:dyDescent="0.25">
      <c r="A535" t="s">
        <v>1693</v>
      </c>
      <c r="B535">
        <v>8.5000000000000006E-2</v>
      </c>
      <c r="C535" t="s">
        <v>869</v>
      </c>
      <c r="D535" t="s">
        <v>75</v>
      </c>
    </row>
    <row r="536" spans="1:4" x14ac:dyDescent="0.25">
      <c r="A536" t="s">
        <v>6233</v>
      </c>
      <c r="B536">
        <v>8.2500000000000004E-2</v>
      </c>
      <c r="C536" t="s">
        <v>5913</v>
      </c>
      <c r="D536" t="s">
        <v>75</v>
      </c>
    </row>
    <row r="537" spans="1:4" x14ac:dyDescent="0.25">
      <c r="A537" t="s">
        <v>6234</v>
      </c>
      <c r="B537">
        <v>8.7499999999999994E-2</v>
      </c>
      <c r="C537" t="s">
        <v>3099</v>
      </c>
      <c r="D537" t="s">
        <v>75</v>
      </c>
    </row>
    <row r="538" spans="1:4" x14ac:dyDescent="0.25">
      <c r="A538" t="s">
        <v>6235</v>
      </c>
      <c r="B538">
        <v>0.08</v>
      </c>
      <c r="C538" t="s">
        <v>5913</v>
      </c>
      <c r="D538" t="s">
        <v>75</v>
      </c>
    </row>
    <row r="539" spans="1:4" x14ac:dyDescent="0.25">
      <c r="A539" t="s">
        <v>6236</v>
      </c>
      <c r="B539">
        <v>9.375E-2</v>
      </c>
      <c r="C539" t="s">
        <v>1208</v>
      </c>
      <c r="D539" t="s">
        <v>75</v>
      </c>
    </row>
    <row r="540" spans="1:4" x14ac:dyDescent="0.25">
      <c r="A540" t="s">
        <v>6237</v>
      </c>
      <c r="B540">
        <v>7.2499999999999995E-2</v>
      </c>
      <c r="C540" t="s">
        <v>5913</v>
      </c>
      <c r="D540" t="s">
        <v>5797</v>
      </c>
    </row>
    <row r="541" spans="1:4" x14ac:dyDescent="0.25">
      <c r="A541" t="s">
        <v>6238</v>
      </c>
      <c r="B541">
        <v>7.7499999999999999E-2</v>
      </c>
      <c r="C541" t="s">
        <v>5806</v>
      </c>
      <c r="D541" t="s">
        <v>75</v>
      </c>
    </row>
    <row r="542" spans="1:4" x14ac:dyDescent="0.25">
      <c r="A542" t="s">
        <v>5164</v>
      </c>
      <c r="B542">
        <v>7.7499999999999999E-2</v>
      </c>
      <c r="C542" t="s">
        <v>1492</v>
      </c>
      <c r="D542" t="s">
        <v>75</v>
      </c>
    </row>
    <row r="543" spans="1:4" x14ac:dyDescent="0.25">
      <c r="A543" t="s">
        <v>6239</v>
      </c>
      <c r="B543">
        <v>8.7499999999999994E-2</v>
      </c>
      <c r="C543" t="s">
        <v>5925</v>
      </c>
      <c r="D543" t="s">
        <v>75</v>
      </c>
    </row>
    <row r="544" spans="1:4" x14ac:dyDescent="0.25">
      <c r="A544" t="s">
        <v>429</v>
      </c>
      <c r="B544">
        <v>7.2499999999999995E-2</v>
      </c>
      <c r="C544" t="s">
        <v>6031</v>
      </c>
      <c r="D544" t="s">
        <v>75</v>
      </c>
    </row>
    <row r="545" spans="1:5" x14ac:dyDescent="0.25">
      <c r="A545" t="s">
        <v>6240</v>
      </c>
      <c r="B545">
        <v>7.2499999999999995E-2</v>
      </c>
      <c r="C545" t="s">
        <v>6055</v>
      </c>
      <c r="D545" t="s">
        <v>5797</v>
      </c>
      <c r="E545" t="s">
        <v>6241</v>
      </c>
    </row>
    <row r="546" spans="1:5" x14ac:dyDescent="0.25">
      <c r="A546" t="s">
        <v>6242</v>
      </c>
      <c r="B546">
        <v>8.2500000000000004E-2</v>
      </c>
      <c r="C546" t="s">
        <v>6055</v>
      </c>
      <c r="D546" t="s">
        <v>5797</v>
      </c>
      <c r="E546" t="s">
        <v>6243</v>
      </c>
    </row>
    <row r="547" spans="1:5" x14ac:dyDescent="0.25">
      <c r="A547" t="s">
        <v>6244</v>
      </c>
      <c r="B547">
        <v>8.7499999999999994E-2</v>
      </c>
      <c r="C547" t="s">
        <v>5801</v>
      </c>
      <c r="D547" t="s">
        <v>75</v>
      </c>
    </row>
    <row r="548" spans="1:5" x14ac:dyDescent="0.25">
      <c r="A548" t="s">
        <v>6245</v>
      </c>
      <c r="B548">
        <v>8.7499999999999994E-2</v>
      </c>
      <c r="C548" t="s">
        <v>5801</v>
      </c>
      <c r="D548" t="s">
        <v>75</v>
      </c>
    </row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</sheetData>
  <phoneticPr fontId="33" type="noConversion"/>
  <pageMargins left="0.44" right="0.75" top="0.48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7A97E-E944-4801-A5D6-65138E672D26}">
  <dimension ref="B1:M255"/>
  <sheetViews>
    <sheetView zoomScaleNormal="100" workbookViewId="0">
      <selection activeCell="A11" sqref="A11:XFD11"/>
    </sheetView>
  </sheetViews>
  <sheetFormatPr defaultColWidth="9.1796875" defaultRowHeight="13" x14ac:dyDescent="0.3"/>
  <cols>
    <col min="1" max="1" width="2.54296875" style="210" customWidth="1"/>
    <col min="2" max="2" width="6.81640625" style="14" customWidth="1"/>
    <col min="3" max="3" width="10.26953125" style="210" customWidth="1"/>
    <col min="4" max="4" width="11" style="210" customWidth="1"/>
    <col min="5" max="5" width="7.453125" style="210" customWidth="1"/>
    <col min="6" max="6" width="10.7265625" style="210" customWidth="1"/>
    <col min="7" max="7" width="4.7265625" style="210" customWidth="1"/>
    <col min="8" max="8" width="10.54296875" style="267" customWidth="1"/>
    <col min="9" max="9" width="10.1796875" style="210" customWidth="1"/>
    <col min="10" max="16384" width="9.1796875" style="210"/>
  </cols>
  <sheetData>
    <row r="1" spans="2:13" ht="18" x14ac:dyDescent="0.5">
      <c r="B1" s="265"/>
      <c r="C1" s="437" t="s">
        <v>5356</v>
      </c>
      <c r="D1" s="438"/>
      <c r="E1" s="438"/>
      <c r="F1" s="438"/>
      <c r="G1" s="438"/>
      <c r="H1" s="438"/>
      <c r="I1" s="438"/>
      <c r="J1" s="439"/>
      <c r="K1" s="266"/>
    </row>
    <row r="2" spans="2:13" ht="9.75" customHeight="1" thickBot="1" x14ac:dyDescent="0.55000000000000004">
      <c r="C2" s="440"/>
      <c r="D2" s="441"/>
      <c r="E2" s="441"/>
      <c r="F2" s="441"/>
      <c r="G2" s="441"/>
      <c r="H2" s="441"/>
      <c r="I2" s="441"/>
      <c r="J2" s="442"/>
      <c r="K2" s="266"/>
    </row>
    <row r="4" spans="2:13" ht="13.5" thickBot="1" x14ac:dyDescent="0.35"/>
    <row r="5" spans="2:13" ht="14.25" customHeight="1" thickBot="1" x14ac:dyDescent="0.35">
      <c r="C5" s="358" t="s">
        <v>5357</v>
      </c>
      <c r="D5" s="443" t="s">
        <v>5358</v>
      </c>
      <c r="E5" s="444"/>
      <c r="F5" s="444"/>
      <c r="G5" s="444"/>
      <c r="H5" s="444"/>
      <c r="I5" s="445"/>
      <c r="J5" s="268" t="s">
        <v>5359</v>
      </c>
      <c r="K5" s="269" t="s">
        <v>5360</v>
      </c>
      <c r="L5" s="270"/>
    </row>
    <row r="6" spans="2:13" ht="13.5" thickBot="1" x14ac:dyDescent="0.35"/>
    <row r="7" spans="2:13" ht="17" thickBot="1" x14ac:dyDescent="0.55000000000000004">
      <c r="B7" s="446" t="s">
        <v>5361</v>
      </c>
      <c r="C7" s="447"/>
      <c r="D7" s="47"/>
    </row>
    <row r="8" spans="2:13" ht="16.5" customHeight="1" x14ac:dyDescent="0.3">
      <c r="B8" s="150">
        <v>1</v>
      </c>
      <c r="C8" s="212" t="s">
        <v>43</v>
      </c>
      <c r="D8" s="355" t="s">
        <v>44</v>
      </c>
      <c r="E8" s="271"/>
      <c r="F8" s="355" t="s">
        <v>45</v>
      </c>
      <c r="G8" s="355"/>
      <c r="H8" s="272" t="s">
        <v>46</v>
      </c>
      <c r="I8" s="356" t="s">
        <v>47</v>
      </c>
      <c r="J8" s="74">
        <v>99</v>
      </c>
      <c r="K8" s="273">
        <f>B8*J8</f>
        <v>99</v>
      </c>
      <c r="M8" s="3"/>
    </row>
    <row r="9" spans="2:13" ht="16.5" customHeight="1" x14ac:dyDescent="0.3">
      <c r="B9" s="351">
        <v>1</v>
      </c>
      <c r="C9" s="13" t="s">
        <v>5362</v>
      </c>
      <c r="D9" s="3" t="s">
        <v>5363</v>
      </c>
      <c r="F9" s="3" t="s">
        <v>5364</v>
      </c>
      <c r="G9" s="3"/>
      <c r="H9" s="3"/>
      <c r="I9" s="51" t="s">
        <v>47</v>
      </c>
      <c r="J9" s="20">
        <v>59</v>
      </c>
      <c r="K9" s="274">
        <f>B9*J9</f>
        <v>59</v>
      </c>
      <c r="L9" s="3"/>
    </row>
    <row r="10" spans="2:13" ht="13.5" customHeight="1" x14ac:dyDescent="0.3">
      <c r="B10" s="351">
        <v>1</v>
      </c>
      <c r="C10" s="13" t="s">
        <v>5365</v>
      </c>
      <c r="D10" s="3" t="s">
        <v>5366</v>
      </c>
      <c r="F10" s="3" t="s">
        <v>5367</v>
      </c>
      <c r="G10" s="3"/>
      <c r="H10" s="246" t="s">
        <v>5368</v>
      </c>
      <c r="I10" s="51" t="s">
        <v>47</v>
      </c>
      <c r="J10" s="20">
        <v>76</v>
      </c>
      <c r="K10" s="274">
        <f t="shared" ref="K10:K73" si="0">B10*J10</f>
        <v>76</v>
      </c>
    </row>
    <row r="11" spans="2:13" ht="15" customHeight="1" x14ac:dyDescent="0.3">
      <c r="B11" s="351">
        <v>1</v>
      </c>
      <c r="C11" s="13" t="s">
        <v>5369</v>
      </c>
      <c r="D11" s="3" t="s">
        <v>5370</v>
      </c>
      <c r="F11" s="3" t="s">
        <v>5371</v>
      </c>
      <c r="G11" s="3"/>
      <c r="H11" s="246" t="s">
        <v>5372</v>
      </c>
      <c r="I11" s="51" t="s">
        <v>47</v>
      </c>
      <c r="J11" s="20">
        <v>39</v>
      </c>
      <c r="K11" s="274">
        <f t="shared" si="0"/>
        <v>39</v>
      </c>
    </row>
    <row r="12" spans="2:13" ht="15" customHeight="1" x14ac:dyDescent="0.3">
      <c r="B12" s="351"/>
      <c r="C12" s="13"/>
      <c r="D12" s="3"/>
      <c r="F12" s="3"/>
      <c r="G12" s="3"/>
      <c r="H12" s="246"/>
      <c r="I12" s="51"/>
      <c r="J12" s="20"/>
      <c r="K12" s="274"/>
    </row>
    <row r="13" spans="2:13" ht="15" customHeight="1" x14ac:dyDescent="0.3">
      <c r="B13" s="351">
        <v>1</v>
      </c>
      <c r="C13" s="13" t="s">
        <v>5373</v>
      </c>
      <c r="D13" s="3" t="s">
        <v>5374</v>
      </c>
      <c r="F13" s="3" t="s">
        <v>5375</v>
      </c>
      <c r="G13" s="3"/>
      <c r="H13" s="246"/>
      <c r="I13" s="51" t="s">
        <v>47</v>
      </c>
      <c r="J13" s="20">
        <v>59</v>
      </c>
      <c r="K13" s="274">
        <f>B13*J13</f>
        <v>59</v>
      </c>
    </row>
    <row r="14" spans="2:13" ht="15" customHeight="1" x14ac:dyDescent="0.3">
      <c r="B14" s="351">
        <v>1</v>
      </c>
      <c r="C14" s="13" t="s">
        <v>5376</v>
      </c>
      <c r="D14" s="3" t="s">
        <v>5374</v>
      </c>
      <c r="F14" s="3" t="s">
        <v>5377</v>
      </c>
      <c r="G14" s="3"/>
      <c r="H14" s="246" t="s">
        <v>5378</v>
      </c>
      <c r="I14" s="51" t="s">
        <v>5379</v>
      </c>
      <c r="J14" s="20">
        <v>84</v>
      </c>
      <c r="K14" s="274">
        <f t="shared" si="0"/>
        <v>84</v>
      </c>
    </row>
    <row r="15" spans="2:13" ht="15" customHeight="1" x14ac:dyDescent="0.3">
      <c r="B15" s="351">
        <v>1</v>
      </c>
      <c r="C15" s="13" t="s">
        <v>5380</v>
      </c>
      <c r="D15" s="3" t="s">
        <v>5374</v>
      </c>
      <c r="F15" s="3" t="s">
        <v>5381</v>
      </c>
      <c r="G15" s="3"/>
      <c r="H15" s="246" t="s">
        <v>5382</v>
      </c>
      <c r="I15" s="51" t="s">
        <v>5383</v>
      </c>
      <c r="J15" s="20">
        <v>77</v>
      </c>
      <c r="K15" s="274">
        <f t="shared" si="0"/>
        <v>77</v>
      </c>
    </row>
    <row r="16" spans="2:13" ht="15" customHeight="1" x14ac:dyDescent="0.3">
      <c r="B16" s="351">
        <v>1</v>
      </c>
      <c r="C16" s="13" t="s">
        <v>5384</v>
      </c>
      <c r="D16" s="3" t="s">
        <v>5374</v>
      </c>
      <c r="F16" s="3" t="s">
        <v>5385</v>
      </c>
      <c r="G16" s="3"/>
      <c r="H16" s="246" t="s">
        <v>5386</v>
      </c>
      <c r="I16" s="51" t="s">
        <v>5383</v>
      </c>
      <c r="J16" s="20">
        <v>72</v>
      </c>
      <c r="K16" s="274">
        <f t="shared" si="0"/>
        <v>72</v>
      </c>
    </row>
    <row r="17" spans="2:11" ht="15" customHeight="1" x14ac:dyDescent="0.3">
      <c r="B17" s="351">
        <v>1</v>
      </c>
      <c r="C17" s="13" t="s">
        <v>5387</v>
      </c>
      <c r="D17" s="3" t="s">
        <v>5388</v>
      </c>
      <c r="F17" s="3" t="s">
        <v>5389</v>
      </c>
      <c r="G17" s="3"/>
      <c r="H17" s="246"/>
      <c r="I17" s="51" t="s">
        <v>5383</v>
      </c>
      <c r="J17" s="20">
        <v>76</v>
      </c>
      <c r="K17" s="274">
        <f t="shared" si="0"/>
        <v>76</v>
      </c>
    </row>
    <row r="18" spans="2:11" ht="15" customHeight="1" x14ac:dyDescent="0.3">
      <c r="B18" s="351">
        <v>1</v>
      </c>
      <c r="C18" s="13" t="s">
        <v>5390</v>
      </c>
      <c r="D18" s="3" t="s">
        <v>5391</v>
      </c>
      <c r="F18" s="3" t="s">
        <v>5392</v>
      </c>
      <c r="G18" s="3"/>
      <c r="H18" s="246" t="s">
        <v>5393</v>
      </c>
      <c r="I18" s="51" t="s">
        <v>47</v>
      </c>
      <c r="J18" s="20">
        <v>82</v>
      </c>
      <c r="K18" s="274">
        <f t="shared" si="0"/>
        <v>82</v>
      </c>
    </row>
    <row r="19" spans="2:11" ht="15" customHeight="1" x14ac:dyDescent="0.3">
      <c r="B19" s="351">
        <v>1</v>
      </c>
      <c r="C19" s="13" t="s">
        <v>5394</v>
      </c>
      <c r="D19" s="3" t="s">
        <v>5395</v>
      </c>
      <c r="F19" s="3" t="s">
        <v>5396</v>
      </c>
      <c r="G19" s="3"/>
      <c r="H19" s="246"/>
      <c r="I19" s="51" t="s">
        <v>47</v>
      </c>
      <c r="J19" s="20">
        <v>39</v>
      </c>
      <c r="K19" s="274">
        <f t="shared" si="0"/>
        <v>39</v>
      </c>
    </row>
    <row r="20" spans="2:11" ht="15" customHeight="1" x14ac:dyDescent="0.3">
      <c r="B20" s="351">
        <v>1</v>
      </c>
      <c r="C20" s="13" t="s">
        <v>5397</v>
      </c>
      <c r="D20" s="3" t="s">
        <v>5398</v>
      </c>
      <c r="F20" s="3" t="s">
        <v>5396</v>
      </c>
      <c r="G20" s="3"/>
      <c r="H20" s="246" t="s">
        <v>5399</v>
      </c>
      <c r="I20" s="51" t="s">
        <v>47</v>
      </c>
      <c r="J20" s="20">
        <v>39</v>
      </c>
      <c r="K20" s="274">
        <f t="shared" si="0"/>
        <v>39</v>
      </c>
    </row>
    <row r="21" spans="2:11" ht="15" customHeight="1" x14ac:dyDescent="0.3">
      <c r="B21" s="351">
        <v>1</v>
      </c>
      <c r="C21" s="13" t="s">
        <v>5400</v>
      </c>
      <c r="D21" s="3" t="s">
        <v>5401</v>
      </c>
      <c r="F21" s="3" t="s">
        <v>5402</v>
      </c>
      <c r="G21" s="3"/>
      <c r="H21" s="246" t="s">
        <v>5403</v>
      </c>
      <c r="I21" s="51" t="s">
        <v>47</v>
      </c>
      <c r="J21" s="20">
        <v>29</v>
      </c>
      <c r="K21" s="274">
        <f t="shared" si="0"/>
        <v>29</v>
      </c>
    </row>
    <row r="22" spans="2:11" ht="15" customHeight="1" x14ac:dyDescent="0.3">
      <c r="B22" s="351">
        <v>1</v>
      </c>
      <c r="C22" s="13" t="s">
        <v>5404</v>
      </c>
      <c r="D22" s="3" t="s">
        <v>5388</v>
      </c>
      <c r="F22" s="3" t="s">
        <v>5405</v>
      </c>
      <c r="G22" s="3"/>
      <c r="H22" s="246" t="s">
        <v>5406</v>
      </c>
      <c r="I22" s="51" t="s">
        <v>5407</v>
      </c>
      <c r="J22" s="20">
        <v>39</v>
      </c>
      <c r="K22" s="274">
        <f t="shared" si="0"/>
        <v>39</v>
      </c>
    </row>
    <row r="23" spans="2:11" ht="15" customHeight="1" x14ac:dyDescent="0.3">
      <c r="B23" s="351">
        <v>1</v>
      </c>
      <c r="C23" s="13" t="s">
        <v>5408</v>
      </c>
      <c r="D23" s="3" t="s">
        <v>5409</v>
      </c>
      <c r="F23" s="3" t="s">
        <v>5410</v>
      </c>
      <c r="G23" s="3"/>
      <c r="H23" s="246"/>
      <c r="I23" s="51" t="s">
        <v>47</v>
      </c>
      <c r="J23" s="20">
        <v>89</v>
      </c>
      <c r="K23" s="274">
        <f t="shared" si="0"/>
        <v>89</v>
      </c>
    </row>
    <row r="24" spans="2:11" ht="15" customHeight="1" x14ac:dyDescent="0.3">
      <c r="B24" s="351">
        <v>1</v>
      </c>
      <c r="C24" s="13" t="s">
        <v>5411</v>
      </c>
      <c r="D24" s="3" t="s">
        <v>5388</v>
      </c>
      <c r="F24" s="3" t="s">
        <v>5412</v>
      </c>
      <c r="G24" s="3"/>
      <c r="H24" s="246"/>
      <c r="I24" s="51" t="s">
        <v>47</v>
      </c>
      <c r="J24" s="20">
        <v>103</v>
      </c>
      <c r="K24" s="274">
        <f t="shared" si="0"/>
        <v>103</v>
      </c>
    </row>
    <row r="25" spans="2:11" ht="15" customHeight="1" x14ac:dyDescent="0.3">
      <c r="B25" s="351">
        <v>1</v>
      </c>
      <c r="C25" s="13" t="s">
        <v>5413</v>
      </c>
      <c r="D25" s="3" t="s">
        <v>5388</v>
      </c>
      <c r="F25" s="3" t="s">
        <v>5414</v>
      </c>
      <c r="G25" s="3"/>
      <c r="H25" s="246"/>
      <c r="I25" s="51" t="s">
        <v>47</v>
      </c>
      <c r="J25" s="20">
        <v>124</v>
      </c>
      <c r="K25" s="274">
        <f t="shared" si="0"/>
        <v>124</v>
      </c>
    </row>
    <row r="26" spans="2:11" ht="15" customHeight="1" x14ac:dyDescent="0.3">
      <c r="B26" s="351">
        <v>1</v>
      </c>
      <c r="C26" s="13" t="s">
        <v>5415</v>
      </c>
      <c r="D26" s="3" t="s">
        <v>5388</v>
      </c>
      <c r="F26" s="3" t="s">
        <v>5416</v>
      </c>
      <c r="G26" s="3"/>
      <c r="H26" s="246"/>
      <c r="I26" s="51" t="s">
        <v>47</v>
      </c>
      <c r="J26" s="20">
        <v>62</v>
      </c>
      <c r="K26" s="274">
        <f t="shared" si="0"/>
        <v>62</v>
      </c>
    </row>
    <row r="27" spans="2:11" ht="15" customHeight="1" x14ac:dyDescent="0.3">
      <c r="B27" s="351">
        <v>1</v>
      </c>
      <c r="C27" s="13" t="s">
        <v>5417</v>
      </c>
      <c r="D27" s="3" t="s">
        <v>5388</v>
      </c>
      <c r="F27" s="3" t="s">
        <v>5418</v>
      </c>
      <c r="G27" s="3"/>
      <c r="H27" s="246" t="s">
        <v>5419</v>
      </c>
      <c r="I27" s="51" t="s">
        <v>47</v>
      </c>
      <c r="J27" s="20">
        <v>116</v>
      </c>
      <c r="K27" s="274">
        <f t="shared" si="0"/>
        <v>116</v>
      </c>
    </row>
    <row r="28" spans="2:11" ht="15" customHeight="1" x14ac:dyDescent="0.3">
      <c r="B28" s="351">
        <v>1</v>
      </c>
      <c r="C28" s="13" t="s">
        <v>5420</v>
      </c>
      <c r="D28" s="3" t="s">
        <v>5421</v>
      </c>
      <c r="F28" s="3" t="s">
        <v>5422</v>
      </c>
      <c r="G28" s="3"/>
      <c r="H28" s="246"/>
      <c r="I28" s="51" t="s">
        <v>5423</v>
      </c>
      <c r="J28" s="20">
        <v>73</v>
      </c>
      <c r="K28" s="274">
        <f t="shared" si="0"/>
        <v>73</v>
      </c>
    </row>
    <row r="29" spans="2:11" ht="15" customHeight="1" x14ac:dyDescent="0.3">
      <c r="B29" s="351">
        <v>1</v>
      </c>
      <c r="C29" s="13" t="s">
        <v>6343</v>
      </c>
      <c r="D29" s="3" t="s">
        <v>6346</v>
      </c>
      <c r="F29" s="3" t="s">
        <v>6344</v>
      </c>
      <c r="G29" s="3"/>
      <c r="H29" s="246" t="s">
        <v>6345</v>
      </c>
      <c r="I29" s="51" t="s">
        <v>47</v>
      </c>
      <c r="J29" s="149">
        <v>22.95</v>
      </c>
      <c r="K29" s="274">
        <f t="shared" si="0"/>
        <v>22.95</v>
      </c>
    </row>
    <row r="30" spans="2:11" ht="15" customHeight="1" x14ac:dyDescent="0.3">
      <c r="B30" s="351">
        <v>1</v>
      </c>
      <c r="C30" s="13" t="s">
        <v>5424</v>
      </c>
      <c r="D30" s="3" t="s">
        <v>5425</v>
      </c>
      <c r="F30" s="3" t="s">
        <v>72</v>
      </c>
      <c r="G30" s="3"/>
      <c r="H30" s="246"/>
      <c r="I30" s="51"/>
      <c r="J30" s="20">
        <v>59</v>
      </c>
      <c r="K30" s="274">
        <f t="shared" si="0"/>
        <v>59</v>
      </c>
    </row>
    <row r="31" spans="2:11" ht="13.5" thickBot="1" x14ac:dyDescent="0.35">
      <c r="B31" s="351"/>
      <c r="K31" s="274"/>
    </row>
    <row r="32" spans="2:11" ht="17" thickBot="1" x14ac:dyDescent="0.55000000000000004">
      <c r="B32" s="275" t="s">
        <v>5426</v>
      </c>
      <c r="C32" s="52"/>
      <c r="D32" s="47"/>
      <c r="K32" s="274"/>
    </row>
    <row r="33" spans="2:11" ht="15" customHeight="1" x14ac:dyDescent="0.3">
      <c r="B33" s="351">
        <v>1</v>
      </c>
      <c r="C33" s="13" t="s">
        <v>5427</v>
      </c>
      <c r="D33" s="3" t="s">
        <v>5428</v>
      </c>
      <c r="F33" s="3" t="s">
        <v>5429</v>
      </c>
      <c r="G33" s="3"/>
      <c r="H33" s="246"/>
      <c r="I33" s="51" t="s">
        <v>5430</v>
      </c>
      <c r="J33" s="20">
        <v>42</v>
      </c>
      <c r="K33" s="274">
        <f t="shared" si="0"/>
        <v>42</v>
      </c>
    </row>
    <row r="34" spans="2:11" ht="15" customHeight="1" x14ac:dyDescent="0.3">
      <c r="B34" s="351">
        <v>1</v>
      </c>
      <c r="C34" s="13" t="s">
        <v>5431</v>
      </c>
      <c r="D34" s="3" t="s">
        <v>5428</v>
      </c>
      <c r="F34" s="3" t="s">
        <v>5432</v>
      </c>
      <c r="G34" s="3"/>
      <c r="H34" s="246"/>
      <c r="I34" s="51" t="s">
        <v>5430</v>
      </c>
      <c r="J34" s="20">
        <v>52</v>
      </c>
      <c r="K34" s="274">
        <f t="shared" si="0"/>
        <v>52</v>
      </c>
    </row>
    <row r="35" spans="2:11" ht="15" customHeight="1" x14ac:dyDescent="0.3">
      <c r="B35" s="351"/>
      <c r="C35" s="13"/>
      <c r="D35" s="3"/>
      <c r="F35" s="3"/>
      <c r="G35" s="3"/>
      <c r="H35" s="246"/>
      <c r="I35" s="51"/>
      <c r="J35" s="20"/>
      <c r="K35" s="274"/>
    </row>
    <row r="36" spans="2:11" ht="15" customHeight="1" x14ac:dyDescent="0.3">
      <c r="B36" s="351">
        <v>1</v>
      </c>
      <c r="C36" s="13" t="s">
        <v>5433</v>
      </c>
      <c r="D36" s="3" t="s">
        <v>6353</v>
      </c>
      <c r="F36" s="3" t="s">
        <v>5434</v>
      </c>
      <c r="G36" s="3"/>
      <c r="H36" s="246"/>
      <c r="I36" s="51" t="s">
        <v>5430</v>
      </c>
      <c r="J36" s="20">
        <v>59</v>
      </c>
      <c r="K36" s="274">
        <f t="shared" si="0"/>
        <v>59</v>
      </c>
    </row>
    <row r="37" spans="2:11" ht="15" customHeight="1" x14ac:dyDescent="0.3">
      <c r="B37" s="351">
        <v>1</v>
      </c>
      <c r="C37" s="13" t="s">
        <v>5435</v>
      </c>
      <c r="D37" s="3" t="s">
        <v>5436</v>
      </c>
      <c r="F37" s="3" t="s">
        <v>5437</v>
      </c>
      <c r="G37" s="3"/>
      <c r="H37" s="246"/>
      <c r="I37" s="51" t="s">
        <v>5430</v>
      </c>
      <c r="J37" s="20">
        <v>49</v>
      </c>
      <c r="K37" s="274">
        <f t="shared" si="0"/>
        <v>49</v>
      </c>
    </row>
    <row r="38" spans="2:11" ht="15" customHeight="1" x14ac:dyDescent="0.3">
      <c r="B38" s="351">
        <v>1</v>
      </c>
      <c r="C38" s="13" t="s">
        <v>5438</v>
      </c>
      <c r="D38" s="3" t="s">
        <v>5436</v>
      </c>
      <c r="F38" s="3" t="s">
        <v>5439</v>
      </c>
      <c r="G38" s="3"/>
      <c r="H38" s="246"/>
      <c r="I38" s="51" t="s">
        <v>5430</v>
      </c>
      <c r="J38" s="20">
        <v>39</v>
      </c>
      <c r="K38" s="274">
        <f t="shared" si="0"/>
        <v>39</v>
      </c>
    </row>
    <row r="39" spans="2:11" ht="15" customHeight="1" x14ac:dyDescent="0.3">
      <c r="B39" s="351">
        <v>1</v>
      </c>
      <c r="C39" s="13" t="s">
        <v>5440</v>
      </c>
      <c r="D39" s="3" t="s">
        <v>5436</v>
      </c>
      <c r="F39" s="3" t="s">
        <v>2098</v>
      </c>
      <c r="G39" s="3"/>
      <c r="H39" s="246"/>
      <c r="I39" s="51" t="s">
        <v>5430</v>
      </c>
      <c r="J39" s="20">
        <v>39</v>
      </c>
      <c r="K39" s="274">
        <f t="shared" si="0"/>
        <v>39</v>
      </c>
    </row>
    <row r="40" spans="2:11" ht="15" customHeight="1" x14ac:dyDescent="0.3">
      <c r="B40" s="351">
        <v>1</v>
      </c>
      <c r="C40" s="13" t="s">
        <v>5441</v>
      </c>
      <c r="D40" s="3" t="s">
        <v>5436</v>
      </c>
      <c r="F40" s="3" t="s">
        <v>5442</v>
      </c>
      <c r="G40" s="3"/>
      <c r="H40" s="246"/>
      <c r="I40" s="51" t="s">
        <v>5430</v>
      </c>
      <c r="J40" s="20">
        <v>52</v>
      </c>
      <c r="K40" s="274">
        <v>52</v>
      </c>
    </row>
    <row r="41" spans="2:11" ht="15" customHeight="1" x14ac:dyDescent="0.3">
      <c r="B41" s="351">
        <v>1</v>
      </c>
      <c r="C41" s="13" t="s">
        <v>5443</v>
      </c>
      <c r="D41" s="3" t="s">
        <v>5444</v>
      </c>
      <c r="F41" s="3" t="s">
        <v>5442</v>
      </c>
      <c r="G41" s="3"/>
      <c r="H41" s="246"/>
      <c r="I41" s="51" t="s">
        <v>5430</v>
      </c>
      <c r="J41" s="20">
        <v>52</v>
      </c>
      <c r="K41" s="274">
        <f t="shared" si="0"/>
        <v>52</v>
      </c>
    </row>
    <row r="42" spans="2:11" ht="15" customHeight="1" x14ac:dyDescent="0.3">
      <c r="B42" s="351">
        <v>1</v>
      </c>
      <c r="C42" s="13" t="s">
        <v>5445</v>
      </c>
      <c r="D42" s="3" t="s">
        <v>5436</v>
      </c>
      <c r="F42" s="3" t="s">
        <v>5446</v>
      </c>
      <c r="G42" s="3"/>
      <c r="H42" s="246"/>
      <c r="I42" s="51" t="s">
        <v>5430</v>
      </c>
      <c r="J42" s="20">
        <v>39</v>
      </c>
      <c r="K42" s="274">
        <f t="shared" si="0"/>
        <v>39</v>
      </c>
    </row>
    <row r="43" spans="2:11" ht="6.75" customHeight="1" x14ac:dyDescent="0.3">
      <c r="B43" s="351"/>
      <c r="C43" s="13"/>
      <c r="D43" s="3"/>
      <c r="E43" s="3"/>
      <c r="F43" s="3"/>
      <c r="G43" s="3"/>
      <c r="H43" s="246"/>
      <c r="I43" s="51"/>
      <c r="J43" s="20"/>
      <c r="K43" s="274"/>
    </row>
    <row r="44" spans="2:11" ht="15" customHeight="1" x14ac:dyDescent="0.3">
      <c r="B44" s="351">
        <v>1</v>
      </c>
      <c r="C44" s="13" t="s">
        <v>5447</v>
      </c>
      <c r="D44" s="3" t="s">
        <v>5448</v>
      </c>
      <c r="F44" s="3" t="s">
        <v>72</v>
      </c>
      <c r="G44" s="3"/>
      <c r="H44" s="246"/>
      <c r="I44" s="51" t="s">
        <v>5430</v>
      </c>
      <c r="J44" s="20">
        <v>39</v>
      </c>
      <c r="K44" s="274">
        <f t="shared" si="0"/>
        <v>39</v>
      </c>
    </row>
    <row r="45" spans="2:11" ht="15" customHeight="1" x14ac:dyDescent="0.3">
      <c r="B45" s="351">
        <v>1</v>
      </c>
      <c r="C45" s="13" t="s">
        <v>5449</v>
      </c>
      <c r="D45" s="3" t="s">
        <v>5448</v>
      </c>
      <c r="F45" s="3" t="s">
        <v>72</v>
      </c>
      <c r="G45" s="3"/>
      <c r="H45" s="246"/>
      <c r="I45" s="51" t="s">
        <v>5450</v>
      </c>
      <c r="J45" s="20">
        <v>7.5</v>
      </c>
      <c r="K45" s="274">
        <f t="shared" si="0"/>
        <v>7.5</v>
      </c>
    </row>
    <row r="46" spans="2:11" ht="15" customHeight="1" x14ac:dyDescent="0.3">
      <c r="B46" s="351">
        <v>1</v>
      </c>
      <c r="C46" s="13" t="s">
        <v>5451</v>
      </c>
      <c r="D46" s="3" t="s">
        <v>5452</v>
      </c>
      <c r="F46" s="3"/>
      <c r="G46" s="3"/>
      <c r="H46" s="246"/>
      <c r="I46" s="51" t="s">
        <v>5450</v>
      </c>
      <c r="J46" s="20">
        <v>55</v>
      </c>
      <c r="K46" s="274">
        <f t="shared" si="0"/>
        <v>55</v>
      </c>
    </row>
    <row r="47" spans="2:11" ht="15" customHeight="1" x14ac:dyDescent="0.3">
      <c r="B47" s="351">
        <v>1</v>
      </c>
      <c r="C47" s="13" t="s">
        <v>5453</v>
      </c>
      <c r="D47" s="3" t="s">
        <v>5454</v>
      </c>
      <c r="F47" s="3"/>
      <c r="G47" s="3"/>
      <c r="H47" s="246"/>
      <c r="I47" s="51" t="s">
        <v>5450</v>
      </c>
      <c r="J47" s="20">
        <v>45</v>
      </c>
      <c r="K47" s="274">
        <f t="shared" si="0"/>
        <v>45</v>
      </c>
    </row>
    <row r="48" spans="2:11" x14ac:dyDescent="0.3">
      <c r="B48" s="351"/>
      <c r="K48" s="274"/>
    </row>
    <row r="49" spans="2:11" ht="13.5" thickBot="1" x14ac:dyDescent="0.35">
      <c r="B49" s="351"/>
      <c r="K49" s="274"/>
    </row>
    <row r="50" spans="2:11" ht="17" thickBot="1" x14ac:dyDescent="0.55000000000000004">
      <c r="B50" s="275" t="s">
        <v>5455</v>
      </c>
      <c r="C50" s="52"/>
      <c r="D50" s="47"/>
      <c r="K50" s="274"/>
    </row>
    <row r="51" spans="2:11" ht="15" customHeight="1" x14ac:dyDescent="0.3">
      <c r="B51" s="351">
        <v>1</v>
      </c>
      <c r="C51" s="349" t="s">
        <v>5456</v>
      </c>
      <c r="D51" s="3" t="s">
        <v>5457</v>
      </c>
      <c r="E51" s="3"/>
      <c r="F51" s="3" t="s">
        <v>5458</v>
      </c>
      <c r="G51" s="3"/>
      <c r="H51" s="246"/>
      <c r="I51" s="276" t="s">
        <v>5459</v>
      </c>
      <c r="J51" s="20">
        <v>75</v>
      </c>
      <c r="K51" s="274">
        <f t="shared" si="0"/>
        <v>75</v>
      </c>
    </row>
    <row r="52" spans="2:11" ht="15" customHeight="1" x14ac:dyDescent="0.3">
      <c r="B52" s="351">
        <v>1</v>
      </c>
      <c r="C52" s="349" t="s">
        <v>5460</v>
      </c>
      <c r="D52" s="3" t="s">
        <v>5457</v>
      </c>
      <c r="E52" s="3"/>
      <c r="F52" s="3" t="s">
        <v>5461</v>
      </c>
      <c r="G52" s="3"/>
      <c r="H52" s="246" t="s">
        <v>5462</v>
      </c>
      <c r="I52" s="276" t="s">
        <v>5459</v>
      </c>
      <c r="J52" s="20">
        <v>75</v>
      </c>
      <c r="K52" s="274">
        <f t="shared" si="0"/>
        <v>75</v>
      </c>
    </row>
    <row r="53" spans="2:11" ht="15" customHeight="1" x14ac:dyDescent="0.3">
      <c r="B53" s="351">
        <v>1</v>
      </c>
      <c r="C53" s="349" t="s">
        <v>5463</v>
      </c>
      <c r="D53" s="3" t="s">
        <v>5464</v>
      </c>
      <c r="E53" s="3"/>
      <c r="F53" s="3" t="s">
        <v>5465</v>
      </c>
      <c r="G53" s="3"/>
      <c r="H53" s="246" t="s">
        <v>5466</v>
      </c>
      <c r="I53" s="276" t="s">
        <v>5459</v>
      </c>
      <c r="J53" s="20">
        <v>65</v>
      </c>
      <c r="K53" s="274">
        <f t="shared" si="0"/>
        <v>65</v>
      </c>
    </row>
    <row r="54" spans="2:11" ht="15" customHeight="1" x14ac:dyDescent="0.3">
      <c r="B54" s="351">
        <v>1</v>
      </c>
      <c r="C54" s="349" t="s">
        <v>5467</v>
      </c>
      <c r="D54" s="3" t="s">
        <v>5464</v>
      </c>
      <c r="E54" s="3"/>
      <c r="F54" s="3" t="s">
        <v>5468</v>
      </c>
      <c r="G54" s="3"/>
      <c r="H54" s="246"/>
      <c r="I54" s="276" t="s">
        <v>5459</v>
      </c>
      <c r="J54" s="20">
        <v>65</v>
      </c>
      <c r="K54" s="274">
        <f t="shared" si="0"/>
        <v>65</v>
      </c>
    </row>
    <row r="55" spans="2:11" ht="15" customHeight="1" x14ac:dyDescent="0.3">
      <c r="B55" s="351">
        <v>1</v>
      </c>
      <c r="C55" s="349" t="s">
        <v>5469</v>
      </c>
      <c r="D55" s="3" t="s">
        <v>5464</v>
      </c>
      <c r="E55" s="3"/>
      <c r="F55" s="3" t="s">
        <v>5465</v>
      </c>
      <c r="G55" s="3"/>
      <c r="H55" s="246" t="s">
        <v>5470</v>
      </c>
      <c r="I55" s="276" t="s">
        <v>5459</v>
      </c>
      <c r="J55" s="20">
        <v>65</v>
      </c>
      <c r="K55" s="274">
        <f t="shared" si="0"/>
        <v>65</v>
      </c>
    </row>
    <row r="56" spans="2:11" ht="14.25" customHeight="1" x14ac:dyDescent="0.3">
      <c r="B56" s="351">
        <v>1</v>
      </c>
      <c r="C56" s="349" t="s">
        <v>5471</v>
      </c>
      <c r="D56" s="3" t="s">
        <v>5472</v>
      </c>
      <c r="E56" s="3"/>
      <c r="F56" s="3" t="s">
        <v>5473</v>
      </c>
      <c r="G56" s="3"/>
      <c r="H56" s="246"/>
      <c r="I56" s="276" t="s">
        <v>5459</v>
      </c>
      <c r="J56" s="20">
        <v>75</v>
      </c>
      <c r="K56" s="274">
        <f t="shared" si="0"/>
        <v>75</v>
      </c>
    </row>
    <row r="57" spans="2:11" ht="15" customHeight="1" x14ac:dyDescent="0.3">
      <c r="B57" s="351">
        <v>1</v>
      </c>
      <c r="C57" s="349" t="s">
        <v>5474</v>
      </c>
      <c r="D57" s="3" t="s">
        <v>5475</v>
      </c>
      <c r="E57" s="3"/>
      <c r="F57" s="3" t="s">
        <v>5476</v>
      </c>
      <c r="G57" s="3"/>
      <c r="H57" s="246"/>
      <c r="I57" s="276" t="s">
        <v>5459</v>
      </c>
      <c r="J57" s="20">
        <v>150</v>
      </c>
      <c r="K57" s="274">
        <f t="shared" si="0"/>
        <v>150</v>
      </c>
    </row>
    <row r="58" spans="2:11" ht="15" customHeight="1" x14ac:dyDescent="0.3">
      <c r="B58" s="351">
        <v>1</v>
      </c>
      <c r="C58" s="349" t="s">
        <v>5477</v>
      </c>
      <c r="D58" s="3" t="s">
        <v>5478</v>
      </c>
      <c r="E58" s="3"/>
      <c r="F58" s="3" t="s">
        <v>5479</v>
      </c>
      <c r="G58" s="3"/>
      <c r="H58" s="246" t="s">
        <v>5480</v>
      </c>
      <c r="I58" s="276" t="s">
        <v>5459</v>
      </c>
      <c r="J58" s="20">
        <v>175</v>
      </c>
      <c r="K58" s="274">
        <f t="shared" si="0"/>
        <v>175</v>
      </c>
    </row>
    <row r="59" spans="2:11" ht="15" customHeight="1" x14ac:dyDescent="0.3">
      <c r="B59" s="351">
        <v>1</v>
      </c>
      <c r="C59" s="349" t="s">
        <v>5481</v>
      </c>
      <c r="D59" s="3" t="s">
        <v>5478</v>
      </c>
      <c r="E59" s="3"/>
      <c r="F59" s="3" t="s">
        <v>5482</v>
      </c>
      <c r="G59" s="3"/>
      <c r="H59" s="246" t="s">
        <v>5483</v>
      </c>
      <c r="I59" s="276" t="s">
        <v>5459</v>
      </c>
      <c r="J59" s="20">
        <v>175</v>
      </c>
      <c r="K59" s="274">
        <f t="shared" si="0"/>
        <v>175</v>
      </c>
    </row>
    <row r="60" spans="2:11" x14ac:dyDescent="0.3">
      <c r="B60" s="351"/>
      <c r="C60" s="349"/>
      <c r="D60" s="3"/>
      <c r="E60" s="3"/>
      <c r="F60" s="3"/>
      <c r="G60" s="3"/>
      <c r="H60" s="246"/>
      <c r="I60" s="51"/>
      <c r="J60" s="20"/>
      <c r="K60" s="274"/>
    </row>
    <row r="61" spans="2:11" ht="15" customHeight="1" x14ac:dyDescent="0.3">
      <c r="B61" s="351">
        <v>1</v>
      </c>
      <c r="C61" s="349" t="s">
        <v>5484</v>
      </c>
      <c r="D61" s="348" t="s">
        <v>5485</v>
      </c>
      <c r="E61" s="3"/>
      <c r="F61" s="14" t="s">
        <v>5486</v>
      </c>
      <c r="G61" s="3"/>
      <c r="H61" s="246"/>
      <c r="I61" s="246" t="s">
        <v>5487</v>
      </c>
      <c r="J61" s="20">
        <v>9.9499999999999993</v>
      </c>
      <c r="K61" s="274">
        <f t="shared" si="0"/>
        <v>9.9499999999999993</v>
      </c>
    </row>
    <row r="62" spans="2:11" ht="15" customHeight="1" x14ac:dyDescent="0.3">
      <c r="B62" s="351">
        <v>1</v>
      </c>
      <c r="C62" s="349" t="s">
        <v>5488</v>
      </c>
      <c r="D62" s="348" t="s">
        <v>5489</v>
      </c>
      <c r="E62" s="3"/>
      <c r="F62" s="14" t="s">
        <v>5486</v>
      </c>
      <c r="G62" s="3"/>
      <c r="H62" s="246"/>
      <c r="I62" s="246" t="s">
        <v>5487</v>
      </c>
      <c r="J62" s="20">
        <v>19.5</v>
      </c>
      <c r="K62" s="274">
        <f t="shared" si="0"/>
        <v>19.5</v>
      </c>
    </row>
    <row r="63" spans="2:11" ht="15" customHeight="1" x14ac:dyDescent="0.3">
      <c r="B63" s="351">
        <v>1</v>
      </c>
      <c r="C63" s="349" t="s">
        <v>5490</v>
      </c>
      <c r="D63" s="348" t="s">
        <v>5491</v>
      </c>
      <c r="E63" s="3"/>
      <c r="F63" s="348" t="s">
        <v>5492</v>
      </c>
      <c r="G63" s="3"/>
      <c r="H63" s="246"/>
      <c r="I63" s="246" t="s">
        <v>5487</v>
      </c>
      <c r="J63" s="20">
        <v>19.5</v>
      </c>
      <c r="K63" s="274">
        <f t="shared" si="0"/>
        <v>19.5</v>
      </c>
    </row>
    <row r="64" spans="2:11" ht="15" customHeight="1" x14ac:dyDescent="0.3">
      <c r="B64" s="351">
        <v>1</v>
      </c>
      <c r="C64" s="349" t="s">
        <v>5493</v>
      </c>
      <c r="D64" s="3" t="s">
        <v>5494</v>
      </c>
      <c r="F64" s="47"/>
      <c r="G64" s="3"/>
      <c r="H64" s="246"/>
      <c r="I64" s="246" t="s">
        <v>5487</v>
      </c>
      <c r="J64" s="20">
        <v>75</v>
      </c>
      <c r="K64" s="274">
        <f t="shared" si="0"/>
        <v>75</v>
      </c>
    </row>
    <row r="65" spans="2:11" ht="13.5" thickBot="1" x14ac:dyDescent="0.35">
      <c r="B65" s="351"/>
      <c r="K65" s="274"/>
    </row>
    <row r="66" spans="2:11" ht="17" thickBot="1" x14ac:dyDescent="0.55000000000000004">
      <c r="B66" s="277" t="s">
        <v>5495</v>
      </c>
      <c r="C66" s="52"/>
      <c r="D66" s="47"/>
      <c r="K66" s="274"/>
    </row>
    <row r="67" spans="2:11" ht="15" customHeight="1" x14ac:dyDescent="0.3">
      <c r="B67" s="351">
        <v>1</v>
      </c>
      <c r="C67" s="349" t="s">
        <v>5496</v>
      </c>
      <c r="D67" s="348" t="s">
        <v>5497</v>
      </c>
      <c r="E67" s="3"/>
      <c r="F67" s="3"/>
      <c r="G67" s="3"/>
      <c r="H67" s="246"/>
      <c r="I67" s="51" t="s">
        <v>5498</v>
      </c>
      <c r="J67" s="20">
        <v>2.5</v>
      </c>
      <c r="K67" s="274">
        <f t="shared" si="0"/>
        <v>2.5</v>
      </c>
    </row>
    <row r="68" spans="2:11" ht="15" customHeight="1" x14ac:dyDescent="0.3">
      <c r="B68" s="351">
        <v>1</v>
      </c>
      <c r="C68" s="349" t="s">
        <v>5499</v>
      </c>
      <c r="D68" s="348" t="s">
        <v>5500</v>
      </c>
      <c r="E68" s="3"/>
      <c r="F68" s="3"/>
      <c r="G68" s="3"/>
      <c r="H68" s="246"/>
      <c r="I68" s="51" t="s">
        <v>5498</v>
      </c>
      <c r="J68" s="20">
        <v>2.5</v>
      </c>
      <c r="K68" s="274">
        <f t="shared" si="0"/>
        <v>2.5</v>
      </c>
    </row>
    <row r="69" spans="2:11" ht="15" customHeight="1" x14ac:dyDescent="0.3">
      <c r="B69" s="351">
        <v>1</v>
      </c>
      <c r="C69" s="349" t="s">
        <v>5501</v>
      </c>
      <c r="D69" s="348" t="s">
        <v>5502</v>
      </c>
      <c r="E69" s="3"/>
      <c r="F69" s="3"/>
      <c r="G69" s="3"/>
      <c r="H69" s="246"/>
      <c r="I69" s="51" t="s">
        <v>5498</v>
      </c>
      <c r="J69" s="20">
        <v>5</v>
      </c>
      <c r="K69" s="274">
        <f t="shared" si="0"/>
        <v>5</v>
      </c>
    </row>
    <row r="70" spans="2:11" ht="15" customHeight="1" x14ac:dyDescent="0.3">
      <c r="B70" s="351">
        <v>1</v>
      </c>
      <c r="C70" s="349" t="s">
        <v>5503</v>
      </c>
      <c r="D70" s="348" t="s">
        <v>5504</v>
      </c>
      <c r="E70" s="3"/>
      <c r="F70" s="3"/>
      <c r="G70" s="3"/>
      <c r="H70" s="246"/>
      <c r="I70" s="51" t="s">
        <v>5498</v>
      </c>
      <c r="J70" s="20">
        <v>1.5</v>
      </c>
      <c r="K70" s="274">
        <f t="shared" si="0"/>
        <v>1.5</v>
      </c>
    </row>
    <row r="71" spans="2:11" ht="15" customHeight="1" x14ac:dyDescent="0.3">
      <c r="B71" s="351">
        <v>1</v>
      </c>
      <c r="C71" s="349" t="s">
        <v>5505</v>
      </c>
      <c r="D71" s="348" t="s">
        <v>5506</v>
      </c>
      <c r="E71" s="3"/>
      <c r="F71" s="3"/>
      <c r="G71" s="3"/>
      <c r="H71" s="246"/>
      <c r="I71" s="51" t="s">
        <v>5498</v>
      </c>
      <c r="J71" s="20">
        <v>1.5</v>
      </c>
      <c r="K71" s="274">
        <f t="shared" si="0"/>
        <v>1.5</v>
      </c>
    </row>
    <row r="72" spans="2:11" ht="15" customHeight="1" x14ac:dyDescent="0.3">
      <c r="B72" s="351">
        <v>1</v>
      </c>
      <c r="C72" s="349" t="s">
        <v>5507</v>
      </c>
      <c r="D72" s="348" t="s">
        <v>5508</v>
      </c>
      <c r="E72" s="3"/>
      <c r="F72" s="3"/>
      <c r="G72" s="3"/>
      <c r="H72" s="246"/>
      <c r="I72" s="51" t="s">
        <v>5498</v>
      </c>
      <c r="J72" s="20">
        <v>4.75</v>
      </c>
      <c r="K72" s="274">
        <f t="shared" si="0"/>
        <v>4.75</v>
      </c>
    </row>
    <row r="73" spans="2:11" ht="15" customHeight="1" x14ac:dyDescent="0.3">
      <c r="B73" s="351">
        <v>1</v>
      </c>
      <c r="C73" s="349" t="s">
        <v>5509</v>
      </c>
      <c r="D73" s="348" t="s">
        <v>5510</v>
      </c>
      <c r="E73" s="3"/>
      <c r="F73" s="3"/>
      <c r="G73" s="3"/>
      <c r="H73" s="246"/>
      <c r="I73" s="51" t="s">
        <v>5498</v>
      </c>
      <c r="J73" s="20">
        <v>15</v>
      </c>
      <c r="K73" s="274">
        <f t="shared" si="0"/>
        <v>15</v>
      </c>
    </row>
    <row r="74" spans="2:11" ht="15" customHeight="1" x14ac:dyDescent="0.3">
      <c r="B74" s="351">
        <v>1</v>
      </c>
      <c r="C74" s="349" t="s">
        <v>5511</v>
      </c>
      <c r="D74" s="348" t="s">
        <v>5512</v>
      </c>
      <c r="E74" s="3"/>
      <c r="F74" s="3"/>
      <c r="G74" s="3"/>
      <c r="H74" s="246"/>
      <c r="I74" s="51" t="s">
        <v>5498</v>
      </c>
      <c r="J74" s="20">
        <v>5</v>
      </c>
      <c r="K74" s="274">
        <f t="shared" ref="K74:K137" si="1">B74*J74</f>
        <v>5</v>
      </c>
    </row>
    <row r="75" spans="2:11" ht="6" customHeight="1" x14ac:dyDescent="0.3">
      <c r="B75" s="351"/>
      <c r="C75" s="349"/>
      <c r="D75" s="348"/>
      <c r="E75" s="3"/>
      <c r="F75" s="3"/>
      <c r="G75" s="3"/>
      <c r="H75" s="246"/>
      <c r="I75" s="51"/>
      <c r="J75" s="20"/>
      <c r="K75" s="274"/>
    </row>
    <row r="76" spans="2:11" ht="15" customHeight="1" x14ac:dyDescent="0.3">
      <c r="B76" s="351">
        <v>1</v>
      </c>
      <c r="C76" s="349" t="s">
        <v>5513</v>
      </c>
      <c r="D76" s="348" t="s">
        <v>5514</v>
      </c>
      <c r="E76" s="3"/>
      <c r="F76" s="3" t="s">
        <v>72</v>
      </c>
      <c r="G76" s="3"/>
      <c r="H76" s="246"/>
      <c r="I76" s="51" t="s">
        <v>5498</v>
      </c>
      <c r="J76" s="20">
        <v>25</v>
      </c>
      <c r="K76" s="274">
        <f t="shared" si="1"/>
        <v>25</v>
      </c>
    </row>
    <row r="77" spans="2:11" ht="7.5" customHeight="1" x14ac:dyDescent="0.3">
      <c r="B77" s="351"/>
      <c r="K77" s="274"/>
    </row>
    <row r="78" spans="2:11" ht="15" customHeight="1" x14ac:dyDescent="0.3">
      <c r="B78" s="351">
        <v>1</v>
      </c>
      <c r="C78" s="349" t="s">
        <v>5515</v>
      </c>
      <c r="D78" s="348" t="s">
        <v>5516</v>
      </c>
      <c r="E78" s="3"/>
      <c r="F78" s="3"/>
      <c r="G78" s="3"/>
      <c r="H78" s="246"/>
      <c r="I78" s="51" t="s">
        <v>5498</v>
      </c>
      <c r="J78" s="20">
        <v>55</v>
      </c>
      <c r="K78" s="274">
        <f t="shared" si="1"/>
        <v>55</v>
      </c>
    </row>
    <row r="79" spans="2:11" ht="15" customHeight="1" x14ac:dyDescent="0.3">
      <c r="B79" s="351">
        <v>1</v>
      </c>
      <c r="C79" s="349" t="s">
        <v>5517</v>
      </c>
      <c r="D79" s="348" t="s">
        <v>5518</v>
      </c>
      <c r="E79" s="3"/>
      <c r="F79" s="3"/>
      <c r="G79" s="3"/>
      <c r="H79" s="246"/>
      <c r="I79" s="51" t="s">
        <v>5498</v>
      </c>
      <c r="J79" s="20">
        <v>25</v>
      </c>
      <c r="K79" s="274">
        <f t="shared" si="1"/>
        <v>25</v>
      </c>
    </row>
    <row r="80" spans="2:11" ht="15" customHeight="1" x14ac:dyDescent="0.3">
      <c r="B80" s="351"/>
      <c r="C80" s="349"/>
      <c r="D80" s="348"/>
      <c r="E80" s="3"/>
      <c r="F80" s="3"/>
      <c r="G80" s="3"/>
      <c r="H80" s="246"/>
      <c r="I80" s="51"/>
      <c r="J80" s="20"/>
      <c r="K80" s="274"/>
    </row>
    <row r="81" spans="2:11" ht="15" customHeight="1" x14ac:dyDescent="0.3">
      <c r="B81" s="351">
        <v>1</v>
      </c>
      <c r="C81" s="349" t="s">
        <v>5519</v>
      </c>
      <c r="D81" s="348" t="s">
        <v>5520</v>
      </c>
      <c r="E81" s="3"/>
      <c r="F81" s="3"/>
      <c r="G81" s="3"/>
      <c r="H81" s="246"/>
      <c r="I81" s="51" t="s">
        <v>5498</v>
      </c>
      <c r="J81" s="20">
        <v>45</v>
      </c>
      <c r="K81" s="274">
        <f t="shared" si="1"/>
        <v>45</v>
      </c>
    </row>
    <row r="82" spans="2:11" ht="15" customHeight="1" x14ac:dyDescent="0.3">
      <c r="B82" s="351">
        <v>1</v>
      </c>
      <c r="C82" s="349" t="s">
        <v>5521</v>
      </c>
      <c r="D82" s="348" t="s">
        <v>5522</v>
      </c>
      <c r="E82" s="3"/>
      <c r="F82" s="3"/>
      <c r="G82" s="3"/>
      <c r="H82" s="246"/>
      <c r="I82" s="51" t="s">
        <v>5498</v>
      </c>
      <c r="J82" s="20">
        <v>50</v>
      </c>
      <c r="K82" s="274">
        <f t="shared" si="1"/>
        <v>50</v>
      </c>
    </row>
    <row r="83" spans="2:11" ht="15" customHeight="1" x14ac:dyDescent="0.3">
      <c r="B83" s="351">
        <v>1</v>
      </c>
      <c r="C83" s="349" t="s">
        <v>5523</v>
      </c>
      <c r="D83" s="348" t="s">
        <v>5524</v>
      </c>
      <c r="E83" s="3"/>
      <c r="F83" s="3"/>
      <c r="G83" s="3"/>
      <c r="H83" s="246"/>
      <c r="I83" s="51" t="s">
        <v>5498</v>
      </c>
      <c r="J83" s="20">
        <v>50</v>
      </c>
      <c r="K83" s="274">
        <f t="shared" si="1"/>
        <v>50</v>
      </c>
    </row>
    <row r="84" spans="2:11" ht="15" customHeight="1" thickBot="1" x14ac:dyDescent="0.35">
      <c r="B84" s="351"/>
      <c r="C84" s="349"/>
      <c r="D84" s="348"/>
      <c r="E84" s="3"/>
      <c r="F84" s="3"/>
      <c r="G84" s="3"/>
      <c r="H84" s="246"/>
      <c r="I84" s="51"/>
      <c r="J84" s="20"/>
      <c r="K84" s="274"/>
    </row>
    <row r="85" spans="2:11" ht="17" thickBot="1" x14ac:dyDescent="0.55000000000000004">
      <c r="B85" s="277" t="s">
        <v>5525</v>
      </c>
      <c r="C85" s="52"/>
      <c r="D85" s="210" t="s">
        <v>5526</v>
      </c>
      <c r="K85" s="274"/>
    </row>
    <row r="86" spans="2:11" ht="15" customHeight="1" x14ac:dyDescent="0.3">
      <c r="B86" s="351">
        <v>1</v>
      </c>
      <c r="C86" s="349" t="s">
        <v>5527</v>
      </c>
      <c r="D86" s="348" t="s">
        <v>5528</v>
      </c>
      <c r="E86" s="3"/>
      <c r="F86" s="3"/>
      <c r="G86" s="3"/>
      <c r="H86" s="3"/>
      <c r="I86" s="51" t="s">
        <v>5526</v>
      </c>
      <c r="J86" s="20">
        <v>15.56</v>
      </c>
      <c r="K86" s="274">
        <f t="shared" si="1"/>
        <v>15.56</v>
      </c>
    </row>
    <row r="87" spans="2:11" ht="15" customHeight="1" x14ac:dyDescent="0.3">
      <c r="B87" s="351">
        <v>1</v>
      </c>
      <c r="C87" s="349" t="s">
        <v>5529</v>
      </c>
      <c r="D87" s="348" t="s">
        <v>5530</v>
      </c>
      <c r="E87" s="3"/>
      <c r="F87" s="3"/>
      <c r="G87" s="3"/>
      <c r="H87" s="3"/>
      <c r="I87" s="51" t="s">
        <v>5526</v>
      </c>
      <c r="J87" s="20">
        <v>17.5</v>
      </c>
      <c r="K87" s="274">
        <f t="shared" si="1"/>
        <v>17.5</v>
      </c>
    </row>
    <row r="88" spans="2:11" ht="15" customHeight="1" x14ac:dyDescent="0.3">
      <c r="B88" s="351">
        <v>1</v>
      </c>
      <c r="C88" s="349" t="s">
        <v>5531</v>
      </c>
      <c r="D88" s="348" t="s">
        <v>5532</v>
      </c>
      <c r="E88" s="3"/>
      <c r="F88" s="3"/>
      <c r="G88" s="3"/>
      <c r="H88" s="3"/>
      <c r="I88" s="51" t="s">
        <v>5526</v>
      </c>
      <c r="J88" s="20">
        <v>25</v>
      </c>
      <c r="K88" s="274">
        <f t="shared" si="1"/>
        <v>25</v>
      </c>
    </row>
    <row r="89" spans="2:11" ht="15" customHeight="1" x14ac:dyDescent="0.3">
      <c r="B89" s="351">
        <v>1</v>
      </c>
      <c r="C89" s="349" t="s">
        <v>5533</v>
      </c>
      <c r="D89" s="348" t="s">
        <v>5534</v>
      </c>
      <c r="E89" s="3"/>
      <c r="F89" s="3"/>
      <c r="G89" s="3"/>
      <c r="H89" s="3"/>
      <c r="I89" s="51" t="s">
        <v>5526</v>
      </c>
      <c r="J89" s="20">
        <v>45</v>
      </c>
      <c r="K89" s="274">
        <f t="shared" si="1"/>
        <v>45</v>
      </c>
    </row>
    <row r="90" spans="2:11" ht="15" customHeight="1" x14ac:dyDescent="0.3">
      <c r="B90" s="351">
        <v>1</v>
      </c>
      <c r="C90" s="349" t="s">
        <v>5535</v>
      </c>
      <c r="D90" s="348" t="s">
        <v>5536</v>
      </c>
      <c r="E90" s="3"/>
      <c r="F90" s="3"/>
      <c r="G90" s="3"/>
      <c r="H90" s="3"/>
      <c r="I90" s="51" t="s">
        <v>5526</v>
      </c>
      <c r="J90" s="20">
        <v>50</v>
      </c>
      <c r="K90" s="274">
        <f t="shared" si="1"/>
        <v>50</v>
      </c>
    </row>
    <row r="91" spans="2:11" ht="15" customHeight="1" x14ac:dyDescent="0.3">
      <c r="B91" s="351">
        <v>1</v>
      </c>
      <c r="C91" s="349" t="s">
        <v>5537</v>
      </c>
      <c r="D91" s="348" t="s">
        <v>5538</v>
      </c>
      <c r="E91" s="3"/>
      <c r="F91" s="3"/>
      <c r="G91" s="3"/>
      <c r="H91" s="3"/>
      <c r="I91" s="51" t="s">
        <v>5526</v>
      </c>
      <c r="J91" s="20">
        <v>75</v>
      </c>
      <c r="K91" s="274">
        <f t="shared" si="1"/>
        <v>75</v>
      </c>
    </row>
    <row r="92" spans="2:11" ht="15" customHeight="1" x14ac:dyDescent="0.3">
      <c r="B92" s="351">
        <v>1</v>
      </c>
      <c r="C92" s="349" t="s">
        <v>5539</v>
      </c>
      <c r="D92" s="348" t="s">
        <v>5540</v>
      </c>
      <c r="E92" s="3"/>
      <c r="F92" s="3"/>
      <c r="G92" s="3"/>
      <c r="H92" s="3"/>
      <c r="I92" s="51" t="s">
        <v>5526</v>
      </c>
      <c r="J92" s="20">
        <v>125</v>
      </c>
      <c r="K92" s="274">
        <f t="shared" si="1"/>
        <v>125</v>
      </c>
    </row>
    <row r="93" spans="2:11" ht="13.5" thickBot="1" x14ac:dyDescent="0.35">
      <c r="B93" s="351"/>
      <c r="K93" s="274"/>
    </row>
    <row r="94" spans="2:11" ht="17" thickBot="1" x14ac:dyDescent="0.55000000000000004">
      <c r="B94" s="277" t="s">
        <v>5541</v>
      </c>
      <c r="C94" s="52"/>
      <c r="K94" s="274"/>
    </row>
    <row r="95" spans="2:11" ht="15" customHeight="1" x14ac:dyDescent="0.3">
      <c r="B95" s="351">
        <v>1</v>
      </c>
      <c r="C95" s="349" t="s">
        <v>5542</v>
      </c>
      <c r="D95" s="348" t="s">
        <v>5543</v>
      </c>
      <c r="E95" s="3"/>
      <c r="F95" s="3"/>
      <c r="G95" s="3"/>
      <c r="H95" s="246"/>
      <c r="I95" s="51" t="s">
        <v>5498</v>
      </c>
      <c r="J95" s="20">
        <v>1695</v>
      </c>
      <c r="K95" s="274">
        <f t="shared" si="1"/>
        <v>1695</v>
      </c>
    </row>
    <row r="96" spans="2:11" ht="15" customHeight="1" x14ac:dyDescent="0.3">
      <c r="B96" s="351">
        <v>1</v>
      </c>
      <c r="C96" s="349" t="s">
        <v>5544</v>
      </c>
      <c r="D96" s="348" t="s">
        <v>5545</v>
      </c>
      <c r="E96" s="3"/>
      <c r="F96" s="3"/>
      <c r="G96" s="3"/>
      <c r="H96" s="246"/>
      <c r="I96" s="51" t="s">
        <v>5498</v>
      </c>
      <c r="J96" s="20">
        <v>1295</v>
      </c>
      <c r="K96" s="274">
        <f t="shared" si="1"/>
        <v>1295</v>
      </c>
    </row>
    <row r="97" spans="2:11" ht="15" customHeight="1" x14ac:dyDescent="0.3">
      <c r="B97" s="351">
        <v>1</v>
      </c>
      <c r="C97" s="349" t="s">
        <v>5546</v>
      </c>
      <c r="D97" s="348" t="s">
        <v>5547</v>
      </c>
      <c r="E97" s="3"/>
      <c r="F97" s="3"/>
      <c r="G97" s="3"/>
      <c r="H97" s="246"/>
      <c r="I97" s="51" t="s">
        <v>5498</v>
      </c>
      <c r="J97" s="20">
        <v>175</v>
      </c>
      <c r="K97" s="274">
        <f t="shared" si="1"/>
        <v>175</v>
      </c>
    </row>
    <row r="98" spans="2:11" ht="15" customHeight="1" x14ac:dyDescent="0.3">
      <c r="B98" s="351">
        <v>1</v>
      </c>
      <c r="C98" s="349" t="s">
        <v>5548</v>
      </c>
      <c r="D98" s="348" t="s">
        <v>5549</v>
      </c>
      <c r="E98" s="3"/>
      <c r="F98" s="3"/>
      <c r="G98" s="3"/>
      <c r="H98" s="246"/>
      <c r="I98" s="51" t="s">
        <v>5498</v>
      </c>
      <c r="J98" s="20">
        <v>225</v>
      </c>
      <c r="K98" s="274">
        <f t="shared" si="1"/>
        <v>225</v>
      </c>
    </row>
    <row r="99" spans="2:11" ht="15" customHeight="1" x14ac:dyDescent="0.3">
      <c r="B99" s="351">
        <v>1</v>
      </c>
      <c r="C99" s="349" t="s">
        <v>5550</v>
      </c>
      <c r="D99" s="348" t="s">
        <v>5551</v>
      </c>
      <c r="E99" s="3"/>
      <c r="F99" s="3"/>
      <c r="G99" s="3"/>
      <c r="H99" s="246"/>
      <c r="I99" s="51" t="s">
        <v>5498</v>
      </c>
      <c r="J99" s="20">
        <v>495</v>
      </c>
      <c r="K99" s="274">
        <f t="shared" si="1"/>
        <v>495</v>
      </c>
    </row>
    <row r="100" spans="2:11" ht="5.25" customHeight="1" x14ac:dyDescent="0.3">
      <c r="B100" s="351"/>
      <c r="C100" s="349"/>
      <c r="D100" s="348"/>
      <c r="E100" s="3"/>
      <c r="F100" s="3"/>
      <c r="G100" s="3"/>
      <c r="H100" s="246"/>
      <c r="I100" s="51"/>
      <c r="J100" s="20"/>
      <c r="K100" s="274"/>
    </row>
    <row r="101" spans="2:11" ht="15" customHeight="1" x14ac:dyDescent="0.3">
      <c r="B101" s="351">
        <v>1</v>
      </c>
      <c r="C101" s="349" t="s">
        <v>5552</v>
      </c>
      <c r="D101" s="348" t="s">
        <v>5553</v>
      </c>
      <c r="E101" s="3"/>
      <c r="F101" s="3"/>
      <c r="G101" s="3"/>
      <c r="H101" s="246"/>
      <c r="I101" s="51" t="s">
        <v>5498</v>
      </c>
      <c r="J101" s="20">
        <v>795</v>
      </c>
      <c r="K101" s="274">
        <f t="shared" si="1"/>
        <v>795</v>
      </c>
    </row>
    <row r="102" spans="2:11" ht="15" customHeight="1" thickBot="1" x14ac:dyDescent="0.35">
      <c r="B102" s="351">
        <v>1</v>
      </c>
      <c r="C102" s="349" t="s">
        <v>5554</v>
      </c>
      <c r="D102" s="348" t="s">
        <v>5555</v>
      </c>
      <c r="E102" s="3"/>
      <c r="F102" s="3"/>
      <c r="G102" s="3"/>
      <c r="H102" s="246"/>
      <c r="I102" s="51" t="s">
        <v>5498</v>
      </c>
      <c r="J102" s="20">
        <v>695</v>
      </c>
      <c r="K102" s="274">
        <f t="shared" si="1"/>
        <v>695</v>
      </c>
    </row>
    <row r="103" spans="2:11" ht="17" thickBot="1" x14ac:dyDescent="0.55000000000000004">
      <c r="B103" s="277" t="s">
        <v>5556</v>
      </c>
      <c r="C103" s="52"/>
      <c r="K103" s="274"/>
    </row>
    <row r="104" spans="2:11" ht="15" customHeight="1" x14ac:dyDescent="0.3">
      <c r="B104" s="351">
        <v>1</v>
      </c>
      <c r="C104" s="349" t="s">
        <v>5557</v>
      </c>
      <c r="D104" s="348" t="s">
        <v>5558</v>
      </c>
      <c r="E104" s="3"/>
      <c r="F104" s="3"/>
      <c r="G104" s="3"/>
      <c r="H104" s="246"/>
      <c r="I104" s="51" t="s">
        <v>5498</v>
      </c>
      <c r="J104" s="20">
        <v>1250</v>
      </c>
      <c r="K104" s="274">
        <f t="shared" si="1"/>
        <v>1250</v>
      </c>
    </row>
    <row r="105" spans="2:11" ht="15" customHeight="1" x14ac:dyDescent="0.3">
      <c r="B105" s="351">
        <v>1</v>
      </c>
      <c r="C105" s="349" t="s">
        <v>5559</v>
      </c>
      <c r="D105" s="348" t="s">
        <v>5560</v>
      </c>
      <c r="E105" s="3"/>
      <c r="F105" s="3"/>
      <c r="G105" s="3"/>
      <c r="H105" s="246"/>
      <c r="I105" s="51" t="s">
        <v>5498</v>
      </c>
      <c r="J105" s="20">
        <v>1150</v>
      </c>
      <c r="K105" s="274">
        <f t="shared" si="1"/>
        <v>1150</v>
      </c>
    </row>
    <row r="106" spans="2:11" ht="15" customHeight="1" x14ac:dyDescent="0.3">
      <c r="B106" s="351">
        <v>1</v>
      </c>
      <c r="C106" s="349" t="s">
        <v>5561</v>
      </c>
      <c r="D106" s="348" t="s">
        <v>5562</v>
      </c>
      <c r="E106" s="3"/>
      <c r="F106" s="3"/>
      <c r="G106" s="3"/>
      <c r="H106" s="246"/>
      <c r="I106" s="51" t="s">
        <v>5498</v>
      </c>
      <c r="J106" s="20">
        <v>275</v>
      </c>
      <c r="K106" s="274">
        <f t="shared" si="1"/>
        <v>275</v>
      </c>
    </row>
    <row r="107" spans="2:11" ht="15" customHeight="1" x14ac:dyDescent="0.3">
      <c r="B107" s="351">
        <v>1</v>
      </c>
      <c r="C107" s="349" t="s">
        <v>5563</v>
      </c>
      <c r="D107" s="348" t="s">
        <v>5564</v>
      </c>
      <c r="E107" s="3"/>
      <c r="F107" s="3"/>
      <c r="G107" s="3"/>
      <c r="H107" s="246"/>
      <c r="I107" s="51" t="s">
        <v>5498</v>
      </c>
      <c r="J107" s="20">
        <v>275</v>
      </c>
      <c r="K107" s="274">
        <f t="shared" si="1"/>
        <v>275</v>
      </c>
    </row>
    <row r="108" spans="2:11" ht="15" customHeight="1" x14ac:dyDescent="0.3">
      <c r="B108" s="351">
        <v>1</v>
      </c>
      <c r="C108" s="349" t="s">
        <v>5565</v>
      </c>
      <c r="D108" s="348" t="s">
        <v>5566</v>
      </c>
      <c r="E108" s="3"/>
      <c r="F108" s="3"/>
      <c r="G108" s="3"/>
      <c r="H108" s="246"/>
      <c r="I108" s="51" t="s">
        <v>5498</v>
      </c>
      <c r="J108" s="20">
        <v>175</v>
      </c>
      <c r="K108" s="274">
        <f t="shared" si="1"/>
        <v>175</v>
      </c>
    </row>
    <row r="109" spans="2:11" ht="5.25" customHeight="1" x14ac:dyDescent="0.3">
      <c r="B109" s="351"/>
      <c r="C109" s="349"/>
      <c r="D109" s="348"/>
      <c r="E109" s="3"/>
      <c r="F109" s="3"/>
      <c r="G109" s="3"/>
      <c r="H109" s="246"/>
      <c r="I109" s="51"/>
      <c r="J109" s="20"/>
      <c r="K109" s="274"/>
    </row>
    <row r="110" spans="2:11" ht="15" customHeight="1" x14ac:dyDescent="0.3">
      <c r="B110" s="351">
        <v>1</v>
      </c>
      <c r="C110" s="349" t="s">
        <v>5567</v>
      </c>
      <c r="D110" s="348" t="s">
        <v>5568</v>
      </c>
      <c r="E110" s="3"/>
      <c r="F110" s="3"/>
      <c r="G110" s="3"/>
      <c r="H110" s="246"/>
      <c r="I110" s="51" t="s">
        <v>5498</v>
      </c>
      <c r="J110" s="20">
        <v>695</v>
      </c>
      <c r="K110" s="274">
        <f t="shared" si="1"/>
        <v>695</v>
      </c>
    </row>
    <row r="111" spans="2:11" ht="15" customHeight="1" thickBot="1" x14ac:dyDescent="0.35">
      <c r="B111" s="351">
        <v>1</v>
      </c>
      <c r="C111" s="349" t="s">
        <v>5569</v>
      </c>
      <c r="D111" s="348" t="s">
        <v>5570</v>
      </c>
      <c r="E111" s="3"/>
      <c r="F111" s="3"/>
      <c r="G111" s="3"/>
      <c r="H111" s="246"/>
      <c r="I111" s="51" t="s">
        <v>5498</v>
      </c>
      <c r="J111" s="20">
        <v>595</v>
      </c>
      <c r="K111" s="274">
        <f t="shared" si="1"/>
        <v>595</v>
      </c>
    </row>
    <row r="112" spans="2:11" ht="17" thickBot="1" x14ac:dyDescent="0.55000000000000004">
      <c r="B112" s="277" t="s">
        <v>5571</v>
      </c>
      <c r="C112" s="52"/>
      <c r="K112" s="274"/>
    </row>
    <row r="113" spans="2:11" ht="15" customHeight="1" x14ac:dyDescent="0.3">
      <c r="B113" s="351">
        <v>1</v>
      </c>
      <c r="C113" s="349" t="s">
        <v>5572</v>
      </c>
      <c r="D113" s="348" t="s">
        <v>5573</v>
      </c>
      <c r="E113" s="3"/>
      <c r="F113" s="3"/>
      <c r="G113" s="3"/>
      <c r="H113" s="246"/>
      <c r="I113" s="51" t="s">
        <v>5574</v>
      </c>
      <c r="J113" s="20">
        <v>795</v>
      </c>
      <c r="K113" s="274">
        <f t="shared" si="1"/>
        <v>795</v>
      </c>
    </row>
    <row r="114" spans="2:11" ht="15" customHeight="1" x14ac:dyDescent="0.3">
      <c r="B114" s="351">
        <v>1</v>
      </c>
      <c r="C114" s="349" t="s">
        <v>5575</v>
      </c>
      <c r="D114" s="348" t="s">
        <v>5576</v>
      </c>
      <c r="E114" s="3"/>
      <c r="F114" s="3"/>
      <c r="G114" s="3"/>
      <c r="H114" s="246"/>
      <c r="I114" s="51" t="s">
        <v>5574</v>
      </c>
      <c r="J114" s="20">
        <v>795</v>
      </c>
      <c r="K114" s="274">
        <f t="shared" si="1"/>
        <v>795</v>
      </c>
    </row>
    <row r="115" spans="2:11" ht="15" customHeight="1" x14ac:dyDescent="0.3">
      <c r="B115" s="351">
        <v>1</v>
      </c>
      <c r="C115" s="349" t="s">
        <v>5577</v>
      </c>
      <c r="D115" s="348" t="s">
        <v>5578</v>
      </c>
      <c r="E115" s="3"/>
      <c r="F115" s="3"/>
      <c r="G115" s="3"/>
      <c r="H115" s="246"/>
      <c r="I115" s="51" t="s">
        <v>5574</v>
      </c>
      <c r="J115" s="20">
        <v>900</v>
      </c>
      <c r="K115" s="274">
        <f t="shared" si="1"/>
        <v>900</v>
      </c>
    </row>
    <row r="116" spans="2:11" ht="15" customHeight="1" x14ac:dyDescent="0.3">
      <c r="B116" s="351">
        <v>1</v>
      </c>
      <c r="C116" s="349" t="s">
        <v>5579</v>
      </c>
      <c r="D116" s="348" t="s">
        <v>5580</v>
      </c>
      <c r="E116" s="3"/>
      <c r="F116" s="3"/>
      <c r="G116" s="3"/>
      <c r="H116" s="246"/>
      <c r="I116" s="51" t="s">
        <v>5574</v>
      </c>
      <c r="J116" s="20">
        <v>1200</v>
      </c>
      <c r="K116" s="274">
        <f t="shared" si="1"/>
        <v>1200</v>
      </c>
    </row>
    <row r="117" spans="2:11" ht="15" customHeight="1" x14ac:dyDescent="0.3">
      <c r="B117" s="351">
        <v>1</v>
      </c>
      <c r="C117" s="349" t="s">
        <v>5581</v>
      </c>
      <c r="D117" s="348" t="s">
        <v>5582</v>
      </c>
      <c r="E117" s="3"/>
      <c r="F117" s="3"/>
      <c r="G117" s="3"/>
      <c r="H117" s="246"/>
      <c r="I117" s="51" t="s">
        <v>5583</v>
      </c>
      <c r="J117" s="20">
        <v>299</v>
      </c>
      <c r="K117" s="274">
        <f t="shared" si="1"/>
        <v>299</v>
      </c>
    </row>
    <row r="118" spans="2:11" ht="15" customHeight="1" x14ac:dyDescent="0.3">
      <c r="B118" s="351">
        <v>1</v>
      </c>
      <c r="C118" s="349" t="s">
        <v>5584</v>
      </c>
      <c r="D118" s="348" t="s">
        <v>5585</v>
      </c>
      <c r="E118" s="3"/>
      <c r="F118" s="3" t="s">
        <v>72</v>
      </c>
      <c r="G118" s="3"/>
      <c r="H118" s="246"/>
      <c r="I118" s="51" t="s">
        <v>5574</v>
      </c>
      <c r="J118" s="20">
        <v>795</v>
      </c>
      <c r="K118" s="274">
        <f t="shared" si="1"/>
        <v>795</v>
      </c>
    </row>
    <row r="119" spans="2:11" ht="9.75" customHeight="1" x14ac:dyDescent="0.3">
      <c r="B119" s="351"/>
      <c r="C119" s="349"/>
      <c r="D119" s="348"/>
      <c r="E119" s="3"/>
      <c r="F119" s="3"/>
      <c r="G119" s="3"/>
      <c r="H119" s="246"/>
      <c r="I119" s="51"/>
      <c r="J119" s="20"/>
      <c r="K119" s="274"/>
    </row>
    <row r="120" spans="2:11" ht="15" customHeight="1" x14ac:dyDescent="0.3">
      <c r="B120" s="351">
        <v>1</v>
      </c>
      <c r="C120" s="349" t="s">
        <v>5586</v>
      </c>
      <c r="D120" s="348" t="s">
        <v>5587</v>
      </c>
      <c r="E120" s="3"/>
      <c r="F120" s="3"/>
      <c r="G120" s="3"/>
      <c r="H120" s="246"/>
      <c r="I120" s="51" t="s">
        <v>5574</v>
      </c>
      <c r="J120" s="20">
        <v>250</v>
      </c>
      <c r="K120" s="274">
        <f t="shared" si="1"/>
        <v>250</v>
      </c>
    </row>
    <row r="121" spans="2:11" ht="15" customHeight="1" thickBot="1" x14ac:dyDescent="0.35">
      <c r="B121" s="351"/>
      <c r="C121" s="348"/>
      <c r="D121" s="348"/>
      <c r="E121" s="3"/>
      <c r="F121" s="3"/>
      <c r="G121" s="3"/>
      <c r="H121" s="246"/>
      <c r="I121" s="3"/>
      <c r="J121" s="8"/>
      <c r="K121" s="274"/>
    </row>
    <row r="122" spans="2:11" ht="17" thickBot="1" x14ac:dyDescent="0.55000000000000004">
      <c r="B122" s="277" t="s">
        <v>5588</v>
      </c>
      <c r="C122" s="52"/>
      <c r="K122" s="274"/>
    </row>
    <row r="123" spans="2:11" ht="15" customHeight="1" x14ac:dyDescent="0.3">
      <c r="B123" s="351">
        <v>1</v>
      </c>
      <c r="C123" s="349" t="s">
        <v>5589</v>
      </c>
      <c r="D123" s="348" t="s">
        <v>5590</v>
      </c>
      <c r="E123" s="3"/>
      <c r="F123" s="3"/>
      <c r="G123" s="3"/>
      <c r="H123" s="246"/>
      <c r="I123" s="51" t="s">
        <v>5498</v>
      </c>
      <c r="J123" s="20">
        <v>250</v>
      </c>
      <c r="K123" s="274">
        <f t="shared" si="1"/>
        <v>250</v>
      </c>
    </row>
    <row r="124" spans="2:11" ht="15" customHeight="1" x14ac:dyDescent="0.3">
      <c r="B124" s="351">
        <v>1</v>
      </c>
      <c r="C124" s="349" t="s">
        <v>5591</v>
      </c>
      <c r="D124" s="348" t="s">
        <v>5590</v>
      </c>
      <c r="E124" s="3"/>
      <c r="F124" s="3" t="s">
        <v>5592</v>
      </c>
      <c r="G124" s="3"/>
      <c r="H124" s="246"/>
      <c r="I124" s="51" t="s">
        <v>5498</v>
      </c>
      <c r="J124" s="20">
        <v>375</v>
      </c>
      <c r="K124" s="274">
        <f t="shared" si="1"/>
        <v>375</v>
      </c>
    </row>
    <row r="125" spans="2:11" ht="15" customHeight="1" x14ac:dyDescent="0.3">
      <c r="B125" s="351">
        <v>1</v>
      </c>
      <c r="C125" s="349" t="s">
        <v>5593</v>
      </c>
      <c r="D125" s="348" t="s">
        <v>5594</v>
      </c>
      <c r="E125" s="3"/>
      <c r="F125" s="3"/>
      <c r="G125" s="3"/>
      <c r="H125" s="246"/>
      <c r="I125" s="51" t="s">
        <v>5498</v>
      </c>
      <c r="J125" s="20">
        <v>195</v>
      </c>
      <c r="K125" s="274">
        <f t="shared" si="1"/>
        <v>195</v>
      </c>
    </row>
    <row r="126" spans="2:11" ht="15" customHeight="1" x14ac:dyDescent="0.3">
      <c r="B126" s="351"/>
      <c r="C126" s="349"/>
      <c r="D126" s="348"/>
      <c r="E126" s="3"/>
      <c r="F126" s="3"/>
      <c r="G126" s="3"/>
      <c r="H126" s="246"/>
      <c r="I126" s="51"/>
      <c r="J126" s="20"/>
      <c r="K126" s="274"/>
    </row>
    <row r="127" spans="2:11" ht="15" customHeight="1" x14ac:dyDescent="0.3">
      <c r="B127" s="351">
        <v>1</v>
      </c>
      <c r="C127" s="349" t="s">
        <v>5595</v>
      </c>
      <c r="D127" s="348" t="s">
        <v>5596</v>
      </c>
      <c r="E127" s="3"/>
      <c r="F127" s="3"/>
      <c r="G127" s="3"/>
      <c r="H127" s="246"/>
      <c r="I127" s="51" t="s">
        <v>5498</v>
      </c>
      <c r="J127" s="20">
        <v>275</v>
      </c>
      <c r="K127" s="274">
        <f t="shared" si="1"/>
        <v>275</v>
      </c>
    </row>
    <row r="128" spans="2:11" ht="15" customHeight="1" x14ac:dyDescent="0.3">
      <c r="B128" s="351">
        <v>1</v>
      </c>
      <c r="C128" s="349" t="s">
        <v>5597</v>
      </c>
      <c r="D128" s="348" t="s">
        <v>5596</v>
      </c>
      <c r="E128" s="3"/>
      <c r="F128" s="3" t="s">
        <v>5598</v>
      </c>
      <c r="G128" s="3" t="s">
        <v>5599</v>
      </c>
      <c r="H128" s="246"/>
      <c r="I128" s="51" t="s">
        <v>5498</v>
      </c>
      <c r="J128" s="20">
        <v>295</v>
      </c>
      <c r="K128" s="274">
        <f t="shared" si="1"/>
        <v>295</v>
      </c>
    </row>
    <row r="129" spans="2:11" ht="15" customHeight="1" x14ac:dyDescent="0.3">
      <c r="B129" s="351">
        <v>1</v>
      </c>
      <c r="C129" s="349" t="s">
        <v>5600</v>
      </c>
      <c r="D129" s="348" t="s">
        <v>5596</v>
      </c>
      <c r="E129" s="3"/>
      <c r="F129" s="3" t="s">
        <v>5598</v>
      </c>
      <c r="G129" s="3" t="s">
        <v>5601</v>
      </c>
      <c r="H129" s="246"/>
      <c r="I129" s="51" t="s">
        <v>5498</v>
      </c>
      <c r="J129" s="20">
        <v>350</v>
      </c>
      <c r="K129" s="274">
        <f t="shared" si="1"/>
        <v>350</v>
      </c>
    </row>
    <row r="130" spans="2:11" ht="15" customHeight="1" x14ac:dyDescent="0.3">
      <c r="B130" s="351">
        <v>1</v>
      </c>
      <c r="C130" s="349" t="s">
        <v>5602</v>
      </c>
      <c r="D130" s="348" t="s">
        <v>5596</v>
      </c>
      <c r="E130" s="3"/>
      <c r="F130" s="3" t="s">
        <v>5603</v>
      </c>
      <c r="G130" s="3"/>
      <c r="H130" s="246"/>
      <c r="I130" s="51" t="s">
        <v>5498</v>
      </c>
      <c r="J130" s="20">
        <v>195</v>
      </c>
      <c r="K130" s="274">
        <f t="shared" si="1"/>
        <v>195</v>
      </c>
    </row>
    <row r="131" spans="2:11" ht="15" customHeight="1" x14ac:dyDescent="0.3">
      <c r="B131" s="351"/>
      <c r="C131" s="349"/>
      <c r="D131" s="348"/>
      <c r="E131" s="3"/>
      <c r="F131" s="3"/>
      <c r="G131" s="3"/>
      <c r="H131" s="246"/>
      <c r="I131" s="51"/>
      <c r="J131" s="20"/>
      <c r="K131" s="274"/>
    </row>
    <row r="132" spans="2:11" ht="15" customHeight="1" x14ac:dyDescent="0.3">
      <c r="B132" s="351">
        <v>1</v>
      </c>
      <c r="C132" s="349" t="s">
        <v>5604</v>
      </c>
      <c r="D132" s="348" t="s">
        <v>5605</v>
      </c>
      <c r="E132" s="3"/>
      <c r="F132" s="3"/>
      <c r="G132" s="3"/>
      <c r="H132" s="246"/>
      <c r="I132" s="51" t="s">
        <v>5498</v>
      </c>
      <c r="J132" s="20">
        <v>450</v>
      </c>
      <c r="K132" s="274">
        <f t="shared" si="1"/>
        <v>450</v>
      </c>
    </row>
    <row r="133" spans="2:11" ht="15" customHeight="1" x14ac:dyDescent="0.3">
      <c r="B133" s="351">
        <v>1</v>
      </c>
      <c r="C133" s="349" t="s">
        <v>5606</v>
      </c>
      <c r="D133" s="348" t="s">
        <v>5605</v>
      </c>
      <c r="E133" s="3"/>
      <c r="F133" s="3" t="s">
        <v>5607</v>
      </c>
      <c r="G133" s="3"/>
      <c r="H133" s="246"/>
      <c r="I133" s="51" t="s">
        <v>5498</v>
      </c>
      <c r="J133" s="20">
        <v>495</v>
      </c>
      <c r="K133" s="274">
        <f t="shared" si="1"/>
        <v>495</v>
      </c>
    </row>
    <row r="134" spans="2:11" ht="15" customHeight="1" x14ac:dyDescent="0.3">
      <c r="B134" s="351">
        <v>1</v>
      </c>
      <c r="C134" s="349" t="s">
        <v>5608</v>
      </c>
      <c r="D134" s="348" t="s">
        <v>5609</v>
      </c>
      <c r="E134" s="3"/>
      <c r="F134" s="3"/>
      <c r="G134" s="3"/>
      <c r="H134" s="246"/>
      <c r="I134" s="51" t="s">
        <v>5498</v>
      </c>
      <c r="J134" s="20">
        <v>1395</v>
      </c>
      <c r="K134" s="274">
        <f t="shared" si="1"/>
        <v>1395</v>
      </c>
    </row>
    <row r="135" spans="2:11" ht="15" customHeight="1" thickBot="1" x14ac:dyDescent="0.35">
      <c r="B135" s="351">
        <v>1</v>
      </c>
      <c r="C135" s="349" t="s">
        <v>5610</v>
      </c>
      <c r="D135" s="348" t="s">
        <v>5611</v>
      </c>
      <c r="E135" s="3"/>
      <c r="F135" s="3"/>
      <c r="G135" s="3"/>
      <c r="H135" s="246"/>
      <c r="I135" s="51" t="s">
        <v>5498</v>
      </c>
      <c r="J135" s="20">
        <v>450</v>
      </c>
      <c r="K135" s="274">
        <f t="shared" si="1"/>
        <v>450</v>
      </c>
    </row>
    <row r="136" spans="2:11" ht="17" thickBot="1" x14ac:dyDescent="0.55000000000000004">
      <c r="B136" s="277" t="s">
        <v>5612</v>
      </c>
      <c r="C136" s="52"/>
      <c r="K136" s="274"/>
    </row>
    <row r="137" spans="2:11" ht="15" customHeight="1" x14ac:dyDescent="0.3">
      <c r="B137" s="351">
        <v>1</v>
      </c>
      <c r="C137" s="349" t="s">
        <v>5613</v>
      </c>
      <c r="D137" s="348" t="s">
        <v>5614</v>
      </c>
      <c r="E137" s="3"/>
      <c r="F137" s="3"/>
      <c r="G137" s="3"/>
      <c r="H137" s="246"/>
      <c r="I137" s="51" t="s">
        <v>5498</v>
      </c>
      <c r="J137" s="20">
        <v>795</v>
      </c>
      <c r="K137" s="274">
        <f t="shared" si="1"/>
        <v>795</v>
      </c>
    </row>
    <row r="138" spans="2:11" ht="15" customHeight="1" x14ac:dyDescent="0.3">
      <c r="B138" s="351">
        <v>1</v>
      </c>
      <c r="C138" s="349" t="s">
        <v>5615</v>
      </c>
      <c r="D138" s="348" t="s">
        <v>5616</v>
      </c>
      <c r="E138" s="3"/>
      <c r="F138" s="3"/>
      <c r="G138" s="3"/>
      <c r="H138" s="246"/>
      <c r="I138" s="51" t="s">
        <v>5498</v>
      </c>
      <c r="J138" s="20">
        <v>2225</v>
      </c>
      <c r="K138" s="274">
        <f t="shared" ref="K138:K201" si="2">B138*J138</f>
        <v>2225</v>
      </c>
    </row>
    <row r="139" spans="2:11" ht="4.5" customHeight="1" x14ac:dyDescent="0.3">
      <c r="B139" s="351"/>
      <c r="C139" s="349"/>
      <c r="D139" s="348"/>
      <c r="E139" s="3"/>
      <c r="F139" s="3"/>
      <c r="G139" s="3"/>
      <c r="H139" s="246"/>
      <c r="I139" s="51"/>
      <c r="J139" s="20"/>
      <c r="K139" s="274"/>
    </row>
    <row r="140" spans="2:11" ht="15" customHeight="1" x14ac:dyDescent="0.3">
      <c r="B140" s="351">
        <v>1</v>
      </c>
      <c r="C140" s="349" t="s">
        <v>5617</v>
      </c>
      <c r="D140" s="348" t="s">
        <v>5618</v>
      </c>
      <c r="E140" s="3"/>
      <c r="F140" s="3"/>
      <c r="G140" s="3"/>
      <c r="H140" s="246"/>
      <c r="I140" s="51" t="s">
        <v>5498</v>
      </c>
      <c r="J140" s="20">
        <v>1495</v>
      </c>
      <c r="K140" s="274">
        <f t="shared" si="2"/>
        <v>1495</v>
      </c>
    </row>
    <row r="141" spans="2:11" ht="15" customHeight="1" x14ac:dyDescent="0.3">
      <c r="B141" s="351">
        <v>1</v>
      </c>
      <c r="C141" s="349" t="s">
        <v>5619</v>
      </c>
      <c r="D141" s="348" t="s">
        <v>5620</v>
      </c>
      <c r="E141" s="3"/>
      <c r="F141" s="3"/>
      <c r="G141" s="3"/>
      <c r="H141" s="246"/>
      <c r="I141" s="51" t="s">
        <v>5498</v>
      </c>
      <c r="J141" s="20">
        <v>1995</v>
      </c>
      <c r="K141" s="274">
        <f t="shared" si="2"/>
        <v>1995</v>
      </c>
    </row>
    <row r="142" spans="2:11" ht="15" customHeight="1" x14ac:dyDescent="0.3">
      <c r="B142" s="351">
        <v>1</v>
      </c>
      <c r="C142" s="349" t="s">
        <v>5621</v>
      </c>
      <c r="D142" s="348" t="s">
        <v>5622</v>
      </c>
      <c r="E142" s="3"/>
      <c r="F142" s="3"/>
      <c r="G142" s="3"/>
      <c r="H142" s="246"/>
      <c r="I142" s="51" t="s">
        <v>5498</v>
      </c>
      <c r="J142" s="20">
        <v>2995</v>
      </c>
      <c r="K142" s="274">
        <f t="shared" si="2"/>
        <v>2995</v>
      </c>
    </row>
    <row r="143" spans="2:11" ht="15" customHeight="1" thickBot="1" x14ac:dyDescent="0.35">
      <c r="B143" s="351">
        <v>1</v>
      </c>
      <c r="C143" s="349" t="s">
        <v>5623</v>
      </c>
      <c r="D143" s="348" t="s">
        <v>5624</v>
      </c>
      <c r="E143" s="3"/>
      <c r="F143" s="3"/>
      <c r="G143" s="3"/>
      <c r="H143" s="246"/>
      <c r="I143" s="51" t="s">
        <v>5498</v>
      </c>
      <c r="J143" s="20">
        <v>1795</v>
      </c>
      <c r="K143" s="274">
        <f t="shared" si="2"/>
        <v>1795</v>
      </c>
    </row>
    <row r="144" spans="2:11" ht="17" thickBot="1" x14ac:dyDescent="0.55000000000000004">
      <c r="B144" s="277" t="s">
        <v>5625</v>
      </c>
      <c r="C144" s="52"/>
      <c r="K144" s="274"/>
    </row>
    <row r="145" spans="2:11" ht="15" customHeight="1" x14ac:dyDescent="0.3">
      <c r="B145" s="351">
        <v>1</v>
      </c>
      <c r="C145" s="349" t="s">
        <v>5626</v>
      </c>
      <c r="D145" s="348" t="s">
        <v>5627</v>
      </c>
      <c r="E145" s="3"/>
      <c r="F145" s="3"/>
      <c r="G145" s="3"/>
      <c r="H145" s="246"/>
      <c r="I145" s="51" t="s">
        <v>5498</v>
      </c>
      <c r="J145" s="20">
        <v>395</v>
      </c>
      <c r="K145" s="274">
        <f t="shared" si="2"/>
        <v>395</v>
      </c>
    </row>
    <row r="146" spans="2:11" ht="15" customHeight="1" x14ac:dyDescent="0.3">
      <c r="B146" s="351">
        <v>1</v>
      </c>
      <c r="C146" s="349" t="s">
        <v>5628</v>
      </c>
      <c r="D146" s="348" t="s">
        <v>5629</v>
      </c>
      <c r="E146" s="3"/>
      <c r="F146" s="3"/>
      <c r="G146" s="3"/>
      <c r="H146" s="246"/>
      <c r="I146" s="51" t="s">
        <v>5498</v>
      </c>
      <c r="J146" s="20">
        <v>295</v>
      </c>
      <c r="K146" s="274">
        <f t="shared" si="2"/>
        <v>295</v>
      </c>
    </row>
    <row r="147" spans="2:11" ht="15" customHeight="1" thickBot="1" x14ac:dyDescent="0.35">
      <c r="B147" s="351">
        <v>1</v>
      </c>
      <c r="C147" s="349" t="s">
        <v>5630</v>
      </c>
      <c r="D147" s="348" t="s">
        <v>5631</v>
      </c>
      <c r="E147" s="3"/>
      <c r="F147" s="3"/>
      <c r="G147" s="3"/>
      <c r="H147" s="246"/>
      <c r="I147" s="51" t="s">
        <v>5498</v>
      </c>
      <c r="J147" s="20">
        <v>495</v>
      </c>
      <c r="K147" s="274">
        <f t="shared" si="2"/>
        <v>495</v>
      </c>
    </row>
    <row r="148" spans="2:11" ht="17" thickBot="1" x14ac:dyDescent="0.55000000000000004">
      <c r="B148" s="277" t="s">
        <v>5632</v>
      </c>
      <c r="C148" s="52"/>
      <c r="K148" s="274"/>
    </row>
    <row r="149" spans="2:11" ht="15" customHeight="1" x14ac:dyDescent="0.3">
      <c r="B149" s="351">
        <v>1</v>
      </c>
      <c r="C149" s="349" t="s">
        <v>5633</v>
      </c>
      <c r="D149" s="348" t="s">
        <v>5634</v>
      </c>
      <c r="E149" s="3"/>
      <c r="F149" s="3"/>
      <c r="G149" s="3"/>
      <c r="H149" s="246"/>
      <c r="I149" s="51" t="s">
        <v>5498</v>
      </c>
      <c r="J149" s="20">
        <v>150</v>
      </c>
      <c r="K149" s="274">
        <f t="shared" si="2"/>
        <v>150</v>
      </c>
    </row>
    <row r="150" spans="2:11" ht="15" customHeight="1" x14ac:dyDescent="0.3">
      <c r="B150" s="351">
        <v>1</v>
      </c>
      <c r="C150" s="349" t="s">
        <v>5635</v>
      </c>
      <c r="D150" s="348" t="s">
        <v>5636</v>
      </c>
      <c r="E150" s="3"/>
      <c r="F150" s="3"/>
      <c r="G150" s="3"/>
      <c r="H150" s="246"/>
      <c r="I150" s="51" t="s">
        <v>5498</v>
      </c>
      <c r="J150" s="20">
        <v>225</v>
      </c>
      <c r="K150" s="274">
        <f t="shared" si="2"/>
        <v>225</v>
      </c>
    </row>
    <row r="151" spans="2:11" ht="15" customHeight="1" x14ac:dyDescent="0.3">
      <c r="B151" s="351">
        <v>1</v>
      </c>
      <c r="C151" s="349" t="s">
        <v>5637</v>
      </c>
      <c r="D151" s="348" t="s">
        <v>5638</v>
      </c>
      <c r="E151" s="3"/>
      <c r="F151" s="3"/>
      <c r="G151" s="3"/>
      <c r="H151" s="246"/>
      <c r="I151" s="51" t="s">
        <v>5498</v>
      </c>
      <c r="J151" s="20">
        <v>175</v>
      </c>
      <c r="K151" s="274">
        <f t="shared" si="2"/>
        <v>175</v>
      </c>
    </row>
    <row r="152" spans="2:11" ht="15" customHeight="1" x14ac:dyDescent="0.3">
      <c r="B152" s="351">
        <v>1</v>
      </c>
      <c r="C152" s="349" t="s">
        <v>5639</v>
      </c>
      <c r="D152" s="348" t="s">
        <v>5640</v>
      </c>
      <c r="E152" s="3"/>
      <c r="F152" s="3"/>
      <c r="G152" s="3"/>
      <c r="H152" s="246"/>
      <c r="I152" s="51" t="s">
        <v>5498</v>
      </c>
      <c r="J152" s="20">
        <v>12.5</v>
      </c>
      <c r="K152" s="274">
        <f t="shared" si="2"/>
        <v>12.5</v>
      </c>
    </row>
    <row r="153" spans="2:11" ht="15" customHeight="1" thickBot="1" x14ac:dyDescent="0.35">
      <c r="B153" s="351">
        <v>1</v>
      </c>
      <c r="C153" s="349" t="s">
        <v>5641</v>
      </c>
      <c r="D153" s="348" t="s">
        <v>5642</v>
      </c>
      <c r="E153" s="3"/>
      <c r="F153" s="3"/>
      <c r="G153" s="3"/>
      <c r="H153" s="246"/>
      <c r="I153" s="51" t="s">
        <v>5498</v>
      </c>
      <c r="J153" s="20">
        <v>75</v>
      </c>
      <c r="K153" s="274">
        <f t="shared" si="2"/>
        <v>75</v>
      </c>
    </row>
    <row r="154" spans="2:11" ht="17" thickBot="1" x14ac:dyDescent="0.55000000000000004">
      <c r="B154" s="277" t="s">
        <v>5643</v>
      </c>
      <c r="C154" s="52"/>
      <c r="K154" s="274"/>
    </row>
    <row r="155" spans="2:11" ht="15" customHeight="1" x14ac:dyDescent="0.3">
      <c r="B155" s="351">
        <v>1</v>
      </c>
      <c r="C155" s="349" t="s">
        <v>5644</v>
      </c>
      <c r="D155" s="348" t="s">
        <v>5645</v>
      </c>
      <c r="E155" s="3"/>
      <c r="F155" s="3"/>
      <c r="G155" s="3"/>
      <c r="H155" s="246"/>
      <c r="I155" s="51" t="s">
        <v>5498</v>
      </c>
      <c r="J155" s="20">
        <v>1650</v>
      </c>
      <c r="K155" s="274">
        <f t="shared" si="2"/>
        <v>1650</v>
      </c>
    </row>
    <row r="156" spans="2:11" ht="15" customHeight="1" x14ac:dyDescent="0.3">
      <c r="B156" s="351">
        <v>1</v>
      </c>
      <c r="C156" s="349" t="s">
        <v>5646</v>
      </c>
      <c r="D156" s="348" t="s">
        <v>5647</v>
      </c>
      <c r="E156" s="3"/>
      <c r="F156" s="3"/>
      <c r="G156" s="3"/>
      <c r="H156" s="246"/>
      <c r="I156" s="51" t="s">
        <v>5498</v>
      </c>
      <c r="J156" s="20">
        <v>1995</v>
      </c>
      <c r="K156" s="274">
        <f t="shared" si="2"/>
        <v>1995</v>
      </c>
    </row>
    <row r="157" spans="2:11" ht="15" customHeight="1" x14ac:dyDescent="0.3">
      <c r="B157" s="351">
        <v>1</v>
      </c>
      <c r="C157" s="349" t="s">
        <v>5648</v>
      </c>
      <c r="D157" s="348" t="s">
        <v>5649</v>
      </c>
      <c r="E157" s="3"/>
      <c r="F157" s="3"/>
      <c r="G157" s="3"/>
      <c r="H157" s="246"/>
      <c r="I157" s="51" t="s">
        <v>5498</v>
      </c>
      <c r="J157" s="20">
        <v>1250</v>
      </c>
      <c r="K157" s="274">
        <f t="shared" si="2"/>
        <v>1250</v>
      </c>
    </row>
    <row r="158" spans="2:11" ht="15" customHeight="1" x14ac:dyDescent="0.3">
      <c r="B158" s="351">
        <v>1</v>
      </c>
      <c r="C158" s="349" t="s">
        <v>5650</v>
      </c>
      <c r="D158" s="348" t="s">
        <v>5651</v>
      </c>
      <c r="E158" s="3"/>
      <c r="F158" s="3"/>
      <c r="G158" s="3"/>
      <c r="H158" s="246"/>
      <c r="I158" s="51" t="s">
        <v>5498</v>
      </c>
      <c r="J158" s="20">
        <v>250</v>
      </c>
      <c r="K158" s="274">
        <f t="shared" si="2"/>
        <v>250</v>
      </c>
    </row>
    <row r="159" spans="2:11" ht="15" customHeight="1" x14ac:dyDescent="0.3">
      <c r="B159" s="351">
        <v>1</v>
      </c>
      <c r="C159" s="349" t="s">
        <v>5652</v>
      </c>
      <c r="D159" s="348" t="s">
        <v>5653</v>
      </c>
      <c r="E159" s="3"/>
      <c r="F159" s="3"/>
      <c r="G159" s="3"/>
      <c r="H159" s="246"/>
      <c r="I159" s="51" t="s">
        <v>5498</v>
      </c>
      <c r="J159" s="20">
        <v>245</v>
      </c>
      <c r="K159" s="274">
        <f t="shared" si="2"/>
        <v>245</v>
      </c>
    </row>
    <row r="160" spans="2:11" ht="15" customHeight="1" thickBot="1" x14ac:dyDescent="0.35">
      <c r="B160" s="351">
        <v>1</v>
      </c>
      <c r="C160" s="349" t="s">
        <v>5654</v>
      </c>
      <c r="D160" s="348" t="s">
        <v>5655</v>
      </c>
      <c r="E160" s="3"/>
      <c r="F160" s="3"/>
      <c r="G160" s="3"/>
      <c r="H160" s="246"/>
      <c r="I160" s="51" t="s">
        <v>5498</v>
      </c>
      <c r="J160" s="20">
        <v>75</v>
      </c>
      <c r="K160" s="274">
        <f t="shared" si="2"/>
        <v>75</v>
      </c>
    </row>
    <row r="161" spans="2:11" ht="17" thickBot="1" x14ac:dyDescent="0.55000000000000004">
      <c r="B161" s="277" t="s">
        <v>5656</v>
      </c>
      <c r="C161" s="52"/>
      <c r="K161" s="274"/>
    </row>
    <row r="162" spans="2:11" ht="15" customHeight="1" x14ac:dyDescent="0.3">
      <c r="B162" s="351">
        <v>1</v>
      </c>
      <c r="C162" s="349" t="s">
        <v>5657</v>
      </c>
      <c r="D162" s="348" t="s">
        <v>5658</v>
      </c>
      <c r="E162" s="3"/>
      <c r="F162" s="3"/>
      <c r="G162" s="3"/>
      <c r="H162" s="246"/>
      <c r="I162" s="51" t="s">
        <v>5498</v>
      </c>
      <c r="J162" s="20">
        <v>495</v>
      </c>
      <c r="K162" s="274">
        <f t="shared" si="2"/>
        <v>495</v>
      </c>
    </row>
    <row r="163" spans="2:11" ht="15" customHeight="1" x14ac:dyDescent="0.3">
      <c r="B163" s="351">
        <v>1</v>
      </c>
      <c r="C163" s="349" t="s">
        <v>5659</v>
      </c>
      <c r="D163" s="348" t="s">
        <v>5660</v>
      </c>
      <c r="E163" s="3"/>
      <c r="F163" s="3"/>
      <c r="G163" s="3"/>
      <c r="H163" s="246"/>
      <c r="I163" s="51" t="s">
        <v>5498</v>
      </c>
      <c r="J163" s="20">
        <v>795</v>
      </c>
      <c r="K163" s="274">
        <f t="shared" si="2"/>
        <v>795</v>
      </c>
    </row>
    <row r="164" spans="2:11" ht="15" customHeight="1" x14ac:dyDescent="0.3">
      <c r="B164" s="351">
        <v>1</v>
      </c>
      <c r="C164" s="349" t="s">
        <v>5661</v>
      </c>
      <c r="D164" s="348" t="s">
        <v>5662</v>
      </c>
      <c r="E164" s="3"/>
      <c r="F164" s="3"/>
      <c r="G164" s="3"/>
      <c r="H164" s="246"/>
      <c r="I164" s="51" t="s">
        <v>5498</v>
      </c>
      <c r="J164" s="20">
        <v>595</v>
      </c>
      <c r="K164" s="274">
        <f t="shared" si="2"/>
        <v>595</v>
      </c>
    </row>
    <row r="165" spans="2:11" ht="15" customHeight="1" x14ac:dyDescent="0.3">
      <c r="B165" s="351">
        <v>1</v>
      </c>
      <c r="C165" s="349" t="s">
        <v>5663</v>
      </c>
      <c r="D165" s="348" t="s">
        <v>5664</v>
      </c>
      <c r="E165" s="3"/>
      <c r="F165" s="3"/>
      <c r="G165" s="3"/>
      <c r="H165" s="246"/>
      <c r="I165" s="51" t="s">
        <v>5498</v>
      </c>
      <c r="J165" s="20">
        <v>895</v>
      </c>
      <c r="K165" s="274">
        <f t="shared" si="2"/>
        <v>895</v>
      </c>
    </row>
    <row r="166" spans="2:11" ht="6.75" customHeight="1" x14ac:dyDescent="0.3">
      <c r="B166" s="351"/>
      <c r="C166" s="349"/>
      <c r="D166" s="348"/>
      <c r="E166" s="3"/>
      <c r="F166" s="3"/>
      <c r="G166" s="3"/>
      <c r="H166" s="246"/>
      <c r="I166" s="51"/>
      <c r="J166" s="20"/>
      <c r="K166" s="274"/>
    </row>
    <row r="167" spans="2:11" ht="15" customHeight="1" x14ac:dyDescent="0.3">
      <c r="B167" s="351">
        <v>1</v>
      </c>
      <c r="C167" s="349" t="s">
        <v>5665</v>
      </c>
      <c r="D167" s="348" t="s">
        <v>5666</v>
      </c>
      <c r="E167" s="3"/>
      <c r="F167" s="3"/>
      <c r="G167" s="3"/>
      <c r="H167" s="246" t="s">
        <v>5667</v>
      </c>
      <c r="I167" s="51" t="s">
        <v>5583</v>
      </c>
      <c r="J167" s="20">
        <v>49</v>
      </c>
      <c r="K167" s="274">
        <f t="shared" si="2"/>
        <v>49</v>
      </c>
    </row>
    <row r="168" spans="2:11" ht="15" customHeight="1" x14ac:dyDescent="0.3">
      <c r="B168" s="351">
        <v>1</v>
      </c>
      <c r="C168" s="349" t="s">
        <v>5668</v>
      </c>
      <c r="D168" s="348" t="s">
        <v>5666</v>
      </c>
      <c r="E168" s="3"/>
      <c r="F168" s="3"/>
      <c r="G168" s="3"/>
      <c r="H168" s="246" t="s">
        <v>5669</v>
      </c>
      <c r="I168" s="51" t="s">
        <v>5583</v>
      </c>
      <c r="J168" s="20">
        <v>29</v>
      </c>
      <c r="K168" s="274">
        <f t="shared" si="2"/>
        <v>29</v>
      </c>
    </row>
    <row r="169" spans="2:11" ht="15" customHeight="1" thickBot="1" x14ac:dyDescent="0.35">
      <c r="B169" s="351"/>
      <c r="C169" s="349"/>
      <c r="D169" s="348"/>
      <c r="E169" s="3"/>
      <c r="F169" s="3"/>
      <c r="G169" s="3"/>
      <c r="H169" s="246"/>
      <c r="I169" s="51"/>
      <c r="J169" s="20"/>
      <c r="K169" s="274"/>
    </row>
    <row r="170" spans="2:11" ht="17" thickBot="1" x14ac:dyDescent="0.55000000000000004">
      <c r="B170" s="277" t="s">
        <v>5670</v>
      </c>
      <c r="C170" s="52"/>
      <c r="K170" s="274"/>
    </row>
    <row r="171" spans="2:11" ht="15" customHeight="1" x14ac:dyDescent="0.3">
      <c r="B171" s="351">
        <v>1</v>
      </c>
      <c r="C171" s="349" t="s">
        <v>5671</v>
      </c>
      <c r="D171" s="348" t="s">
        <v>5672</v>
      </c>
      <c r="E171" s="3"/>
      <c r="F171" s="3"/>
      <c r="G171" s="3"/>
      <c r="H171" s="246"/>
      <c r="I171" s="51" t="s">
        <v>5498</v>
      </c>
      <c r="J171" s="20">
        <v>50</v>
      </c>
      <c r="K171" s="274">
        <f t="shared" si="2"/>
        <v>50</v>
      </c>
    </row>
    <row r="172" spans="2:11" ht="15" customHeight="1" x14ac:dyDescent="0.3">
      <c r="B172" s="351">
        <v>1</v>
      </c>
      <c r="C172" s="349" t="s">
        <v>5673</v>
      </c>
      <c r="D172" s="348" t="s">
        <v>5674</v>
      </c>
      <c r="E172" s="3"/>
      <c r="F172" s="3"/>
      <c r="G172" s="3"/>
      <c r="H172" s="246"/>
      <c r="I172" s="51" t="s">
        <v>5498</v>
      </c>
      <c r="J172" s="20">
        <v>75</v>
      </c>
      <c r="K172" s="274">
        <f t="shared" si="2"/>
        <v>75</v>
      </c>
    </row>
    <row r="173" spans="2:11" ht="15" customHeight="1" x14ac:dyDescent="0.3">
      <c r="B173" s="351">
        <v>1</v>
      </c>
      <c r="C173" s="349" t="s">
        <v>5675</v>
      </c>
      <c r="D173" s="348" t="s">
        <v>5676</v>
      </c>
      <c r="E173" s="3"/>
      <c r="F173" s="3"/>
      <c r="G173" s="3"/>
      <c r="H173" s="246"/>
      <c r="I173" s="51" t="s">
        <v>5498</v>
      </c>
      <c r="J173" s="20">
        <v>95</v>
      </c>
      <c r="K173" s="274">
        <f t="shared" si="2"/>
        <v>95</v>
      </c>
    </row>
    <row r="174" spans="2:11" ht="15" customHeight="1" x14ac:dyDescent="0.3">
      <c r="B174" s="351">
        <v>1</v>
      </c>
      <c r="C174" s="349" t="s">
        <v>5677</v>
      </c>
      <c r="D174" s="348" t="s">
        <v>5678</v>
      </c>
      <c r="E174" s="3"/>
      <c r="F174" s="3"/>
      <c r="G174" s="3"/>
      <c r="H174" s="246"/>
      <c r="I174" s="51" t="s">
        <v>5498</v>
      </c>
      <c r="J174" s="20">
        <v>175</v>
      </c>
      <c r="K174" s="274">
        <f t="shared" si="2"/>
        <v>175</v>
      </c>
    </row>
    <row r="175" spans="2:11" ht="7.5" customHeight="1" x14ac:dyDescent="0.3">
      <c r="B175" s="351"/>
      <c r="C175" s="349"/>
      <c r="D175" s="348"/>
      <c r="E175" s="3"/>
      <c r="F175" s="3"/>
      <c r="G175" s="3"/>
      <c r="H175" s="246"/>
      <c r="I175" s="51"/>
      <c r="J175" s="20"/>
      <c r="K175" s="274"/>
    </row>
    <row r="176" spans="2:11" ht="15" customHeight="1" x14ac:dyDescent="0.3">
      <c r="B176" s="351">
        <v>1</v>
      </c>
      <c r="C176" s="349" t="s">
        <v>5679</v>
      </c>
      <c r="D176" s="348" t="s">
        <v>5680</v>
      </c>
      <c r="E176" s="3"/>
      <c r="F176" s="3"/>
      <c r="G176" s="3"/>
      <c r="H176" s="246"/>
      <c r="I176" s="51" t="s">
        <v>5498</v>
      </c>
      <c r="J176" s="20">
        <v>795</v>
      </c>
      <c r="K176" s="274">
        <f t="shared" si="2"/>
        <v>795</v>
      </c>
    </row>
    <row r="177" spans="2:11" ht="15" customHeight="1" x14ac:dyDescent="0.3">
      <c r="B177" s="351">
        <v>1</v>
      </c>
      <c r="C177" s="349" t="s">
        <v>5681</v>
      </c>
      <c r="D177" s="348" t="s">
        <v>5682</v>
      </c>
      <c r="E177" s="3"/>
      <c r="F177" s="3"/>
      <c r="G177" s="3"/>
      <c r="H177" s="246"/>
      <c r="I177" s="51" t="s">
        <v>5498</v>
      </c>
      <c r="J177" s="20">
        <v>295</v>
      </c>
      <c r="K177" s="274">
        <f t="shared" si="2"/>
        <v>295</v>
      </c>
    </row>
    <row r="178" spans="2:11" ht="15" customHeight="1" x14ac:dyDescent="0.3">
      <c r="B178" s="351">
        <v>1</v>
      </c>
      <c r="C178" s="349" t="s">
        <v>5683</v>
      </c>
      <c r="D178" s="348" t="s">
        <v>5684</v>
      </c>
      <c r="E178" s="3"/>
      <c r="F178" s="3"/>
      <c r="G178" s="3"/>
      <c r="H178" s="246"/>
      <c r="I178" s="51" t="s">
        <v>5498</v>
      </c>
      <c r="J178" s="20">
        <v>450</v>
      </c>
      <c r="K178" s="274">
        <f t="shared" si="2"/>
        <v>450</v>
      </c>
    </row>
    <row r="179" spans="2:11" ht="15" customHeight="1" thickBot="1" x14ac:dyDescent="0.35">
      <c r="B179" s="351">
        <v>1</v>
      </c>
      <c r="C179" s="349" t="s">
        <v>5685</v>
      </c>
      <c r="D179" s="348" t="s">
        <v>5686</v>
      </c>
      <c r="E179" s="3"/>
      <c r="F179" s="3"/>
      <c r="G179" s="3"/>
      <c r="H179" s="246"/>
      <c r="I179" s="51" t="s">
        <v>5498</v>
      </c>
      <c r="J179" s="20">
        <v>95</v>
      </c>
      <c r="K179" s="274">
        <f t="shared" si="2"/>
        <v>95</v>
      </c>
    </row>
    <row r="180" spans="2:11" ht="17" thickBot="1" x14ac:dyDescent="0.55000000000000004">
      <c r="B180" s="277" t="s">
        <v>5687</v>
      </c>
      <c r="C180" s="52"/>
      <c r="K180" s="274"/>
    </row>
    <row r="181" spans="2:11" ht="15" customHeight="1" x14ac:dyDescent="0.3">
      <c r="B181" s="351">
        <v>1</v>
      </c>
      <c r="C181" s="349" t="s">
        <v>5688</v>
      </c>
      <c r="D181" s="348" t="s">
        <v>5689</v>
      </c>
      <c r="E181" s="3"/>
      <c r="F181" s="3"/>
      <c r="G181" s="3"/>
      <c r="H181" s="246"/>
      <c r="I181" s="51" t="s">
        <v>5498</v>
      </c>
      <c r="J181" s="20">
        <v>995</v>
      </c>
      <c r="K181" s="274">
        <f t="shared" si="2"/>
        <v>995</v>
      </c>
    </row>
    <row r="182" spans="2:11" ht="15" customHeight="1" x14ac:dyDescent="0.3">
      <c r="B182" s="351">
        <v>1</v>
      </c>
      <c r="C182" s="349" t="s">
        <v>5690</v>
      </c>
      <c r="D182" s="348" t="s">
        <v>5691</v>
      </c>
      <c r="E182" s="3"/>
      <c r="F182" s="3"/>
      <c r="G182" s="3"/>
      <c r="H182" s="246"/>
      <c r="I182" s="51" t="s">
        <v>5498</v>
      </c>
      <c r="J182" s="20">
        <v>245</v>
      </c>
      <c r="K182" s="274">
        <f t="shared" si="2"/>
        <v>245</v>
      </c>
    </row>
    <row r="183" spans="2:11" ht="15" customHeight="1" x14ac:dyDescent="0.3">
      <c r="B183" s="351">
        <v>1</v>
      </c>
      <c r="C183" s="349" t="s">
        <v>5692</v>
      </c>
      <c r="D183" s="348" t="s">
        <v>5693</v>
      </c>
      <c r="E183" s="3"/>
      <c r="F183" s="3"/>
      <c r="G183" s="3"/>
      <c r="H183" s="246"/>
      <c r="I183" s="51" t="s">
        <v>5498</v>
      </c>
      <c r="J183" s="20">
        <v>275</v>
      </c>
      <c r="K183" s="274">
        <f t="shared" si="2"/>
        <v>275</v>
      </c>
    </row>
    <row r="184" spans="2:11" ht="15" customHeight="1" x14ac:dyDescent="0.3">
      <c r="B184" s="351">
        <v>1</v>
      </c>
      <c r="C184" s="349" t="s">
        <v>5694</v>
      </c>
      <c r="D184" s="348" t="s">
        <v>5695</v>
      </c>
      <c r="E184" s="3"/>
      <c r="F184" s="3"/>
      <c r="G184" s="3"/>
      <c r="H184" s="246"/>
      <c r="I184" s="51" t="s">
        <v>5498</v>
      </c>
      <c r="J184" s="20">
        <v>495</v>
      </c>
      <c r="K184" s="274">
        <f t="shared" si="2"/>
        <v>495</v>
      </c>
    </row>
    <row r="185" spans="2:11" ht="15" customHeight="1" x14ac:dyDescent="0.3">
      <c r="B185" s="351">
        <v>1</v>
      </c>
      <c r="C185" s="349" t="s">
        <v>5696</v>
      </c>
      <c r="D185" s="348" t="s">
        <v>5697</v>
      </c>
      <c r="E185" s="3"/>
      <c r="F185" s="3"/>
      <c r="G185" s="3"/>
      <c r="H185" s="246"/>
      <c r="I185" s="51" t="s">
        <v>5498</v>
      </c>
      <c r="J185" s="20">
        <v>75</v>
      </c>
      <c r="K185" s="274">
        <f t="shared" si="2"/>
        <v>75</v>
      </c>
    </row>
    <row r="186" spans="2:11" ht="15" customHeight="1" thickBot="1" x14ac:dyDescent="0.35">
      <c r="B186" s="351"/>
      <c r="C186" s="349"/>
      <c r="D186" s="348"/>
      <c r="E186" s="3"/>
      <c r="F186" s="3"/>
      <c r="G186" s="3"/>
      <c r="H186" s="246"/>
      <c r="I186" s="51"/>
      <c r="J186" s="20"/>
      <c r="K186" s="274"/>
    </row>
    <row r="187" spans="2:11" ht="17" thickBot="1" x14ac:dyDescent="0.55000000000000004">
      <c r="B187" s="277" t="s">
        <v>5698</v>
      </c>
      <c r="C187" s="52"/>
      <c r="K187" s="274"/>
    </row>
    <row r="188" spans="2:11" ht="15" customHeight="1" x14ac:dyDescent="0.3">
      <c r="B188" s="351">
        <v>1</v>
      </c>
      <c r="C188" s="349" t="s">
        <v>5699</v>
      </c>
      <c r="D188" s="348" t="s">
        <v>5700</v>
      </c>
      <c r="E188" s="3" t="s">
        <v>5701</v>
      </c>
      <c r="F188" s="14" t="s">
        <v>5702</v>
      </c>
      <c r="G188" s="3"/>
      <c r="H188" s="246"/>
      <c r="I188" s="51" t="s">
        <v>5498</v>
      </c>
      <c r="J188" s="20">
        <v>495</v>
      </c>
      <c r="K188" s="274">
        <f t="shared" si="2"/>
        <v>495</v>
      </c>
    </row>
    <row r="189" spans="2:11" ht="15" customHeight="1" x14ac:dyDescent="0.3">
      <c r="B189" s="351">
        <v>1</v>
      </c>
      <c r="C189" s="349" t="s">
        <v>5703</v>
      </c>
      <c r="D189" s="348" t="s">
        <v>5700</v>
      </c>
      <c r="E189" s="3" t="s">
        <v>5704</v>
      </c>
      <c r="F189" s="14" t="s">
        <v>5705</v>
      </c>
      <c r="G189" s="3"/>
      <c r="H189" s="246"/>
      <c r="I189" s="51" t="s">
        <v>5498</v>
      </c>
      <c r="J189" s="20">
        <v>495</v>
      </c>
      <c r="K189" s="274">
        <f t="shared" si="2"/>
        <v>495</v>
      </c>
    </row>
    <row r="190" spans="2:11" ht="15" customHeight="1" x14ac:dyDescent="0.3">
      <c r="B190" s="351">
        <v>1</v>
      </c>
      <c r="C190" s="349" t="s">
        <v>5706</v>
      </c>
      <c r="D190" s="348" t="s">
        <v>5700</v>
      </c>
      <c r="E190" s="3" t="s">
        <v>5707</v>
      </c>
      <c r="F190" s="14" t="s">
        <v>5705</v>
      </c>
      <c r="G190" s="3"/>
      <c r="H190" s="246"/>
      <c r="I190" s="51" t="s">
        <v>5498</v>
      </c>
      <c r="J190" s="20">
        <v>895</v>
      </c>
      <c r="K190" s="274">
        <f t="shared" si="2"/>
        <v>895</v>
      </c>
    </row>
    <row r="191" spans="2:11" ht="15" customHeight="1" x14ac:dyDescent="0.3">
      <c r="B191" s="351">
        <v>1</v>
      </c>
      <c r="C191" s="349" t="s">
        <v>5708</v>
      </c>
      <c r="D191" s="348" t="s">
        <v>5700</v>
      </c>
      <c r="E191" s="3" t="s">
        <v>5709</v>
      </c>
      <c r="F191" s="14" t="s">
        <v>5702</v>
      </c>
      <c r="G191" s="3"/>
      <c r="H191" s="246"/>
      <c r="I191" s="51" t="s">
        <v>5498</v>
      </c>
      <c r="J191" s="20">
        <v>895</v>
      </c>
      <c r="K191" s="274">
        <f t="shared" si="2"/>
        <v>895</v>
      </c>
    </row>
    <row r="192" spans="2:11" ht="15" customHeight="1" x14ac:dyDescent="0.3">
      <c r="B192" s="351">
        <v>1</v>
      </c>
      <c r="C192" s="349" t="s">
        <v>5710</v>
      </c>
      <c r="D192" s="348" t="s">
        <v>5700</v>
      </c>
      <c r="E192" s="3" t="s">
        <v>5711</v>
      </c>
      <c r="F192" s="14" t="s">
        <v>5702</v>
      </c>
      <c r="G192" s="3"/>
      <c r="H192" s="246"/>
      <c r="I192" s="51" t="s">
        <v>5498</v>
      </c>
      <c r="J192" s="20">
        <v>1395</v>
      </c>
      <c r="K192" s="274">
        <f t="shared" si="2"/>
        <v>1395</v>
      </c>
    </row>
    <row r="193" spans="2:11" ht="15" customHeight="1" x14ac:dyDescent="0.3">
      <c r="B193" s="351">
        <v>1</v>
      </c>
      <c r="C193" s="349" t="s">
        <v>5712</v>
      </c>
      <c r="D193" s="348" t="s">
        <v>5700</v>
      </c>
      <c r="E193" s="3" t="s">
        <v>5711</v>
      </c>
      <c r="F193" s="14" t="s">
        <v>5705</v>
      </c>
      <c r="G193" s="3"/>
      <c r="H193" s="246"/>
      <c r="I193" s="51" t="s">
        <v>5498</v>
      </c>
      <c r="J193" s="20">
        <v>1395</v>
      </c>
      <c r="K193" s="274">
        <f t="shared" si="2"/>
        <v>1395</v>
      </c>
    </row>
    <row r="194" spans="2:11" ht="15" customHeight="1" x14ac:dyDescent="0.3">
      <c r="B194" s="351"/>
      <c r="C194" s="349"/>
      <c r="D194" s="348"/>
      <c r="E194" s="3"/>
      <c r="F194" s="14"/>
      <c r="G194" s="3"/>
      <c r="H194" s="246"/>
      <c r="I194" s="51"/>
      <c r="J194" s="20"/>
      <c r="K194" s="274"/>
    </row>
    <row r="195" spans="2:11" ht="15" customHeight="1" x14ac:dyDescent="0.3">
      <c r="B195" s="351">
        <v>1</v>
      </c>
      <c r="C195" s="349" t="s">
        <v>5713</v>
      </c>
      <c r="D195" s="348" t="s">
        <v>5714</v>
      </c>
      <c r="E195" s="3"/>
      <c r="F195" s="14" t="s">
        <v>72</v>
      </c>
      <c r="G195" s="3"/>
      <c r="H195" s="246"/>
      <c r="I195" s="51" t="s">
        <v>5498</v>
      </c>
      <c r="J195" s="20">
        <v>895</v>
      </c>
      <c r="K195" s="274">
        <f t="shared" si="2"/>
        <v>895</v>
      </c>
    </row>
    <row r="196" spans="2:11" ht="15" customHeight="1" x14ac:dyDescent="0.3">
      <c r="B196" s="351">
        <v>1</v>
      </c>
      <c r="C196" s="349" t="s">
        <v>5715</v>
      </c>
      <c r="D196" s="348" t="s">
        <v>5716</v>
      </c>
      <c r="E196" s="3"/>
      <c r="F196" s="14"/>
      <c r="G196" s="3"/>
      <c r="H196" s="246"/>
      <c r="I196" s="51" t="s">
        <v>5498</v>
      </c>
      <c r="J196" s="20">
        <v>495</v>
      </c>
      <c r="K196" s="274">
        <f t="shared" si="2"/>
        <v>495</v>
      </c>
    </row>
    <row r="197" spans="2:11" ht="15" customHeight="1" x14ac:dyDescent="0.3">
      <c r="B197" s="351">
        <v>1</v>
      </c>
      <c r="C197" s="349" t="s">
        <v>5717</v>
      </c>
      <c r="D197" s="348" t="s">
        <v>5718</v>
      </c>
      <c r="E197" s="3"/>
      <c r="F197" s="14"/>
      <c r="G197" s="3"/>
      <c r="H197" s="246"/>
      <c r="I197" s="51" t="s">
        <v>5498</v>
      </c>
      <c r="J197" s="20">
        <v>75</v>
      </c>
      <c r="K197" s="274">
        <f t="shared" si="2"/>
        <v>75</v>
      </c>
    </row>
    <row r="198" spans="2:11" ht="15" customHeight="1" x14ac:dyDescent="0.3">
      <c r="B198" s="351"/>
      <c r="C198" s="349"/>
      <c r="D198" s="348"/>
      <c r="E198" s="3"/>
      <c r="F198" s="14"/>
      <c r="G198" s="3"/>
      <c r="H198" s="246"/>
      <c r="I198" s="51"/>
      <c r="J198" s="20"/>
      <c r="K198" s="274"/>
    </row>
    <row r="199" spans="2:11" ht="15" customHeight="1" thickBot="1" x14ac:dyDescent="0.35">
      <c r="B199" s="351"/>
      <c r="C199" s="349"/>
      <c r="D199" s="348"/>
      <c r="E199" s="3"/>
      <c r="F199" s="14"/>
      <c r="G199" s="3"/>
      <c r="H199" s="246"/>
      <c r="I199" s="51"/>
      <c r="J199" s="20"/>
      <c r="K199" s="274"/>
    </row>
    <row r="200" spans="2:11" ht="17" thickBot="1" x14ac:dyDescent="0.55000000000000004">
      <c r="B200" s="277" t="s">
        <v>5719</v>
      </c>
      <c r="C200" s="278"/>
      <c r="D200" s="279"/>
      <c r="K200" s="274"/>
    </row>
    <row r="201" spans="2:11" ht="15" customHeight="1" x14ac:dyDescent="0.3">
      <c r="B201" s="351">
        <v>1</v>
      </c>
      <c r="C201" s="349" t="s">
        <v>5720</v>
      </c>
      <c r="D201" s="348" t="s">
        <v>5721</v>
      </c>
      <c r="E201" s="3"/>
      <c r="F201" s="14"/>
      <c r="G201" s="3"/>
      <c r="H201" s="246"/>
      <c r="I201" s="51" t="s">
        <v>5498</v>
      </c>
      <c r="J201" s="20">
        <v>45</v>
      </c>
      <c r="K201" s="274">
        <f t="shared" si="2"/>
        <v>45</v>
      </c>
    </row>
    <row r="202" spans="2:11" ht="15" customHeight="1" x14ac:dyDescent="0.3">
      <c r="B202" s="351">
        <v>1</v>
      </c>
      <c r="C202" s="349" t="s">
        <v>5722</v>
      </c>
      <c r="D202" s="348" t="s">
        <v>5723</v>
      </c>
      <c r="E202" s="3"/>
      <c r="F202" s="14"/>
      <c r="G202" s="3"/>
      <c r="H202" s="246"/>
      <c r="I202" s="51" t="s">
        <v>5498</v>
      </c>
      <c r="J202" s="20">
        <v>75</v>
      </c>
      <c r="K202" s="274">
        <f t="shared" ref="K202:K254" si="3">B202*J202</f>
        <v>75</v>
      </c>
    </row>
    <row r="203" spans="2:11" ht="15" customHeight="1" x14ac:dyDescent="0.3">
      <c r="B203" s="351">
        <v>1</v>
      </c>
      <c r="C203" s="349" t="s">
        <v>5724</v>
      </c>
      <c r="D203" s="348" t="s">
        <v>5725</v>
      </c>
      <c r="E203" s="3"/>
      <c r="F203" s="14"/>
      <c r="G203" s="3"/>
      <c r="H203" s="246"/>
      <c r="I203" s="51" t="s">
        <v>5498</v>
      </c>
      <c r="J203" s="20">
        <v>95</v>
      </c>
      <c r="K203" s="274">
        <f t="shared" si="3"/>
        <v>95</v>
      </c>
    </row>
    <row r="204" spans="2:11" ht="15" customHeight="1" x14ac:dyDescent="0.3">
      <c r="B204" s="351">
        <v>1</v>
      </c>
      <c r="C204" s="349" t="s">
        <v>5726</v>
      </c>
      <c r="D204" s="348" t="s">
        <v>5727</v>
      </c>
      <c r="E204" s="3"/>
      <c r="F204" s="3"/>
      <c r="G204" s="3"/>
      <c r="H204" s="246"/>
      <c r="I204" s="51" t="s">
        <v>5498</v>
      </c>
      <c r="J204" s="20">
        <v>295</v>
      </c>
      <c r="K204" s="274">
        <f t="shared" si="3"/>
        <v>295</v>
      </c>
    </row>
    <row r="205" spans="2:11" ht="15" customHeight="1" x14ac:dyDescent="0.3">
      <c r="B205" s="351">
        <v>1</v>
      </c>
      <c r="C205" s="349" t="s">
        <v>5728</v>
      </c>
      <c r="D205" s="348" t="s">
        <v>5729</v>
      </c>
      <c r="E205" s="3"/>
      <c r="F205" s="3"/>
      <c r="G205" s="3"/>
      <c r="H205" s="246"/>
      <c r="I205" s="51" t="s">
        <v>5498</v>
      </c>
      <c r="J205" s="20">
        <v>195</v>
      </c>
      <c r="K205" s="274">
        <f t="shared" si="3"/>
        <v>195</v>
      </c>
    </row>
    <row r="206" spans="2:11" ht="15" customHeight="1" thickBot="1" x14ac:dyDescent="0.35">
      <c r="B206" s="351"/>
      <c r="C206" s="349"/>
      <c r="D206" s="348"/>
      <c r="E206" s="3"/>
      <c r="F206" s="3"/>
      <c r="G206" s="3"/>
      <c r="H206" s="246"/>
      <c r="I206" s="51"/>
      <c r="J206" s="20"/>
      <c r="K206" s="274"/>
    </row>
    <row r="207" spans="2:11" ht="17" thickBot="1" x14ac:dyDescent="0.55000000000000004">
      <c r="B207" s="277" t="s">
        <v>5730</v>
      </c>
      <c r="C207" s="278"/>
      <c r="K207" s="274"/>
    </row>
    <row r="208" spans="2:11" ht="7.5" customHeight="1" x14ac:dyDescent="0.3">
      <c r="B208" s="351"/>
      <c r="C208" s="349"/>
      <c r="D208" s="348"/>
      <c r="E208" s="3"/>
      <c r="F208" s="3"/>
      <c r="G208" s="3"/>
      <c r="H208" s="246"/>
      <c r="I208" s="51"/>
      <c r="J208" s="20"/>
      <c r="K208" s="274"/>
    </row>
    <row r="209" spans="2:11" ht="15" customHeight="1" x14ac:dyDescent="0.3">
      <c r="B209" s="351">
        <v>1</v>
      </c>
      <c r="C209" s="349" t="s">
        <v>5731</v>
      </c>
      <c r="D209" s="348" t="s">
        <v>5732</v>
      </c>
      <c r="E209" s="3"/>
      <c r="F209" s="3"/>
      <c r="G209" s="3"/>
      <c r="H209" s="246"/>
      <c r="I209" s="51" t="s">
        <v>5498</v>
      </c>
      <c r="J209" s="20">
        <v>-100</v>
      </c>
      <c r="K209" s="274">
        <f t="shared" si="3"/>
        <v>-100</v>
      </c>
    </row>
    <row r="210" spans="2:11" ht="15" customHeight="1" thickBot="1" x14ac:dyDescent="0.35">
      <c r="B210" s="351"/>
      <c r="C210" s="349"/>
      <c r="D210" s="348"/>
      <c r="E210" s="3"/>
      <c r="F210" s="3"/>
      <c r="G210" s="3"/>
      <c r="H210" s="246"/>
      <c r="I210" s="51"/>
      <c r="J210" s="20"/>
      <c r="K210" s="274"/>
    </row>
    <row r="211" spans="2:11" ht="17" thickBot="1" x14ac:dyDescent="0.55000000000000004">
      <c r="B211" s="277" t="s">
        <v>5733</v>
      </c>
      <c r="C211" s="278"/>
      <c r="K211" s="274"/>
    </row>
    <row r="212" spans="2:11" ht="15" customHeight="1" x14ac:dyDescent="0.3">
      <c r="B212" s="351"/>
      <c r="C212" s="349"/>
      <c r="D212" s="348"/>
      <c r="E212" s="3"/>
      <c r="F212" s="3"/>
      <c r="G212" s="3"/>
      <c r="H212" s="246"/>
      <c r="I212" s="51"/>
      <c r="J212" s="20"/>
      <c r="K212" s="274"/>
    </row>
    <row r="213" spans="2:11" ht="15" customHeight="1" x14ac:dyDescent="0.3">
      <c r="B213" s="351">
        <v>1</v>
      </c>
      <c r="C213" s="349" t="s">
        <v>5734</v>
      </c>
      <c r="D213" s="348" t="s">
        <v>5735</v>
      </c>
      <c r="E213" s="3"/>
      <c r="F213" s="14"/>
      <c r="G213" s="3"/>
      <c r="H213" s="246"/>
      <c r="I213" s="51" t="s">
        <v>5498</v>
      </c>
      <c r="J213" s="20">
        <v>25</v>
      </c>
      <c r="K213" s="274">
        <f t="shared" si="3"/>
        <v>25</v>
      </c>
    </row>
    <row r="214" spans="2:11" ht="15" customHeight="1" x14ac:dyDescent="0.3">
      <c r="B214" s="351">
        <v>1</v>
      </c>
      <c r="C214" s="349" t="s">
        <v>5736</v>
      </c>
      <c r="D214" s="348" t="s">
        <v>5737</v>
      </c>
      <c r="E214" s="3"/>
      <c r="F214" s="14"/>
      <c r="G214" s="3"/>
      <c r="H214" s="246"/>
      <c r="I214" s="51" t="s">
        <v>5498</v>
      </c>
      <c r="J214" s="20">
        <v>75</v>
      </c>
      <c r="K214" s="274">
        <f t="shared" si="3"/>
        <v>75</v>
      </c>
    </row>
    <row r="215" spans="2:11" ht="15" customHeight="1" x14ac:dyDescent="0.3">
      <c r="B215" s="351">
        <v>1</v>
      </c>
      <c r="C215" s="349" t="s">
        <v>5738</v>
      </c>
      <c r="D215" s="348" t="s">
        <v>5739</v>
      </c>
      <c r="E215" s="3"/>
      <c r="F215" s="14"/>
      <c r="G215" s="3"/>
      <c r="H215" s="246"/>
      <c r="I215" s="51" t="s">
        <v>5498</v>
      </c>
      <c r="J215" s="20">
        <v>45</v>
      </c>
      <c r="K215" s="274">
        <f t="shared" si="3"/>
        <v>45</v>
      </c>
    </row>
    <row r="216" spans="2:11" ht="15" customHeight="1" x14ac:dyDescent="0.3">
      <c r="B216" s="351"/>
      <c r="C216" s="349"/>
      <c r="D216" s="348"/>
      <c r="E216" s="3"/>
      <c r="F216" s="14"/>
      <c r="G216" s="3"/>
      <c r="H216" s="246"/>
      <c r="I216" s="51"/>
      <c r="J216" s="20"/>
      <c r="K216" s="274"/>
    </row>
    <row r="217" spans="2:11" ht="15" customHeight="1" x14ac:dyDescent="0.3">
      <c r="B217" s="351">
        <v>1</v>
      </c>
      <c r="C217" s="349" t="s">
        <v>5740</v>
      </c>
      <c r="D217" s="348" t="s">
        <v>5741</v>
      </c>
      <c r="E217" s="3"/>
      <c r="F217" s="14"/>
      <c r="G217" s="3"/>
      <c r="H217" s="246"/>
      <c r="I217" s="51" t="s">
        <v>5498</v>
      </c>
      <c r="J217" s="20">
        <v>195</v>
      </c>
      <c r="K217" s="274">
        <f t="shared" si="3"/>
        <v>195</v>
      </c>
    </row>
    <row r="218" spans="2:11" ht="15" customHeight="1" x14ac:dyDescent="0.3">
      <c r="B218" s="351">
        <v>1</v>
      </c>
      <c r="C218" s="349" t="s">
        <v>5742</v>
      </c>
      <c r="D218" s="348" t="s">
        <v>5743</v>
      </c>
      <c r="E218" s="3"/>
      <c r="F218" s="14"/>
      <c r="G218" s="3"/>
      <c r="H218" s="246"/>
      <c r="I218" s="51" t="s">
        <v>5498</v>
      </c>
      <c r="J218" s="20">
        <v>195</v>
      </c>
      <c r="K218" s="274">
        <f t="shared" si="3"/>
        <v>195</v>
      </c>
    </row>
    <row r="219" spans="2:11" ht="15" customHeight="1" x14ac:dyDescent="0.3">
      <c r="B219" s="351">
        <v>1</v>
      </c>
      <c r="C219" s="349" t="s">
        <v>5744</v>
      </c>
      <c r="D219" s="348" t="s">
        <v>5745</v>
      </c>
      <c r="E219" s="3"/>
      <c r="F219" s="14"/>
      <c r="G219" s="3"/>
      <c r="H219" s="246"/>
      <c r="I219" s="51" t="s">
        <v>5498</v>
      </c>
      <c r="J219" s="20">
        <v>75</v>
      </c>
      <c r="K219" s="274">
        <f t="shared" si="3"/>
        <v>75</v>
      </c>
    </row>
    <row r="220" spans="2:11" ht="15" customHeight="1" x14ac:dyDescent="0.3">
      <c r="B220" s="351">
        <v>1</v>
      </c>
      <c r="C220" s="349" t="s">
        <v>5746</v>
      </c>
      <c r="D220" s="348" t="s">
        <v>5747</v>
      </c>
      <c r="E220" s="3"/>
      <c r="F220" s="14"/>
      <c r="G220" s="3"/>
      <c r="H220" s="246"/>
      <c r="I220" s="51" t="s">
        <v>5498</v>
      </c>
      <c r="J220" s="20">
        <v>145</v>
      </c>
      <c r="K220" s="274">
        <f t="shared" si="3"/>
        <v>145</v>
      </c>
    </row>
    <row r="221" spans="2:11" ht="15" customHeight="1" x14ac:dyDescent="0.3">
      <c r="B221" s="351">
        <v>1</v>
      </c>
      <c r="C221" s="349" t="s">
        <v>5748</v>
      </c>
      <c r="D221" s="348" t="s">
        <v>5749</v>
      </c>
      <c r="E221" s="3"/>
      <c r="F221" s="14"/>
      <c r="G221" s="3"/>
      <c r="H221" s="246"/>
      <c r="I221" s="51" t="s">
        <v>5498</v>
      </c>
      <c r="J221" s="20">
        <v>175</v>
      </c>
      <c r="K221" s="274">
        <f t="shared" si="3"/>
        <v>175</v>
      </c>
    </row>
    <row r="222" spans="2:11" ht="15" customHeight="1" x14ac:dyDescent="0.3">
      <c r="B222" s="351">
        <v>1</v>
      </c>
      <c r="C222" s="349" t="s">
        <v>5748</v>
      </c>
      <c r="D222" s="348" t="s">
        <v>5750</v>
      </c>
      <c r="E222" s="3"/>
      <c r="F222" s="14"/>
      <c r="G222" s="3"/>
      <c r="H222" s="246"/>
      <c r="I222" s="51" t="s">
        <v>5498</v>
      </c>
      <c r="J222" s="20">
        <v>95</v>
      </c>
      <c r="K222" s="274">
        <f t="shared" si="3"/>
        <v>95</v>
      </c>
    </row>
    <row r="223" spans="2:11" ht="15" customHeight="1" x14ac:dyDescent="0.3">
      <c r="B223" s="351">
        <v>1</v>
      </c>
      <c r="C223" s="349" t="s">
        <v>5751</v>
      </c>
      <c r="D223" s="348" t="s">
        <v>5752</v>
      </c>
      <c r="E223" s="3"/>
      <c r="F223" s="14"/>
      <c r="G223" s="3"/>
      <c r="H223" s="246"/>
      <c r="I223" s="51" t="s">
        <v>5498</v>
      </c>
      <c r="J223" s="20">
        <v>45</v>
      </c>
      <c r="K223" s="274">
        <f t="shared" si="3"/>
        <v>45</v>
      </c>
    </row>
    <row r="224" spans="2:11" ht="15" customHeight="1" x14ac:dyDescent="0.3">
      <c r="B224" s="351"/>
      <c r="C224" s="349"/>
      <c r="D224" s="348"/>
      <c r="E224" s="3"/>
      <c r="F224" s="3"/>
      <c r="G224" s="3"/>
      <c r="H224" s="246"/>
      <c r="I224" s="51"/>
      <c r="J224" s="20"/>
      <c r="K224" s="274"/>
    </row>
    <row r="225" spans="2:11" ht="15" customHeight="1" x14ac:dyDescent="0.3">
      <c r="B225" s="351"/>
      <c r="C225" s="349"/>
      <c r="D225" s="348"/>
      <c r="E225" s="3"/>
      <c r="F225" s="3"/>
      <c r="G225" s="3"/>
      <c r="H225" s="246"/>
      <c r="I225" s="51"/>
      <c r="J225" s="20"/>
      <c r="K225" s="274"/>
    </row>
    <row r="226" spans="2:11" ht="15" customHeight="1" x14ac:dyDescent="0.3">
      <c r="B226" s="351">
        <v>1</v>
      </c>
      <c r="C226" s="349" t="s">
        <v>5753</v>
      </c>
      <c r="D226" s="348" t="s">
        <v>5754</v>
      </c>
      <c r="E226" s="3"/>
      <c r="F226" s="14"/>
      <c r="G226" s="3"/>
      <c r="H226" s="246"/>
      <c r="I226" s="51" t="s">
        <v>5498</v>
      </c>
      <c r="J226" s="20">
        <v>12.5</v>
      </c>
      <c r="K226" s="274">
        <f t="shared" si="3"/>
        <v>12.5</v>
      </c>
    </row>
    <row r="227" spans="2:11" ht="15" customHeight="1" x14ac:dyDescent="0.3">
      <c r="B227" s="351">
        <v>1</v>
      </c>
      <c r="C227" s="349" t="s">
        <v>5755</v>
      </c>
      <c r="D227" s="348" t="s">
        <v>5754</v>
      </c>
      <c r="E227" s="3"/>
      <c r="F227" s="14"/>
      <c r="G227" s="3"/>
      <c r="H227" s="246"/>
      <c r="I227" s="51" t="s">
        <v>5498</v>
      </c>
      <c r="J227" s="20">
        <v>25</v>
      </c>
      <c r="K227" s="274">
        <f t="shared" si="3"/>
        <v>25</v>
      </c>
    </row>
    <row r="228" spans="2:11" ht="15" customHeight="1" x14ac:dyDescent="0.3">
      <c r="B228" s="351">
        <v>1</v>
      </c>
      <c r="C228" s="349" t="s">
        <v>5756</v>
      </c>
      <c r="D228" s="348" t="s">
        <v>5754</v>
      </c>
      <c r="E228" s="3"/>
      <c r="F228" s="14"/>
      <c r="G228" s="3"/>
      <c r="H228" s="246"/>
      <c r="I228" s="51" t="s">
        <v>5498</v>
      </c>
      <c r="J228" s="20">
        <v>45</v>
      </c>
      <c r="K228" s="274">
        <f t="shared" si="3"/>
        <v>45</v>
      </c>
    </row>
    <row r="229" spans="2:11" ht="15" customHeight="1" x14ac:dyDescent="0.3">
      <c r="B229" s="351">
        <v>1</v>
      </c>
      <c r="C229" s="349" t="s">
        <v>5757</v>
      </c>
      <c r="D229" s="348" t="s">
        <v>5754</v>
      </c>
      <c r="E229" s="3"/>
      <c r="F229" s="14"/>
      <c r="G229" s="3"/>
      <c r="H229" s="246"/>
      <c r="I229" s="51" t="s">
        <v>5498</v>
      </c>
      <c r="J229" s="20">
        <v>75</v>
      </c>
      <c r="K229" s="274">
        <f t="shared" si="3"/>
        <v>75</v>
      </c>
    </row>
    <row r="230" spans="2:11" ht="15" customHeight="1" x14ac:dyDescent="0.3">
      <c r="B230" s="351">
        <v>1</v>
      </c>
      <c r="C230" s="349" t="s">
        <v>5758</v>
      </c>
      <c r="D230" s="348" t="s">
        <v>5754</v>
      </c>
      <c r="E230" s="3"/>
      <c r="F230" s="14"/>
      <c r="G230" s="3"/>
      <c r="H230" s="246"/>
      <c r="I230" s="51" t="s">
        <v>5498</v>
      </c>
      <c r="J230" s="20">
        <v>95</v>
      </c>
      <c r="K230" s="274">
        <f t="shared" si="3"/>
        <v>95</v>
      </c>
    </row>
    <row r="231" spans="2:11" ht="15" customHeight="1" x14ac:dyDescent="0.3">
      <c r="B231" s="351">
        <v>1</v>
      </c>
      <c r="C231" s="349" t="s">
        <v>5759</v>
      </c>
      <c r="D231" s="348" t="s">
        <v>5754</v>
      </c>
      <c r="E231" s="3"/>
      <c r="F231" s="14"/>
      <c r="G231" s="3"/>
      <c r="H231" s="246"/>
      <c r="I231" s="51" t="s">
        <v>5498</v>
      </c>
      <c r="J231" s="20">
        <v>150</v>
      </c>
      <c r="K231" s="274">
        <f t="shared" si="3"/>
        <v>150</v>
      </c>
    </row>
    <row r="232" spans="2:11" ht="15" customHeight="1" x14ac:dyDescent="0.3">
      <c r="B232" s="351"/>
      <c r="C232" s="349"/>
      <c r="D232" s="348"/>
      <c r="E232" s="3"/>
      <c r="F232" s="14"/>
      <c r="G232" s="3"/>
      <c r="H232" s="246"/>
      <c r="I232" s="51"/>
      <c r="J232" s="20"/>
      <c r="K232" s="274"/>
    </row>
    <row r="233" spans="2:11" ht="15" customHeight="1" thickBot="1" x14ac:dyDescent="0.35">
      <c r="B233" s="351"/>
      <c r="C233" s="349"/>
      <c r="D233" s="348"/>
      <c r="E233" s="3"/>
      <c r="F233" s="14"/>
      <c r="G233" s="3"/>
      <c r="H233" s="246"/>
      <c r="I233" s="51"/>
      <c r="J233" s="20"/>
      <c r="K233" s="274"/>
    </row>
    <row r="234" spans="2:11" ht="17" thickBot="1" x14ac:dyDescent="0.55000000000000004">
      <c r="B234" s="277" t="s">
        <v>5760</v>
      </c>
      <c r="C234" s="52"/>
      <c r="K234" s="274"/>
    </row>
    <row r="235" spans="2:11" ht="15" customHeight="1" x14ac:dyDescent="0.3">
      <c r="B235" s="351" t="s">
        <v>5761</v>
      </c>
      <c r="C235" s="349" t="s">
        <v>5762</v>
      </c>
      <c r="D235" s="348" t="s">
        <v>5763</v>
      </c>
      <c r="E235" s="3"/>
      <c r="F235" s="14"/>
      <c r="G235" s="3"/>
      <c r="H235" s="246"/>
      <c r="I235" s="51" t="s">
        <v>5764</v>
      </c>
      <c r="J235" s="20">
        <v>195</v>
      </c>
      <c r="K235" s="274" t="e">
        <f t="shared" si="3"/>
        <v>#VALUE!</v>
      </c>
    </row>
    <row r="236" spans="2:11" ht="15" customHeight="1" x14ac:dyDescent="0.3">
      <c r="B236" s="351">
        <v>1</v>
      </c>
      <c r="C236" s="349" t="s">
        <v>5765</v>
      </c>
      <c r="D236" s="348" t="s">
        <v>5766</v>
      </c>
      <c r="E236" s="3"/>
      <c r="F236" s="14"/>
      <c r="G236" s="3"/>
      <c r="H236" s="246"/>
      <c r="I236" s="51" t="s">
        <v>5764</v>
      </c>
      <c r="J236" s="20">
        <v>180</v>
      </c>
      <c r="K236" s="274">
        <f t="shared" si="3"/>
        <v>180</v>
      </c>
    </row>
    <row r="237" spans="2:11" ht="9.75" customHeight="1" x14ac:dyDescent="0.3">
      <c r="B237" s="351"/>
      <c r="C237" s="349"/>
      <c r="D237" s="348"/>
      <c r="E237" s="3"/>
      <c r="F237" s="14"/>
      <c r="G237" s="3"/>
      <c r="H237" s="246"/>
      <c r="I237" s="51"/>
      <c r="J237" s="20"/>
      <c r="K237" s="274"/>
    </row>
    <row r="238" spans="2:11" ht="15" customHeight="1" x14ac:dyDescent="0.3">
      <c r="B238" s="351">
        <v>1</v>
      </c>
      <c r="C238" s="349" t="s">
        <v>5767</v>
      </c>
      <c r="D238" s="348" t="s">
        <v>5768</v>
      </c>
      <c r="E238" s="3"/>
      <c r="F238" s="14"/>
      <c r="G238" s="3"/>
      <c r="H238" s="246"/>
      <c r="I238" s="51"/>
      <c r="J238" s="20">
        <v>900</v>
      </c>
      <c r="K238" s="274">
        <f t="shared" si="3"/>
        <v>900</v>
      </c>
    </row>
    <row r="239" spans="2:11" ht="15" customHeight="1" x14ac:dyDescent="0.3">
      <c r="B239" s="351">
        <v>1</v>
      </c>
      <c r="C239" s="349" t="s">
        <v>5769</v>
      </c>
      <c r="D239" s="348" t="s">
        <v>5770</v>
      </c>
      <c r="E239" s="3"/>
      <c r="F239" s="14"/>
      <c r="G239" s="3"/>
      <c r="H239" s="246"/>
      <c r="I239" s="51" t="s">
        <v>5771</v>
      </c>
      <c r="J239" s="20">
        <v>750</v>
      </c>
      <c r="K239" s="274">
        <f t="shared" si="3"/>
        <v>750</v>
      </c>
    </row>
    <row r="240" spans="2:11" ht="15" customHeight="1" x14ac:dyDescent="0.3">
      <c r="B240" s="351">
        <v>1</v>
      </c>
      <c r="C240" s="349" t="s">
        <v>5772</v>
      </c>
      <c r="D240" s="348" t="s">
        <v>5773</v>
      </c>
      <c r="E240" s="3"/>
      <c r="F240" s="14"/>
      <c r="G240" s="3"/>
      <c r="H240" s="246"/>
      <c r="I240" s="51" t="s">
        <v>5771</v>
      </c>
      <c r="J240" s="20">
        <v>500</v>
      </c>
      <c r="K240" s="274">
        <f t="shared" si="3"/>
        <v>500</v>
      </c>
    </row>
    <row r="241" spans="2:11" ht="7.5" customHeight="1" x14ac:dyDescent="0.3">
      <c r="B241" s="351"/>
      <c r="C241" s="349"/>
      <c r="D241" s="348"/>
      <c r="E241" s="3"/>
      <c r="F241" s="3"/>
      <c r="G241" s="3"/>
      <c r="H241" s="246"/>
      <c r="I241" s="51"/>
      <c r="J241" s="20"/>
      <c r="K241" s="274"/>
    </row>
    <row r="242" spans="2:11" ht="15" customHeight="1" x14ac:dyDescent="0.3">
      <c r="B242" s="351">
        <v>1</v>
      </c>
      <c r="C242" s="349" t="s">
        <v>5774</v>
      </c>
      <c r="D242" s="348" t="s">
        <v>5775</v>
      </c>
      <c r="E242" s="3"/>
      <c r="F242" s="14"/>
      <c r="G242" s="3"/>
      <c r="H242" s="246"/>
      <c r="I242" s="51"/>
      <c r="J242" s="20">
        <v>45</v>
      </c>
      <c r="K242" s="274">
        <f t="shared" si="3"/>
        <v>45</v>
      </c>
    </row>
    <row r="243" spans="2:11" ht="15" customHeight="1" x14ac:dyDescent="0.3">
      <c r="B243" s="351">
        <v>1</v>
      </c>
      <c r="C243" s="349" t="s">
        <v>5776</v>
      </c>
      <c r="D243" s="348" t="s">
        <v>5777</v>
      </c>
      <c r="E243" s="3"/>
      <c r="F243" s="14"/>
      <c r="G243" s="3"/>
      <c r="H243" s="246"/>
      <c r="I243" s="51"/>
      <c r="J243" s="20">
        <v>90</v>
      </c>
      <c r="K243" s="274">
        <f t="shared" si="3"/>
        <v>90</v>
      </c>
    </row>
    <row r="244" spans="2:11" ht="15" customHeight="1" x14ac:dyDescent="0.3">
      <c r="B244" s="351">
        <v>1</v>
      </c>
      <c r="C244" s="349" t="s">
        <v>5778</v>
      </c>
      <c r="D244" s="348" t="s">
        <v>5779</v>
      </c>
      <c r="E244" s="3"/>
      <c r="F244" s="14"/>
      <c r="G244" s="3"/>
      <c r="H244" s="246"/>
      <c r="I244" s="51"/>
      <c r="J244" s="20">
        <v>180</v>
      </c>
      <c r="K244" s="274">
        <f t="shared" si="3"/>
        <v>180</v>
      </c>
    </row>
    <row r="245" spans="2:11" ht="15" customHeight="1" thickBot="1" x14ac:dyDescent="0.35">
      <c r="B245" s="351">
        <v>1</v>
      </c>
      <c r="C245" s="349" t="s">
        <v>5780</v>
      </c>
      <c r="D245" s="348" t="s">
        <v>5781</v>
      </c>
      <c r="E245" s="3"/>
      <c r="F245" s="14"/>
      <c r="G245" s="3"/>
      <c r="H245" s="246"/>
      <c r="I245" s="51"/>
      <c r="J245" s="20">
        <v>360</v>
      </c>
      <c r="K245" s="274">
        <f t="shared" si="3"/>
        <v>360</v>
      </c>
    </row>
    <row r="246" spans="2:11" ht="17" thickBot="1" x14ac:dyDescent="0.55000000000000004">
      <c r="B246" s="277" t="s">
        <v>5782</v>
      </c>
      <c r="C246" s="52"/>
      <c r="K246" s="274"/>
    </row>
    <row r="247" spans="2:11" ht="15" customHeight="1" x14ac:dyDescent="0.3">
      <c r="B247" s="351">
        <v>1</v>
      </c>
      <c r="C247" s="349" t="s">
        <v>5783</v>
      </c>
      <c r="D247" s="348" t="s">
        <v>5784</v>
      </c>
      <c r="E247" s="3"/>
      <c r="F247" s="14"/>
      <c r="G247" s="3"/>
      <c r="H247" s="246"/>
      <c r="I247" s="51" t="s">
        <v>5583</v>
      </c>
      <c r="J247" s="20">
        <v>59</v>
      </c>
      <c r="K247" s="274">
        <f t="shared" si="3"/>
        <v>59</v>
      </c>
    </row>
    <row r="248" spans="2:11" ht="15" customHeight="1" x14ac:dyDescent="0.3">
      <c r="B248" s="351">
        <v>1</v>
      </c>
      <c r="C248" s="349" t="s">
        <v>5785</v>
      </c>
      <c r="D248" s="348" t="s">
        <v>5784</v>
      </c>
      <c r="E248" s="3"/>
      <c r="F248" s="14"/>
      <c r="G248" s="3"/>
      <c r="H248" s="246"/>
      <c r="I248" s="51" t="s">
        <v>5786</v>
      </c>
      <c r="J248" s="20">
        <v>600</v>
      </c>
      <c r="K248" s="274">
        <f t="shared" si="3"/>
        <v>600</v>
      </c>
    </row>
    <row r="249" spans="2:11" ht="4.5" customHeight="1" x14ac:dyDescent="0.3">
      <c r="B249" s="351"/>
      <c r="C249" s="349"/>
      <c r="D249" s="348"/>
      <c r="E249" s="3"/>
      <c r="F249" s="14"/>
      <c r="G249" s="3"/>
      <c r="H249" s="246"/>
      <c r="I249" s="51"/>
      <c r="J249" s="20"/>
      <c r="K249" s="274"/>
    </row>
    <row r="250" spans="2:11" ht="15" customHeight="1" x14ac:dyDescent="0.3">
      <c r="B250" s="351">
        <v>1</v>
      </c>
      <c r="C250" s="349" t="s">
        <v>5787</v>
      </c>
      <c r="D250" s="348" t="s">
        <v>5788</v>
      </c>
      <c r="E250" s="3"/>
      <c r="F250" s="14"/>
      <c r="G250" s="3"/>
      <c r="H250" s="246"/>
      <c r="I250" s="51" t="s">
        <v>5583</v>
      </c>
      <c r="J250" s="20">
        <v>89</v>
      </c>
      <c r="K250" s="274">
        <f t="shared" si="3"/>
        <v>89</v>
      </c>
    </row>
    <row r="251" spans="2:11" ht="15" customHeight="1" x14ac:dyDescent="0.3">
      <c r="B251" s="351">
        <v>1</v>
      </c>
      <c r="C251" s="349" t="s">
        <v>5789</v>
      </c>
      <c r="D251" s="348" t="s">
        <v>5788</v>
      </c>
      <c r="E251" s="3"/>
      <c r="F251" s="14"/>
      <c r="G251" s="3"/>
      <c r="H251" s="246"/>
      <c r="I251" s="51" t="s">
        <v>5786</v>
      </c>
      <c r="J251" s="20">
        <v>900</v>
      </c>
      <c r="K251" s="274">
        <f t="shared" si="3"/>
        <v>900</v>
      </c>
    </row>
    <row r="252" spans="2:11" ht="6.75" customHeight="1" x14ac:dyDescent="0.3">
      <c r="B252" s="351"/>
      <c r="C252" s="349"/>
      <c r="D252" s="348"/>
      <c r="E252" s="3"/>
      <c r="F252" s="14"/>
      <c r="G252" s="3"/>
      <c r="H252" s="246"/>
      <c r="I252" s="51"/>
      <c r="J252" s="20"/>
      <c r="K252" s="274"/>
    </row>
    <row r="253" spans="2:11" ht="15" customHeight="1" x14ac:dyDescent="0.3">
      <c r="B253" s="351">
        <v>1</v>
      </c>
      <c r="C253" s="349" t="s">
        <v>5790</v>
      </c>
      <c r="D253" s="348" t="s">
        <v>5791</v>
      </c>
      <c r="E253" s="3"/>
      <c r="F253" s="14"/>
      <c r="G253" s="3"/>
      <c r="H253" s="246"/>
      <c r="I253" s="51" t="s">
        <v>5792</v>
      </c>
      <c r="J253" s="20">
        <v>250</v>
      </c>
      <c r="K253" s="274">
        <f t="shared" si="3"/>
        <v>250</v>
      </c>
    </row>
    <row r="254" spans="2:11" ht="15" customHeight="1" x14ac:dyDescent="0.3">
      <c r="B254" s="351">
        <v>1</v>
      </c>
      <c r="C254" s="349" t="s">
        <v>5793</v>
      </c>
      <c r="D254" s="348" t="s">
        <v>5794</v>
      </c>
      <c r="E254" s="3"/>
      <c r="F254" s="14"/>
      <c r="G254" s="3"/>
      <c r="H254" s="246"/>
      <c r="I254" s="51" t="s">
        <v>5792</v>
      </c>
      <c r="J254" s="20">
        <v>450</v>
      </c>
      <c r="K254" s="274">
        <f t="shared" si="3"/>
        <v>450</v>
      </c>
    </row>
    <row r="255" spans="2:11" ht="15" customHeight="1" thickBot="1" x14ac:dyDescent="0.35">
      <c r="B255" s="354"/>
      <c r="C255" s="280"/>
      <c r="D255" s="263"/>
      <c r="E255" s="7"/>
      <c r="F255" s="353"/>
      <c r="G255" s="7"/>
      <c r="H255" s="281"/>
      <c r="I255" s="264"/>
      <c r="J255" s="25"/>
      <c r="K255" s="282"/>
    </row>
  </sheetData>
  <mergeCells count="3">
    <mergeCell ref="C1:J2"/>
    <mergeCell ref="D5:I5"/>
    <mergeCell ref="B7:C7"/>
  </mergeCells>
  <conditionalFormatting sqref="K1:K1048576">
    <cfRule type="cellIs" dxfId="1" priority="1" operator="equal">
      <formula>0</formula>
    </cfRule>
  </conditionalFormatting>
  <conditionalFormatting sqref="L5">
    <cfRule type="cellIs" dxfId="0" priority="4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G31"/>
  <sheetViews>
    <sheetView zoomScale="130" zoomScaleNormal="130" workbookViewId="0">
      <selection activeCell="E18" sqref="E18"/>
    </sheetView>
  </sheetViews>
  <sheetFormatPr defaultColWidth="14" defaultRowHeight="20.25" customHeight="1" x14ac:dyDescent="0.25"/>
  <cols>
    <col min="1" max="1" width="16.54296875" style="171" customWidth="1"/>
    <col min="2" max="2" width="3.7265625" style="189" bestFit="1" customWidth="1"/>
    <col min="3" max="3" width="6.453125" style="189" customWidth="1"/>
    <col min="4" max="5" width="13.26953125" style="189" customWidth="1"/>
    <col min="6" max="6" width="28.453125" style="183" bestFit="1" customWidth="1"/>
    <col min="7" max="7" width="10.1796875" style="171" customWidth="1"/>
    <col min="8" max="16384" width="14" style="171"/>
  </cols>
  <sheetData>
    <row r="1" spans="1:7" s="169" customFormat="1" ht="20.25" customHeight="1" thickBot="1" x14ac:dyDescent="0.3">
      <c r="A1" s="451" t="s">
        <v>6246</v>
      </c>
      <c r="B1" s="452"/>
      <c r="C1" s="452"/>
      <c r="D1" s="452"/>
      <c r="E1" s="452"/>
      <c r="F1" s="453"/>
    </row>
    <row r="2" spans="1:7" s="169" customFormat="1" ht="15.75" customHeight="1" x14ac:dyDescent="0.25">
      <c r="A2" s="454" t="s">
        <v>6247</v>
      </c>
      <c r="B2" s="455"/>
      <c r="C2" s="455"/>
      <c r="D2" s="455"/>
      <c r="E2" s="455"/>
      <c r="F2" s="456"/>
    </row>
    <row r="3" spans="1:7" ht="15.75" customHeight="1" x14ac:dyDescent="0.25">
      <c r="A3" s="457"/>
      <c r="B3" s="458"/>
      <c r="C3" s="458"/>
      <c r="D3" s="458"/>
      <c r="E3" s="458"/>
      <c r="F3" s="459"/>
    </row>
    <row r="4" spans="1:7" s="169" customFormat="1" ht="20.25" customHeight="1" x14ac:dyDescent="0.25">
      <c r="A4" s="191" t="s">
        <v>6248</v>
      </c>
      <c r="B4" s="191"/>
      <c r="C4" s="191" t="s">
        <v>5360</v>
      </c>
      <c r="D4" s="191" t="s">
        <v>6249</v>
      </c>
      <c r="E4" s="191" t="s">
        <v>88</v>
      </c>
      <c r="F4" s="247" t="s">
        <v>6250</v>
      </c>
      <c r="G4" s="248"/>
    </row>
    <row r="5" spans="1:7" ht="20.25" customHeight="1" x14ac:dyDescent="0.25">
      <c r="A5" s="172"/>
      <c r="B5" s="173"/>
      <c r="C5" s="173"/>
      <c r="D5" s="173"/>
      <c r="E5" s="173"/>
      <c r="F5" s="190"/>
    </row>
    <row r="6" spans="1:7" ht="20.25" customHeight="1" x14ac:dyDescent="0.25">
      <c r="A6" s="172" t="s">
        <v>6251</v>
      </c>
      <c r="B6" s="173" t="s">
        <v>99</v>
      </c>
      <c r="C6" s="173">
        <v>112</v>
      </c>
      <c r="D6" s="173" t="s">
        <v>6252</v>
      </c>
      <c r="E6" s="173" t="s">
        <v>6253</v>
      </c>
      <c r="F6" s="176" t="s">
        <v>6254</v>
      </c>
    </row>
    <row r="7" spans="1:7" ht="20.25" customHeight="1" x14ac:dyDescent="0.25">
      <c r="A7" s="172" t="s">
        <v>6255</v>
      </c>
      <c r="B7" s="173"/>
      <c r="C7" s="173"/>
      <c r="D7" s="173"/>
      <c r="E7" s="173" t="s">
        <v>6256</v>
      </c>
      <c r="F7" s="176"/>
    </row>
    <row r="8" spans="1:7" ht="20.25" customHeight="1" x14ac:dyDescent="0.25">
      <c r="A8" s="175" t="s">
        <v>4615</v>
      </c>
      <c r="B8" s="170"/>
      <c r="C8" s="170"/>
      <c r="D8" s="170"/>
      <c r="E8" s="170" t="s">
        <v>6257</v>
      </c>
      <c r="F8" s="176"/>
    </row>
    <row r="9" spans="1:7" ht="20.25" customHeight="1" x14ac:dyDescent="0.25">
      <c r="A9" s="175" t="s">
        <v>6258</v>
      </c>
      <c r="B9" s="170"/>
      <c r="C9" s="170"/>
      <c r="D9" s="170"/>
      <c r="E9" s="170" t="s">
        <v>6259</v>
      </c>
      <c r="F9" s="176"/>
    </row>
    <row r="10" spans="1:7" ht="20.25" customHeight="1" x14ac:dyDescent="0.25">
      <c r="A10" s="175" t="s">
        <v>6260</v>
      </c>
      <c r="B10" s="170" t="s">
        <v>1076</v>
      </c>
      <c r="C10" s="170">
        <v>110</v>
      </c>
      <c r="D10" s="170" t="s">
        <v>6261</v>
      </c>
      <c r="E10" s="170" t="s">
        <v>6262</v>
      </c>
      <c r="F10" s="176" t="s">
        <v>6263</v>
      </c>
    </row>
    <row r="11" spans="1:7" ht="20.25" customHeight="1" x14ac:dyDescent="0.25">
      <c r="A11" s="175" t="s">
        <v>6264</v>
      </c>
      <c r="B11" s="170" t="s">
        <v>254</v>
      </c>
      <c r="C11" s="170">
        <v>102</v>
      </c>
      <c r="D11" s="170" t="s">
        <v>6265</v>
      </c>
      <c r="E11" s="170" t="s">
        <v>6266</v>
      </c>
      <c r="F11" s="176" t="s">
        <v>6267</v>
      </c>
    </row>
    <row r="12" spans="1:7" ht="20.25" customHeight="1" x14ac:dyDescent="0.25">
      <c r="A12" s="175" t="s">
        <v>6268</v>
      </c>
      <c r="B12" s="170" t="s">
        <v>6269</v>
      </c>
      <c r="C12" s="170">
        <v>108</v>
      </c>
      <c r="D12" s="170" t="s">
        <v>6270</v>
      </c>
      <c r="E12" s="170" t="s">
        <v>6271</v>
      </c>
      <c r="F12" s="176" t="s">
        <v>6272</v>
      </c>
    </row>
    <row r="13" spans="1:7" ht="20.25" customHeight="1" x14ac:dyDescent="0.25">
      <c r="A13" s="175" t="s">
        <v>6273</v>
      </c>
      <c r="B13" s="170"/>
      <c r="C13" s="170"/>
      <c r="D13" s="170"/>
      <c r="E13" s="170" t="s">
        <v>6274</v>
      </c>
      <c r="F13" s="176"/>
    </row>
    <row r="14" spans="1:7" ht="20.25" customHeight="1" x14ac:dyDescent="0.25">
      <c r="A14" s="175" t="s">
        <v>6275</v>
      </c>
      <c r="B14" s="170" t="s">
        <v>435</v>
      </c>
      <c r="C14" s="170">
        <v>109</v>
      </c>
      <c r="D14" s="170" t="s">
        <v>6276</v>
      </c>
      <c r="E14" s="170" t="s">
        <v>6277</v>
      </c>
      <c r="F14" s="176" t="s">
        <v>6278</v>
      </c>
    </row>
    <row r="15" spans="1:7" ht="20.25" customHeight="1" x14ac:dyDescent="0.25">
      <c r="A15" s="175" t="s">
        <v>6279</v>
      </c>
      <c r="B15" s="170"/>
      <c r="C15" s="170"/>
      <c r="D15" s="170"/>
      <c r="E15" s="170" t="s">
        <v>6280</v>
      </c>
      <c r="F15" s="176"/>
    </row>
    <row r="16" spans="1:7" ht="20.25" customHeight="1" x14ac:dyDescent="0.25">
      <c r="A16" s="175" t="s">
        <v>6281</v>
      </c>
      <c r="B16" s="170" t="s">
        <v>109</v>
      </c>
      <c r="C16" s="170">
        <v>106</v>
      </c>
      <c r="D16" s="170" t="s">
        <v>6282</v>
      </c>
      <c r="E16" s="170" t="s">
        <v>6283</v>
      </c>
      <c r="F16" s="176" t="s">
        <v>6284</v>
      </c>
    </row>
    <row r="17" spans="1:7" ht="20.25" customHeight="1" x14ac:dyDescent="0.25">
      <c r="A17" s="175" t="s">
        <v>6285</v>
      </c>
      <c r="B17" s="170" t="s">
        <v>221</v>
      </c>
      <c r="C17" s="170">
        <v>107</v>
      </c>
      <c r="D17" s="170" t="s">
        <v>6286</v>
      </c>
      <c r="E17" s="170" t="s">
        <v>6287</v>
      </c>
      <c r="F17" s="176" t="s">
        <v>6288</v>
      </c>
    </row>
    <row r="18" spans="1:7" ht="20.25" customHeight="1" x14ac:dyDescent="0.25">
      <c r="A18" s="175" t="s">
        <v>6289</v>
      </c>
      <c r="B18" s="170" t="s">
        <v>119</v>
      </c>
      <c r="C18" s="170">
        <v>104</v>
      </c>
      <c r="D18" s="170" t="s">
        <v>6290</v>
      </c>
      <c r="E18" s="170" t="s">
        <v>6291</v>
      </c>
      <c r="F18" s="176" t="s">
        <v>6292</v>
      </c>
    </row>
    <row r="19" spans="1:7" ht="20.25" customHeight="1" x14ac:dyDescent="0.25">
      <c r="A19" s="175" t="s">
        <v>6293</v>
      </c>
      <c r="B19" s="170" t="s">
        <v>563</v>
      </c>
      <c r="C19" s="170">
        <v>101</v>
      </c>
      <c r="D19" s="170" t="s">
        <v>6294</v>
      </c>
      <c r="E19" s="170" t="s">
        <v>6295</v>
      </c>
      <c r="F19" s="176" t="s">
        <v>6296</v>
      </c>
    </row>
    <row r="20" spans="1:7" ht="20.25" customHeight="1" thickBot="1" x14ac:dyDescent="0.3">
      <c r="A20" s="177"/>
      <c r="B20" s="178"/>
      <c r="C20" s="178"/>
      <c r="D20" s="178"/>
      <c r="E20" s="178"/>
      <c r="F20" s="179"/>
    </row>
    <row r="21" spans="1:7" s="169" customFormat="1" ht="20.25" customHeight="1" thickBot="1" x14ac:dyDescent="0.3">
      <c r="A21" s="448" t="s">
        <v>6297</v>
      </c>
      <c r="B21" s="449"/>
      <c r="C21" s="449"/>
      <c r="D21" s="449"/>
      <c r="E21" s="449"/>
      <c r="F21" s="450"/>
    </row>
    <row r="22" spans="1:7" ht="20.25" customHeight="1" x14ac:dyDescent="0.25">
      <c r="A22" s="180"/>
      <c r="B22" s="181"/>
      <c r="C22" s="182"/>
      <c r="D22" s="182"/>
      <c r="E22" s="182"/>
      <c r="F22" s="174"/>
      <c r="G22" s="183"/>
    </row>
    <row r="23" spans="1:7" ht="20.25" customHeight="1" thickBot="1" x14ac:dyDescent="0.3">
      <c r="A23" s="184" t="s">
        <v>6298</v>
      </c>
      <c r="B23" s="185" t="s">
        <v>6299</v>
      </c>
      <c r="C23" s="186"/>
      <c r="D23" s="186" t="s">
        <v>3106</v>
      </c>
      <c r="E23" s="186"/>
      <c r="F23" s="176" t="s">
        <v>6300</v>
      </c>
      <c r="G23" s="183"/>
    </row>
    <row r="24" spans="1:7" s="169" customFormat="1" ht="20.25" customHeight="1" thickBot="1" x14ac:dyDescent="0.3">
      <c r="A24" s="448" t="s">
        <v>6301</v>
      </c>
      <c r="B24" s="449"/>
      <c r="C24" s="449"/>
      <c r="D24" s="449"/>
      <c r="E24" s="449"/>
      <c r="F24" s="450"/>
    </row>
    <row r="25" spans="1:7" ht="20.25" customHeight="1" x14ac:dyDescent="0.25">
      <c r="A25" s="180" t="s">
        <v>6302</v>
      </c>
      <c r="B25" s="182"/>
      <c r="C25" s="182"/>
      <c r="D25" s="182" t="s">
        <v>6303</v>
      </c>
      <c r="E25" s="182"/>
      <c r="F25" s="174" t="s">
        <v>6304</v>
      </c>
      <c r="G25" s="183"/>
    </row>
    <row r="26" spans="1:7" ht="20.25" customHeight="1" x14ac:dyDescent="0.25">
      <c r="A26" s="184" t="s">
        <v>6305</v>
      </c>
      <c r="B26" s="186"/>
      <c r="C26" s="186"/>
      <c r="D26" s="186" t="s">
        <v>6306</v>
      </c>
      <c r="E26" s="186"/>
      <c r="F26" s="176" t="s">
        <v>6307</v>
      </c>
      <c r="G26" s="183"/>
    </row>
    <row r="27" spans="1:7" ht="20.25" customHeight="1" thickBot="1" x14ac:dyDescent="0.3">
      <c r="A27" s="187" t="s">
        <v>6308</v>
      </c>
      <c r="B27" s="188"/>
      <c r="C27" s="188"/>
      <c r="D27" s="188" t="s">
        <v>6309</v>
      </c>
      <c r="E27" s="188"/>
      <c r="F27" s="179" t="s">
        <v>6310</v>
      </c>
      <c r="G27" s="183"/>
    </row>
    <row r="28" spans="1:7" s="169" customFormat="1" ht="20.25" customHeight="1" thickBot="1" x14ac:dyDescent="0.3">
      <c r="A28" s="448" t="s">
        <v>6311</v>
      </c>
      <c r="B28" s="449"/>
      <c r="C28" s="449"/>
      <c r="D28" s="449"/>
      <c r="E28" s="449"/>
      <c r="F28" s="450"/>
    </row>
    <row r="29" spans="1:7" ht="20.25" customHeight="1" x14ac:dyDescent="0.25">
      <c r="A29" s="180" t="s">
        <v>6312</v>
      </c>
      <c r="B29" s="182"/>
      <c r="C29" s="182"/>
      <c r="D29" s="182" t="s">
        <v>6313</v>
      </c>
      <c r="E29" s="182"/>
      <c r="F29" s="174" t="s">
        <v>6314</v>
      </c>
      <c r="G29" s="183"/>
    </row>
    <row r="30" spans="1:7" ht="20.25" customHeight="1" x14ac:dyDescent="0.25">
      <c r="A30" s="184" t="s">
        <v>6315</v>
      </c>
      <c r="B30" s="186"/>
      <c r="C30" s="186"/>
      <c r="D30" s="186" t="s">
        <v>6316</v>
      </c>
      <c r="E30" s="186"/>
      <c r="F30" s="176" t="s">
        <v>6317</v>
      </c>
      <c r="G30" s="183"/>
    </row>
    <row r="31" spans="1:7" ht="20.25" customHeight="1" thickBot="1" x14ac:dyDescent="0.3">
      <c r="A31" s="187" t="s">
        <v>6318</v>
      </c>
      <c r="B31" s="188"/>
      <c r="C31" s="188"/>
      <c r="D31" s="188" t="s">
        <v>6319</v>
      </c>
      <c r="E31" s="188"/>
      <c r="F31" s="179" t="s">
        <v>6320</v>
      </c>
      <c r="G31" s="183"/>
    </row>
  </sheetData>
  <sortState xmlns:xlrd2="http://schemas.microsoft.com/office/spreadsheetml/2017/richdata2" ref="A5:G19">
    <sortCondition ref="A5"/>
  </sortState>
  <mergeCells count="6">
    <mergeCell ref="A24:F24"/>
    <mergeCell ref="A28:F28"/>
    <mergeCell ref="A1:F1"/>
    <mergeCell ref="A2:F2"/>
    <mergeCell ref="A3:F3"/>
    <mergeCell ref="A21:F21"/>
  </mergeCells>
  <phoneticPr fontId="5" type="noConversion"/>
  <hyperlinks>
    <hyperlink ref="I11" r:id="rId1" display="robfreaney@performancepos.com" xr:uid="{00000000-0004-0000-0C00-000000000000}"/>
    <hyperlink ref="I12" r:id="rId2" display="dougkelly@performancepos.com" xr:uid="{00000000-0004-0000-0C00-000001000000}"/>
    <hyperlink ref="I14" r:id="rId3" display="richalden@performancepos.com" xr:uid="{00000000-0004-0000-0C00-000002000000}"/>
    <hyperlink ref="I24" r:id="rId4" display="josesantos@performancepos.com" xr:uid="{00000000-0004-0000-0C00-000004000000}"/>
    <hyperlink ref="I25" r:id="rId5" display="gaudencio@performancepos.com" xr:uid="{00000000-0004-0000-0C00-000005000000}"/>
    <hyperlink ref="I27" r:id="rId6" display="steve@performancepos.com" xr:uid="{00000000-0004-0000-0C00-000006000000}"/>
    <hyperlink ref="I41" r:id="rId7" display="support@performancepos.com" xr:uid="{00000000-0004-0000-0C00-000007000000}"/>
    <hyperlink ref="I42" r:id="rId8" display="supplies@performancepos.com" xr:uid="{00000000-0004-0000-0C00-000008000000}"/>
    <hyperlink ref="I34" r:id="rId9" display="jeffcab@performancepos.com" xr:uid="{00000000-0004-0000-0C00-000009000000}"/>
    <hyperlink ref="I19" r:id="rId10" display="dennisfees@performancepos.com" xr:uid="{00000000-0004-0000-0C00-00000A000000}"/>
    <hyperlink ref="I21" r:id="rId11" display="kristen@performancepos.com" xr:uid="{00000000-0004-0000-0C00-00000B000000}"/>
    <hyperlink ref="I35" r:id="rId12" display="yann@performancepos.com" xr:uid="{00000000-0004-0000-0C00-00000C000000}"/>
    <hyperlink ref="I26" r:id="rId13" display="lgalang@performancepos.com" xr:uid="{00000000-0004-0000-0C00-00000D000000}"/>
    <hyperlink ref="I23" r:id="rId14" display="heather@performancepos.com" xr:uid="{00000000-0004-0000-0C00-00000E000000}"/>
    <hyperlink ref="I28" r:id="rId15" display="brock@performancepos.com" xr:uid="{00000000-0004-0000-0C00-00000F000000}"/>
  </hyperlinks>
  <pageMargins left="0.37" right="0.62" top="0.64" bottom="0.79" header="0.37" footer="0.5"/>
  <pageSetup scale="98" orientation="portrait" r:id="rId16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New Client</vt:lpstr>
      <vt:lpstr>Invoice</vt:lpstr>
      <vt:lpstr>Master</vt:lpstr>
      <vt:lpstr>TAX RATES 2025</vt:lpstr>
      <vt:lpstr>Sell Items</vt:lpstr>
      <vt:lpstr>EMPLOYEES</vt:lpstr>
      <vt:lpstr>CC</vt:lpstr>
      <vt:lpstr>CLIENT</vt:lpstr>
      <vt:lpstr>CONTACT_2</vt:lpstr>
      <vt:lpstr>EQUIP</vt:lpstr>
      <vt:lpstr>NAME</vt:lpstr>
      <vt:lpstr>PHONE</vt:lpstr>
      <vt:lpstr>PHONE_2</vt:lpstr>
      <vt:lpstr>STATE</vt:lpstr>
      <vt:lpstr>ZIP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</dc:creator>
  <cp:keywords/>
  <dc:description/>
  <cp:lastModifiedBy>Carmen Erdle-Ringor</cp:lastModifiedBy>
  <cp:revision/>
  <cp:lastPrinted>2025-11-13T23:11:21Z</cp:lastPrinted>
  <dcterms:created xsi:type="dcterms:W3CDTF">2017-03-16T15:00:39Z</dcterms:created>
  <dcterms:modified xsi:type="dcterms:W3CDTF">2025-12-31T23:31:17Z</dcterms:modified>
  <cp:category/>
  <cp:contentStatus/>
</cp:coreProperties>
</file>